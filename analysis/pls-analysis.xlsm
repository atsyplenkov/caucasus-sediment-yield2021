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tsyp\YandexDisk\papers\2021\caucasus-sediment-yield2021\analysis\"/>
    </mc:Choice>
  </mc:AlternateContent>
  <xr:revisionPtr revIDLastSave="0" documentId="13_ncr:1_{A3A9E534-F750-4E51-967E-685DBA5A67F3}" xr6:coauthVersionLast="47" xr6:coauthVersionMax="47" xr10:uidLastSave="{00000000-0000-0000-0000-000000000000}"/>
  <bookViews>
    <workbookView xWindow="-110" yWindow="-110" windowWidth="19420" windowHeight="10560" activeTab="1" xr2:uid="{6AB9E858-632E-4B4B-9578-6D24F10C01E8}"/>
  </bookViews>
  <sheets>
    <sheet name="Лист1" sheetId="1" r:id="rId1"/>
    <sheet name="PLS-R" sheetId="2" r:id="rId2"/>
    <sheet name="XLSTAT_20210923_105258_1_HID3" sheetId="6" state="hidden" r:id="rId3"/>
    <sheet name="XLSTAT_20210923_105258_1_HID2" sheetId="5" state="hidden" r:id="rId4"/>
    <sheet name="XLSTAT_20210923_105258_1_HID1" sheetId="4" state="hidden" r:id="rId5"/>
    <sheet name="XLSTAT_20210923_105258_1_HID" sheetId="3" state="hidden" r:id="rId6"/>
  </sheets>
  <definedNames>
    <definedName name="xcircle126696521" localSheetId="5" hidden="1">XLSTAT_20210923_105258_1_HID!$G$1:$G$500</definedName>
    <definedName name="xcirclez1" localSheetId="5" hidden="1">XLSTAT_20210923_105258_1_HID!$C$1:$C$500</definedName>
    <definedName name="xdata1" localSheetId="5" hidden="1">XLSTAT_20210923_105258_1_HID!$K$1:$K$70</definedName>
    <definedName name="xdata2" localSheetId="5" hidden="1">XLSTAT_20210923_105258_1_HID!$O$1:$O$70</definedName>
    <definedName name="ycircle126696521" localSheetId="5" hidden="1">XLSTAT_20210923_105258_1_HID!$H$1:$H$500</definedName>
    <definedName name="ycirclez1" localSheetId="5" hidden="1">XLSTAT_20210923_105258_1_HID!$D$1:$D$500</definedName>
    <definedName name="ydata1" localSheetId="5" hidden="1">XLSTAT_20210923_105258_1_HID!$L$1:$L$70</definedName>
    <definedName name="ydata2" localSheetId="5" hidden="1">XLSTAT_20210923_105258_1_HID!$P$1:$P$70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3" l="1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O1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L1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K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H1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G1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B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</calcChain>
</file>

<file path=xl/sharedStrings.xml><?xml version="1.0" encoding="utf-8"?>
<sst xmlns="http://schemas.openxmlformats.org/spreadsheetml/2006/main" count="1891" uniqueCount="378">
  <si>
    <t>SY</t>
  </si>
  <si>
    <t>A</t>
  </si>
  <si>
    <t>ALTITUDE</t>
  </si>
  <si>
    <t>DEM</t>
  </si>
  <si>
    <t>BARREN</t>
  </si>
  <si>
    <t>CROPLAND</t>
  </si>
  <si>
    <t>FOREST</t>
  </si>
  <si>
    <t>KSN</t>
  </si>
  <si>
    <t>POP</t>
  </si>
  <si>
    <t>GLACIER</t>
  </si>
  <si>
    <t>GLORED</t>
  </si>
  <si>
    <t>Q</t>
  </si>
  <si>
    <t>P</t>
  </si>
  <si>
    <t>SRAD</t>
  </si>
  <si>
    <t>AET</t>
  </si>
  <si>
    <t>CANOPY</t>
  </si>
  <si>
    <t>SAND</t>
  </si>
  <si>
    <t>HAND</t>
  </si>
  <si>
    <t>PGA</t>
  </si>
  <si>
    <t>CWR</t>
  </si>
  <si>
    <t>You are using the XLSTAT trial version. Number of days remaining until the trial expires: 14</t>
  </si>
  <si>
    <t>Y / Dependent variables: Workbook = Книга1 / Sheet = Лист1 / Range = Лист1!$A:$A / 242 rows and 1 column</t>
  </si>
  <si>
    <t>X / Quantitative: Workbook = Книга1 / Sheet = Лист1 / Range = Лист1!$B:$T / 242 rows and 19 columns</t>
  </si>
  <si>
    <t>Method: PLS-R</t>
  </si>
  <si>
    <t>Algorithm: Fast</t>
  </si>
  <si>
    <t>Stop conditions: Fixed number = 4</t>
  </si>
  <si>
    <t>Cross-validation: Jackknife(LOO) / Number of groups = 10</t>
  </si>
  <si>
    <t>Variables: Center: Yes / Reduce: Yes</t>
  </si>
  <si>
    <t>Confidence interval (%): 95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</si>
  <si>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</si>
  <si>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</si>
  <si>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</si>
  <si>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</si>
  <si>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</si>
  <si>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</si>
  <si>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</si>
  <si>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</si>
  <si>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</si>
  <si>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matrix:</t>
  </si>
  <si>
    <t>Variables</t>
  </si>
  <si>
    <t>Model quality:</t>
  </si>
  <si>
    <t>Statistic</t>
  </si>
  <si>
    <t>Comp1</t>
  </si>
  <si>
    <t>Comp2</t>
  </si>
  <si>
    <t>Comp3</t>
  </si>
  <si>
    <t>Comp4</t>
  </si>
  <si>
    <t>Q² cum</t>
  </si>
  <si>
    <t>R²Y cum</t>
  </si>
  <si>
    <t>R²X cum</t>
  </si>
  <si>
    <t xml:space="preserve"> </t>
  </si>
  <si>
    <t>Correlation matrix of the variables with the t and u~ components:</t>
  </si>
  <si>
    <t>t1</t>
  </si>
  <si>
    <t>t2</t>
  </si>
  <si>
    <t>t3</t>
  </si>
  <si>
    <t>t4</t>
  </si>
  <si>
    <t>u~1</t>
  </si>
  <si>
    <t>u~2</t>
  </si>
  <si>
    <t>u~3</t>
  </si>
  <si>
    <t>u~4</t>
  </si>
  <si>
    <t>w vectors:</t>
  </si>
  <si>
    <t>w1</t>
  </si>
  <si>
    <t>w2</t>
  </si>
  <si>
    <t>w3</t>
  </si>
  <si>
    <t>w4</t>
  </si>
  <si>
    <t>w* vectors:</t>
  </si>
  <si>
    <t>w*1</t>
  </si>
  <si>
    <t>w*2</t>
  </si>
  <si>
    <t>w*3</t>
  </si>
  <si>
    <t>w*4</t>
  </si>
  <si>
    <t>c vectors:</t>
  </si>
  <si>
    <t>c1</t>
  </si>
  <si>
    <t>c2</t>
  </si>
  <si>
    <t>c3</t>
  </si>
  <si>
    <t>c4</t>
  </si>
  <si>
    <t>p vectors:</t>
  </si>
  <si>
    <t>p1</t>
  </si>
  <si>
    <t>p2</t>
  </si>
  <si>
    <t>p3</t>
  </si>
  <si>
    <t>p4</t>
  </si>
  <si>
    <t>Scores on t:</t>
  </si>
  <si>
    <t>Observation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</si>
  <si>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</si>
  <si>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</si>
  <si>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</si>
  <si>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</si>
  <si>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</si>
  <si>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</si>
  <si>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</si>
  <si>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</si>
  <si>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</si>
  <si>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</si>
  <si>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</si>
  <si>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</si>
  <si>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</si>
  <si>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</si>
  <si>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</si>
  <si>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</si>
  <si>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</si>
  <si>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</si>
  <si>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</si>
  <si>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</si>
  <si>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</si>
  <si>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</si>
  <si>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</si>
  <si>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</si>
  <si>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</si>
  <si>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</si>
  <si>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</si>
  <si>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</si>
  <si>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</si>
  <si>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</si>
  <si>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</si>
  <si>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</si>
  <si>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</si>
  <si>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</si>
  <si>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</si>
  <si>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</si>
  <si>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</si>
  <si>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</si>
  <si>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</si>
  <si>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</si>
  <si>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</si>
  <si>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</si>
  <si>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</si>
  <si>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</si>
  <si>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</si>
  <si>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</si>
  <si>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</si>
  <si>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</si>
  <si>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</si>
  <si>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</si>
  <si>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</si>
  <si>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</si>
  <si>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</si>
  <si>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</si>
  <si>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</si>
  <si>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</si>
  <si>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</si>
  <si>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</si>
  <si>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</si>
  <si>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</si>
  <si>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</si>
  <si>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</si>
  <si>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</si>
  <si>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</si>
  <si>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</si>
  <si>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</si>
  <si>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</si>
  <si>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</si>
  <si>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</si>
  <si>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</si>
  <si>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</si>
  <si>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</si>
  <si>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</si>
  <si>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</si>
  <si>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</si>
  <si>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</si>
  <si>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</si>
  <si>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</si>
  <si>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</si>
  <si>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</si>
  <si>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</si>
  <si>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</si>
  <si>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</si>
  <si>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</si>
  <si>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</si>
  <si>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</si>
  <si>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</si>
  <si>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</si>
  <si>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</si>
  <si>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</si>
  <si>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</si>
  <si>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</si>
  <si>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</si>
  <si>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</si>
  <si>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</si>
  <si>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</si>
  <si>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</si>
  <si>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</si>
  <si>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</si>
  <si>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</si>
  <si>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</si>
  <si>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</si>
  <si>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</si>
  <si>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</si>
  <si>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</si>
  <si>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</si>
  <si>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</si>
  <si>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</si>
  <si>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</si>
  <si>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</si>
  <si>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</si>
  <si>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</si>
  <si>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</si>
  <si>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</si>
  <si>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</si>
  <si>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</si>
  <si>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</si>
  <si>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</si>
  <si>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</si>
  <si>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</si>
  <si>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</si>
  <si>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</si>
  <si>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</si>
  <si>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</si>
  <si>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</si>
  <si>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</si>
  <si>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</si>
  <si>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</si>
  <si>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</si>
  <si>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</si>
  <si>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</si>
  <si>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</si>
  <si>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</si>
  <si>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</si>
  <si>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</si>
  <si>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</si>
  <si>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</si>
  <si>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</si>
  <si>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</si>
  <si>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</si>
  <si>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</si>
  <si>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</si>
  <si>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</si>
  <si>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</si>
  <si>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</si>
  <si>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</si>
  <si>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</si>
  <si>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</si>
  <si>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</si>
  <si>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</si>
  <si>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</si>
  <si>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</si>
  <si>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</si>
  <si>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</si>
  <si>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</si>
  <si>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</si>
  <si>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</si>
  <si>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</si>
  <si>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</si>
  <si>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</si>
  <si>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</si>
  <si>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</si>
  <si>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</si>
  <si>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</si>
  <si>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</si>
  <si>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</si>
  <si>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</si>
  <si>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</si>
  <si>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</si>
  <si>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</si>
  <si>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</si>
  <si>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</si>
  <si>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</si>
  <si>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</si>
  <si>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</si>
  <si>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</si>
  <si>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</si>
  <si>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</si>
  <si>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</si>
  <si>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</si>
  <si>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</si>
  <si>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</si>
  <si>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</si>
  <si>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</si>
  <si>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</si>
  <si>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</si>
  <si>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</si>
  <si>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</si>
  <si>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</si>
  <si>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</si>
  <si>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</si>
  <si>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</si>
  <si>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</si>
  <si>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</si>
  <si>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</si>
  <si>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</si>
  <si>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</si>
  <si>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</si>
  <si>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</si>
  <si>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</si>
  <si>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</si>
  <si>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</si>
  <si>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</si>
  <si>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</si>
  <si>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</si>
  <si>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</si>
  <si>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</si>
  <si>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</si>
  <si>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</si>
  <si>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</si>
  <si>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</si>
  <si>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</si>
  <si>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</si>
  <si>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</si>
  <si>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</si>
  <si>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</si>
  <si>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</si>
  <si>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</si>
  <si>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</si>
  <si>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</si>
  <si>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</si>
  <si>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</si>
  <si>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</si>
  <si>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</si>
  <si>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</si>
  <si>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</si>
  <si>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</si>
  <si>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</si>
  <si>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</si>
  <si>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</si>
  <si>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</si>
  <si>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</si>
  <si>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</si>
  <si>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</si>
  <si>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</si>
  <si>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</si>
  <si>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</si>
  <si>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</si>
  <si>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</si>
  <si>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</si>
  <si>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</si>
  <si>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</si>
  <si>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Standardized scores on t:</t>
  </si>
  <si>
    <t>Scores on u:</t>
  </si>
  <si>
    <t>u1</t>
  </si>
  <si>
    <t>u2</t>
  </si>
  <si>
    <t>u3</t>
  </si>
  <si>
    <t>u4</t>
  </si>
  <si>
    <t>Scores on u~:</t>
  </si>
  <si>
    <t>Q² quality index:</t>
  </si>
  <si>
    <t>Component</t>
  </si>
  <si>
    <t>Total</t>
  </si>
  <si>
    <t>Cumulative Q² quality index:</t>
  </si>
  <si>
    <t>Variable Importance in the Projection (VIP):</t>
  </si>
  <si>
    <t>VIP(1)</t>
  </si>
  <si>
    <t>Standard deviation</t>
  </si>
  <si>
    <t>Lower bound(95%)</t>
  </si>
  <si>
    <t>Upper bound(95%)</t>
  </si>
  <si>
    <t>VIP(2)</t>
  </si>
  <si>
    <t>VIP(3)</t>
  </si>
  <si>
    <t>VIP(4)</t>
  </si>
  <si>
    <t>Model parameters:</t>
  </si>
  <si>
    <t>Intercept</t>
  </si>
  <si>
    <t>Equation of the model:</t>
  </si>
  <si>
    <t>SY = 1.97296121191753-7.15894417737153E-06*A-2.34860907458545E-04*ALTITUDE+0.353565823806496*DEM+1.43116015823759E-02*BARREN-2.69886327227394E-03*CROPLAND+9.35303457597584E-04*FOREST+3.04880356475779E-02*KSN+9.33998561324614E-04*POP-2.83554141263461E-04*GLACIER-7.27648855992465E-06*GLORED-3.53144034112864E-03*Q-1.68327967670075E-04*P-9.06698093339014E-03*SRAD+8.66968373411742E-03*AET-7.06696451263919E-04*CANOPY+1.61831962439932E-02*SAND+1.17850836106361E-03*HAND+0.351914711244139*PGA-1.87839689348828E-02*CWR</t>
  </si>
  <si>
    <t>Results for variable SY:</t>
  </si>
  <si>
    <t>Goodness of fit statistics (Variable SY):</t>
  </si>
  <si>
    <t>Sum of weights</t>
  </si>
  <si>
    <t>DF</t>
  </si>
  <si>
    <t>R²</t>
  </si>
  <si>
    <t>MSE</t>
  </si>
  <si>
    <t>RMSE</t>
  </si>
  <si>
    <t>VIDs (Variable SY):</t>
  </si>
  <si>
    <t>VID</t>
  </si>
  <si>
    <t>Lower bound (95%)</t>
  </si>
  <si>
    <t>Upper bound (95%)</t>
  </si>
  <si>
    <t>Coefficients (Variable SY):</t>
  </si>
  <si>
    <t>Coefficient</t>
  </si>
  <si>
    <t>Standardized coefficients (Variable SY):</t>
  </si>
  <si>
    <t>Predictions and residuals (Variable SY):</t>
  </si>
  <si>
    <t>Weight</t>
  </si>
  <si>
    <t>Pred(SY)</t>
  </si>
  <si>
    <t>Residual</t>
  </si>
  <si>
    <t>Std. residual</t>
  </si>
  <si>
    <t>Std. dev. on pred. (Mean)</t>
  </si>
  <si>
    <t>Lower bound 95%(Mean)</t>
  </si>
  <si>
    <t>Upper bound 95%(Mean)</t>
  </si>
  <si>
    <t>Std. dev. on pred. (Observation)</t>
  </si>
  <si>
    <t>Lower bound 95% (Observation)</t>
  </si>
  <si>
    <t>Upper bound 95% (Observation)</t>
  </si>
  <si>
    <t>Outliers analysis:</t>
  </si>
  <si>
    <t>DModX</t>
  </si>
  <si>
    <t>DModY</t>
  </si>
  <si>
    <t>Standardized dModX</t>
  </si>
  <si>
    <t>Standardized dModY</t>
  </si>
  <si>
    <t>Values of DModX and DModY that are greater than their respective critical values are displayed in bold (DCrit(X)=1.358 / DCrit(Y)=1.566)</t>
  </si>
  <si>
    <r>
      <t>XLSTAT 2021.3.1.1190 - PLS Regression - Start time: 23/09/2021 at 10:53:37 / End time: 23/09/2021 at 10:53:41</t>
    </r>
    <r>
      <rPr>
        <sz val="11"/>
        <color rgb="FFFFFFFF"/>
        <rFont val="Calibri"/>
        <family val="2"/>
        <charset val="204"/>
        <scheme val="minor"/>
      </rPr>
      <t xml:space="preserve"> / Microsoft Excel 16.014326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</si>
</sst>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11"/>
      <color rgb="FFFFFFFF"/>
      <name val="Calibri"/>
      <family val="2"/>
      <charset val="204"/>
      <scheme val="minor"/>
    </font>
    <font>
      <sz val="11"/>
      <color rgb="FF008941"/>
      <name val="Calibri"/>
      <family val="2"/>
      <charset val="204"/>
      <scheme val="minor"/>
    </font>
    <font>
      <sz val="11"/>
      <color rgb="FF007800"/>
      <name val="Calibri"/>
      <family val="2"/>
      <charset val="204"/>
      <scheme val="minor"/>
    </font>
    <font>
      <b/>
      <sz val="11"/>
      <color rgb="FF0078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D7532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/>
    <xf numFmtId="0" fontId="2" fillId="2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0" borderId="0" xfId="0" applyFont="1"/>
    <xf numFmtId="0" fontId="0" fillId="0" borderId="0" xfId="0" applyFont="1"/>
    <xf numFmtId="49" fontId="0" fillId="0" borderId="0" xfId="0" applyNumberFormat="1" applyAlignment="1"/>
    <xf numFmtId="0" fontId="0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49" fontId="4" fillId="0" borderId="2" xfId="0" applyNumberFormat="1" applyFont="1" applyBorder="1" applyAlignment="1"/>
    <xf numFmtId="49" fontId="0" fillId="0" borderId="3" xfId="0" applyNumberFormat="1" applyBorder="1" applyAlignment="1"/>
    <xf numFmtId="0" fontId="4" fillId="0" borderId="2" xfId="0" applyNumberFormat="1" applyFont="1" applyBorder="1" applyAlignment="1"/>
    <xf numFmtId="0" fontId="0" fillId="0" borderId="0" xfId="0" applyNumberFormat="1" applyAlignment="1"/>
    <xf numFmtId="0" fontId="0" fillId="0" borderId="3" xfId="0" applyNumberFormat="1" applyBorder="1" applyAlignment="1"/>
    <xf numFmtId="164" fontId="4" fillId="0" borderId="2" xfId="0" applyNumberFormat="1" applyFont="1" applyBorder="1" applyAlignment="1"/>
    <xf numFmtId="164" fontId="0" fillId="0" borderId="0" xfId="0" applyNumberFormat="1" applyAlignment="1"/>
    <xf numFmtId="164" fontId="0" fillId="0" borderId="3" xfId="0" applyNumberFormat="1" applyBorder="1" applyAlignment="1"/>
    <xf numFmtId="49" fontId="5" fillId="0" borderId="1" xfId="0" applyNumberFormat="1" applyFont="1" applyBorder="1" applyAlignment="1">
      <alignment horizontal="center" vertical="center" wrapText="1"/>
    </xf>
    <xf numFmtId="49" fontId="0" fillId="0" borderId="2" xfId="0" applyNumberFormat="1" applyBorder="1" applyAlignment="1"/>
    <xf numFmtId="49" fontId="5" fillId="0" borderId="3" xfId="0" applyNumberFormat="1" applyFont="1" applyBorder="1" applyAlignment="1"/>
    <xf numFmtId="164" fontId="0" fillId="0" borderId="2" xfId="0" applyNumberFormat="1" applyBorder="1" applyAlignment="1"/>
    <xf numFmtId="164" fontId="5" fillId="0" borderId="2" xfId="0" applyNumberFormat="1" applyFont="1" applyBorder="1" applyAlignment="1"/>
    <xf numFmtId="164" fontId="5" fillId="0" borderId="0" xfId="0" applyNumberFormat="1" applyFont="1" applyAlignment="1"/>
    <xf numFmtId="164" fontId="5" fillId="0" borderId="3" xfId="0" applyNumberFormat="1" applyFont="1" applyBorder="1" applyAlignment="1"/>
    <xf numFmtId="0" fontId="1" fillId="0" borderId="2" xfId="0" applyNumberFormat="1" applyFont="1" applyBorder="1" applyAlignment="1"/>
    <xf numFmtId="164" fontId="1" fillId="0" borderId="0" xfId="0" applyNumberFormat="1" applyFont="1" applyAlignment="1"/>
    <xf numFmtId="0" fontId="1" fillId="0" borderId="0" xfId="0" applyNumberFormat="1" applyFont="1" applyAlignment="1"/>
    <xf numFmtId="0" fontId="6" fillId="0" borderId="3" xfId="0" applyNumberFormat="1" applyFont="1" applyBorder="1" applyAlignment="1"/>
    <xf numFmtId="49" fontId="0" fillId="0" borderId="4" xfId="0" applyNumberFormat="1" applyBorder="1" applyAlignment="1"/>
    <xf numFmtId="164" fontId="0" fillId="0" borderId="4" xfId="0" applyNumberFormat="1" applyBorder="1" applyAlignment="1"/>
    <xf numFmtId="0" fontId="0" fillId="0" borderId="1" xfId="0" applyBorder="1"/>
    <xf numFmtId="49" fontId="0" fillId="0" borderId="5" xfId="0" applyNumberFormat="1" applyFont="1" applyBorder="1" applyAlignment="1">
      <alignment horizontal="center" vertical="center" wrapText="1"/>
    </xf>
    <xf numFmtId="164" fontId="0" fillId="0" borderId="6" xfId="0" applyNumberFormat="1" applyBorder="1" applyAlignment="1"/>
    <xf numFmtId="164" fontId="0" fillId="0" borderId="7" xfId="0" applyNumberFormat="1" applyBorder="1" applyAlignment="1"/>
    <xf numFmtId="164" fontId="0" fillId="0" borderId="8" xfId="0" applyNumberFormat="1" applyBorder="1" applyAlignment="1"/>
    <xf numFmtId="0" fontId="0" fillId="0" borderId="7" xfId="0" applyBorder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" xfId="0" applyBorder="1" applyAlignment="1"/>
    <xf numFmtId="164" fontId="0" fillId="0" borderId="1" xfId="0" applyNumberFormat="1" applyBorder="1" applyAlignment="1"/>
    <xf numFmtId="0" fontId="0" fillId="0" borderId="2" xfId="0" applyNumberFormat="1" applyBorder="1" applyAlignment="1"/>
    <xf numFmtId="164" fontId="1" fillId="0" borderId="3" xfId="0" applyNumberFormat="1" applyFont="1" applyBorder="1" applyAlignment="1"/>
    <xf numFmtId="0" fontId="7" fillId="0" borderId="0" xfId="0" applyFont="1"/>
    <xf numFmtId="0" fontId="8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Model quality by number of components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Q² cum</c:v>
          </c:tx>
          <c:spPr>
            <a:solidFill>
              <a:srgbClr val="FF6600"/>
            </a:solidFill>
            <a:ln>
              <a:solidFill>
                <a:srgbClr val="FF6600"/>
              </a:solidFill>
              <a:prstDash val="solid"/>
            </a:ln>
          </c:spPr>
          <c:invertIfNegative val="0"/>
          <c:cat>
            <c:strRef>
              <c:f>'PLS-R'!$C$68:$F$68</c:f>
              <c:strCache>
                <c:ptCount val="4"/>
                <c:pt idx="0">
                  <c:v>Comp1</c:v>
                </c:pt>
                <c:pt idx="1">
                  <c:v>Comp2</c:v>
                </c:pt>
                <c:pt idx="2">
                  <c:v>Comp3</c:v>
                </c:pt>
                <c:pt idx="3">
                  <c:v>Comp4</c:v>
                </c:pt>
              </c:strCache>
            </c:strRef>
          </c:cat>
          <c:val>
            <c:numRef>
              <c:f>'PLS-R'!$C$69:$F$69</c:f>
              <c:numCache>
                <c:formatCode>0.000</c:formatCode>
                <c:ptCount val="4"/>
                <c:pt idx="0">
                  <c:v>0.32849750996937011</c:v>
                </c:pt>
                <c:pt idx="1">
                  <c:v>0.4606075639642957</c:v>
                </c:pt>
                <c:pt idx="2">
                  <c:v>0.48561379297698248</c:v>
                </c:pt>
                <c:pt idx="3">
                  <c:v>0.49613411769602844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32-4E34-B4F9-C3979AFD56A6}"/>
            </c:ext>
          </c:extLst>
        </c:ser>
        <c:ser>
          <c:idx val="1"/>
          <c:order val="1"/>
          <c:tx>
            <c:v>R²Y cum</c:v>
          </c:tx>
          <c:spPr>
            <a:solidFill>
              <a:srgbClr val="007800"/>
            </a:solidFill>
            <a:ln>
              <a:solidFill>
                <a:srgbClr val="007800"/>
              </a:solidFill>
              <a:prstDash val="solid"/>
            </a:ln>
          </c:spPr>
          <c:invertIfNegative val="0"/>
          <c:cat>
            <c:strRef>
              <c:f>'PLS-R'!$C$68:$F$68</c:f>
              <c:strCache>
                <c:ptCount val="4"/>
                <c:pt idx="0">
                  <c:v>Comp1</c:v>
                </c:pt>
                <c:pt idx="1">
                  <c:v>Comp2</c:v>
                </c:pt>
                <c:pt idx="2">
                  <c:v>Comp3</c:v>
                </c:pt>
                <c:pt idx="3">
                  <c:v>Comp4</c:v>
                </c:pt>
              </c:strCache>
            </c:strRef>
          </c:cat>
          <c:val>
            <c:numRef>
              <c:f>'PLS-R'!$C$70:$F$70</c:f>
              <c:numCache>
                <c:formatCode>0.000</c:formatCode>
                <c:ptCount val="4"/>
                <c:pt idx="0">
                  <c:v>0.34341463621616891</c:v>
                </c:pt>
                <c:pt idx="1">
                  <c:v>0.50077386943811508</c:v>
                </c:pt>
                <c:pt idx="2">
                  <c:v>0.53621962551670954</c:v>
                </c:pt>
                <c:pt idx="3">
                  <c:v>0.55152859008413335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32-4E34-B4F9-C3979AFD56A6}"/>
            </c:ext>
          </c:extLst>
        </c:ser>
        <c:ser>
          <c:idx val="2"/>
          <c:order val="2"/>
          <c:tx>
            <c:v>R²X cum</c:v>
          </c:tx>
          <c:spPr>
            <a:solidFill>
              <a:srgbClr val="989898"/>
            </a:solidFill>
            <a:ln>
              <a:solidFill>
                <a:srgbClr val="989898"/>
              </a:solidFill>
              <a:prstDash val="solid"/>
            </a:ln>
          </c:spPr>
          <c:invertIfNegative val="0"/>
          <c:cat>
            <c:strRef>
              <c:f>'PLS-R'!$C$68:$F$68</c:f>
              <c:strCache>
                <c:ptCount val="4"/>
                <c:pt idx="0">
                  <c:v>Comp1</c:v>
                </c:pt>
                <c:pt idx="1">
                  <c:v>Comp2</c:v>
                </c:pt>
                <c:pt idx="2">
                  <c:v>Comp3</c:v>
                </c:pt>
                <c:pt idx="3">
                  <c:v>Comp4</c:v>
                </c:pt>
              </c:strCache>
            </c:strRef>
          </c:cat>
          <c:val>
            <c:numRef>
              <c:f>'PLS-R'!$C$71:$F$71</c:f>
              <c:numCache>
                <c:formatCode>0.000</c:formatCode>
                <c:ptCount val="4"/>
                <c:pt idx="0">
                  <c:v>0.24817504184248837</c:v>
                </c:pt>
                <c:pt idx="1">
                  <c:v>0.33072145753035553</c:v>
                </c:pt>
                <c:pt idx="2">
                  <c:v>0.51357127873751907</c:v>
                </c:pt>
                <c:pt idx="3">
                  <c:v>0.73835437662358638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32-4E34-B4F9-C3979AFD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73973455"/>
        <c:axId val="1973974287"/>
      </c:barChart>
      <c:catAx>
        <c:axId val="197397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Components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1973974287"/>
        <c:crosses val="autoZero"/>
        <c:auto val="1"/>
        <c:lblAlgn val="ctr"/>
        <c:lblOffset val="100"/>
        <c:noMultiLvlLbl val="0"/>
      </c:catAx>
      <c:valAx>
        <c:axId val="1973974287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197397345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Correlations with t on axes t1 and t2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5266001269566862E-2"/>
          <c:y val="7.7950342414094792E-2"/>
          <c:w val="0.84304777082967541"/>
          <c:h val="0.85233686306453071"/>
        </c:manualLayout>
      </c:layout>
      <c:scatterChart>
        <c:scatterStyle val="lineMarker"/>
        <c:varyColors val="0"/>
        <c:ser>
          <c:idx val="0"/>
          <c:order val="0"/>
          <c:tx>
            <c:v>X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8198970840480276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D46-4509-976F-428B33310684}"/>
                </c:ext>
              </c:extLst>
            </c:dLbl>
            <c:dLbl>
              <c:idx val="1"/>
              <c:layout>
                <c:manualLayout>
                  <c:x val="-1.7152658662092687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ALTITUDE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D46-4509-976F-428B33310684}"/>
                </c:ext>
              </c:extLst>
            </c:dLbl>
            <c:dLbl>
              <c:idx val="2"/>
              <c:layout>
                <c:manualLayout>
                  <c:x val="-8.133790737564322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D46-4509-976F-428B33310684}"/>
                </c:ext>
              </c:extLst>
            </c:dLbl>
            <c:dLbl>
              <c:idx val="3"/>
              <c:layout>
                <c:manualLayout>
                  <c:x val="-1.71526586620927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BARREN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D46-4509-976F-428B33310684}"/>
                </c:ext>
              </c:extLst>
            </c:dLbl>
            <c:dLbl>
              <c:idx val="4"/>
              <c:layout>
                <c:manualLayout>
                  <c:x val="-0.14271012006861064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CROPLAND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D46-4509-976F-428B33310684}"/>
                </c:ext>
              </c:extLst>
            </c:dLbl>
            <c:dLbl>
              <c:idx val="5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FOREST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D46-4509-976F-428B33310684}"/>
                </c:ext>
              </c:extLst>
            </c:dLbl>
            <c:dLbl>
              <c:idx val="6"/>
              <c:layout>
                <c:manualLayout>
                  <c:x val="-1.71526586620927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KSN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D46-4509-976F-428B33310684}"/>
                </c:ext>
              </c:extLst>
            </c:dLbl>
            <c:dLbl>
              <c:idx val="7"/>
              <c:layout>
                <c:manualLayout>
                  <c:x val="-7.5008441269026588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D46-4509-976F-428B33310684}"/>
                </c:ext>
              </c:extLst>
            </c:dLbl>
            <c:dLbl>
              <c:idx val="8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GLACIER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D46-4509-976F-428B33310684}"/>
                </c:ext>
              </c:extLst>
            </c:dLbl>
            <c:dLbl>
              <c:idx val="9"/>
              <c:layout>
                <c:manualLayout>
                  <c:x val="-1.7152658662092687E-2"/>
                  <c:y val="-3.0651340996168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GLORED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D46-4509-976F-428B33310684}"/>
                </c:ext>
              </c:extLst>
            </c:dLbl>
            <c:dLbl>
              <c:idx val="10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D46-4509-976F-428B33310684}"/>
                </c:ext>
              </c:extLst>
            </c:dLbl>
            <c:dLbl>
              <c:idx val="11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D46-4509-976F-428B33310684}"/>
                </c:ext>
              </c:extLst>
            </c:dLbl>
            <c:dLbl>
              <c:idx val="12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SRAD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D46-4509-976F-428B33310684}"/>
                </c:ext>
              </c:extLst>
            </c:dLbl>
            <c:dLbl>
              <c:idx val="13"/>
              <c:layout>
                <c:manualLayout>
                  <c:x val="-7.162950257289879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D46-4509-976F-428B33310684}"/>
                </c:ext>
              </c:extLst>
            </c:dLbl>
            <c:dLbl>
              <c:idx val="14"/>
              <c:layout>
                <c:manualLayout>
                  <c:x val="-1.7152658662092687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CANOPY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D46-4509-976F-428B33310684}"/>
                </c:ext>
              </c:extLst>
            </c:dLbl>
            <c:dLbl>
              <c:idx val="15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D46-4509-976F-428B33310684}"/>
                </c:ext>
              </c:extLst>
            </c:dLbl>
            <c:dLbl>
              <c:idx val="16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D46-4509-976F-428B33310684}"/>
                </c:ext>
              </c:extLst>
            </c:dLbl>
            <c:dLbl>
              <c:idx val="17"/>
              <c:layout>
                <c:manualLayout>
                  <c:x val="-1.71526586620927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PGA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D46-4509-976F-428B33310684}"/>
                </c:ext>
              </c:extLst>
            </c:dLbl>
            <c:dLbl>
              <c:idx val="18"/>
              <c:layout>
                <c:manualLayout>
                  <c:x val="-8.1509433962264149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CWR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D46-4509-976F-428B333106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'PLS-R'!$C$97:$C$115</c:f>
              <c:numCache>
                <c:formatCode>0.000</c:formatCode>
                <c:ptCount val="19"/>
                <c:pt idx="0">
                  <c:v>-0.1652346404651035</c:v>
                </c:pt>
                <c:pt idx="1">
                  <c:v>0.32946144326972493</c:v>
                </c:pt>
                <c:pt idx="2">
                  <c:v>-0.2230797579862813</c:v>
                </c:pt>
                <c:pt idx="3">
                  <c:v>0.69978200338912411</c:v>
                </c:pt>
                <c:pt idx="4">
                  <c:v>-0.50885681471305833</c:v>
                </c:pt>
                <c:pt idx="5">
                  <c:v>0.1394041975142627</c:v>
                </c:pt>
                <c:pt idx="6">
                  <c:v>0.8402463754793873</c:v>
                </c:pt>
                <c:pt idx="7">
                  <c:v>-0.3578203359898095</c:v>
                </c:pt>
                <c:pt idx="8">
                  <c:v>0.17127264808409795</c:v>
                </c:pt>
                <c:pt idx="9">
                  <c:v>0.13567292872255421</c:v>
                </c:pt>
                <c:pt idx="10">
                  <c:v>0.69195763596910875</c:v>
                </c:pt>
                <c:pt idx="11">
                  <c:v>0.5676899189815765</c:v>
                </c:pt>
                <c:pt idx="12">
                  <c:v>2.6177885353163618E-2</c:v>
                </c:pt>
                <c:pt idx="13">
                  <c:v>-0.12331598709195045</c:v>
                </c:pt>
                <c:pt idx="14">
                  <c:v>0.38628957444328738</c:v>
                </c:pt>
                <c:pt idx="15">
                  <c:v>0.66219074294817515</c:v>
                </c:pt>
                <c:pt idx="16">
                  <c:v>0.91428888065744396</c:v>
                </c:pt>
                <c:pt idx="17">
                  <c:v>0.57181530284820226</c:v>
                </c:pt>
                <c:pt idx="18">
                  <c:v>-0.55881748141848453</c:v>
                </c:pt>
              </c:numCache>
            </c:numRef>
          </c:xVal>
          <c:yVal>
            <c:numRef>
              <c:f>'PLS-R'!$D$97:$D$115</c:f>
              <c:numCache>
                <c:formatCode>0.000</c:formatCode>
                <c:ptCount val="19"/>
                <c:pt idx="0">
                  <c:v>0.43870033427235577</c:v>
                </c:pt>
                <c:pt idx="1">
                  <c:v>-0.53504091305122281</c:v>
                </c:pt>
                <c:pt idx="2">
                  <c:v>0.60251127380143987</c:v>
                </c:pt>
                <c:pt idx="3">
                  <c:v>0.15469351652725166</c:v>
                </c:pt>
                <c:pt idx="4">
                  <c:v>-2.7772232793435395E-2</c:v>
                </c:pt>
                <c:pt idx="5">
                  <c:v>-2.5215552293297101E-2</c:v>
                </c:pt>
                <c:pt idx="6">
                  <c:v>-9.7513734429643104E-2</c:v>
                </c:pt>
                <c:pt idx="7">
                  <c:v>0.31378021360289698</c:v>
                </c:pt>
                <c:pt idx="8">
                  <c:v>0.28555525764386613</c:v>
                </c:pt>
                <c:pt idx="9">
                  <c:v>4.9283306248067919E-2</c:v>
                </c:pt>
                <c:pt idx="10">
                  <c:v>-0.23081820509762527</c:v>
                </c:pt>
                <c:pt idx="11">
                  <c:v>-0.19232492108626573</c:v>
                </c:pt>
                <c:pt idx="12">
                  <c:v>-0.4238649604043801</c:v>
                </c:pt>
                <c:pt idx="13">
                  <c:v>3.0670686210418133E-2</c:v>
                </c:pt>
                <c:pt idx="14">
                  <c:v>-4.8770702524739293E-2</c:v>
                </c:pt>
                <c:pt idx="15">
                  <c:v>-0.36878542386721919</c:v>
                </c:pt>
                <c:pt idx="16">
                  <c:v>-7.0368693826564466E-2</c:v>
                </c:pt>
                <c:pt idx="17">
                  <c:v>0.21336833165151425</c:v>
                </c:pt>
                <c:pt idx="18">
                  <c:v>-0.22278535120198539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46-4509-976F-428B33310684}"/>
            </c:ext>
          </c:extLst>
        </c:ser>
        <c:ser>
          <c:idx val="1"/>
          <c:order val="1"/>
          <c:tx>
            <c:v>Y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D46-4509-976F-428B333106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'PLS-R'!$C$116</c:f>
              <c:numCache>
                <c:formatCode>0.000</c:formatCode>
                <c:ptCount val="1"/>
                <c:pt idx="0">
                  <c:v>0.58601590099260015</c:v>
                </c:pt>
              </c:numCache>
            </c:numRef>
          </c:xVal>
          <c:yVal>
            <c:numRef>
              <c:f>'PLS-R'!$D$116</c:f>
              <c:numCache>
                <c:formatCode>0.000</c:formatCode>
                <c:ptCount val="1"/>
                <c:pt idx="0">
                  <c:v>0.39668530754484232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D46-4509-976F-428B33310684}"/>
            </c:ext>
          </c:extLst>
        </c:ser>
        <c:ser>
          <c:idx val="2"/>
          <c:order val="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XLSTAT_20210923_105258_1_HID!xcirclez1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XLSTAT_20210923_105258_1_HID!ycirclez1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D46-4509-976F-428B33310684}"/>
            </c:ext>
          </c:extLst>
        </c:ser>
        <c:ser>
          <c:idx val="3"/>
          <c:order val="3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XLSTAT_20210923_105258_1_HID!xcircle126696521</c:f>
              <c:numCache>
                <c:formatCode>General</c:formatCode>
                <c:ptCount val="500"/>
                <c:pt idx="0">
                  <c:v>-0.70710678118654802</c:v>
                </c:pt>
                <c:pt idx="1">
                  <c:v>-0.70705072701814309</c:v>
                </c:pt>
                <c:pt idx="2">
                  <c:v>-0.70688257340004368</c:v>
                </c:pt>
                <c:pt idx="3">
                  <c:v>-0.70660234699218727</c:v>
                </c:pt>
                <c:pt idx="4">
                  <c:v>-0.70621009222310616</c:v>
                </c:pt>
                <c:pt idx="5">
                  <c:v>-0.70570587128288365</c:v>
                </c:pt>
                <c:pt idx="6">
                  <c:v>-0.70508976411329471</c:v>
                </c:pt>
                <c:pt idx="7">
                  <c:v>-0.70436186839513082</c:v>
                </c:pt>
                <c:pt idx="8">
                  <c:v>-0.70352229953271339</c:v>
                </c:pt>
                <c:pt idx="9">
                  <c:v>-0.70257119063559725</c:v>
                </c:pt>
                <c:pt idx="10">
                  <c:v>-0.7015086924974665</c:v>
                </c:pt>
                <c:pt idx="11">
                  <c:v>-0.70033497357222696</c:v>
                </c:pt>
                <c:pt idx="12">
                  <c:v>-0.69905021994729866</c:v>
                </c:pt>
                <c:pt idx="13">
                  <c:v>-0.69765463531411254</c:v>
                </c:pt>
                <c:pt idx="14">
                  <c:v>-0.69614844093581618</c:v>
                </c:pt>
                <c:pt idx="15">
                  <c:v>-0.69453187561219365</c:v>
                </c:pt>
                <c:pt idx="16">
                  <c:v>-0.69280519564180509</c:v>
                </c:pt>
                <c:pt idx="17">
                  <c:v>-0.69096867478135127</c:v>
                </c:pt>
                <c:pt idx="18">
                  <c:v>-0.68902260420227168</c:v>
                </c:pt>
                <c:pt idx="19">
                  <c:v>-0.68696729244457988</c:v>
                </c:pt>
                <c:pt idx="20">
                  <c:v>-0.68480306536794644</c:v>
                </c:pt>
                <c:pt idx="21">
                  <c:v>-0.68253026610003542</c:v>
                </c:pt>
                <c:pt idx="22">
                  <c:v>-0.68014925498210299</c:v>
                </c:pt>
                <c:pt idx="23">
                  <c:v>-0.67766040951186712</c:v>
                </c:pt>
                <c:pt idx="24">
                  <c:v>-0.67506412428365781</c:v>
                </c:pt>
                <c:pt idx="25">
                  <c:v>-0.67236081092585465</c:v>
                </c:pt>
                <c:pt idx="26">
                  <c:v>-0.66955089803562651</c:v>
                </c:pt>
                <c:pt idx="27">
                  <c:v>-0.66663483111097899</c:v>
                </c:pt>
                <c:pt idx="28">
                  <c:v>-0.66361307248012269</c:v>
                </c:pt>
                <c:pt idx="29">
                  <c:v>-0.66048610122817375</c:v>
                </c:pt>
                <c:pt idx="30">
                  <c:v>-0.65725441312119715</c:v>
                </c:pt>
                <c:pt idx="31">
                  <c:v>-0.6539185205276048</c:v>
                </c:pt>
                <c:pt idx="32">
                  <c:v>-0.65047895233692299</c:v>
                </c:pt>
                <c:pt idx="33">
                  <c:v>-0.646936253875939</c:v>
                </c:pt>
                <c:pt idx="34">
                  <c:v>-0.64329098682224217</c:v>
                </c:pt>
                <c:pt idx="35">
                  <c:v>-0.63954372911517265</c:v>
                </c:pt>
                <c:pt idx="36">
                  <c:v>-0.63569507486419241</c:v>
                </c:pt>
                <c:pt idx="37">
                  <c:v>-0.63174563425469121</c:v>
                </c:pt>
                <c:pt idx="38">
                  <c:v>-0.62769603345124536</c:v>
                </c:pt>
                <c:pt idx="39">
                  <c:v>-0.62354691449834243</c:v>
                </c:pt>
                <c:pt idx="40">
                  <c:v>-0.61929893521858748</c:v>
                </c:pt>
                <c:pt idx="41">
                  <c:v>-0.61495276910840924</c:v>
                </c:pt>
                <c:pt idx="42">
                  <c:v>-0.61050910523128044</c:v>
                </c:pt>
                <c:pt idx="43">
                  <c:v>-0.60596864810846973</c:v>
                </c:pt>
                <c:pt idx="44">
                  <c:v>-0.60133211760734351</c:v>
                </c:pt>
                <c:pt idx="45">
                  <c:v>-0.59660024882723472</c:v>
                </c:pt>
                <c:pt idx="46">
                  <c:v>-0.59177379198289592</c:v>
                </c:pt>
                <c:pt idx="47">
                  <c:v>-0.5868535122855566</c:v>
                </c:pt>
                <c:pt idx="48">
                  <c:v>-0.58184018982160302</c:v>
                </c:pt>
                <c:pt idx="49">
                  <c:v>-0.57673461942889881</c:v>
                </c:pt>
                <c:pt idx="50">
                  <c:v>-0.57153761057076724</c:v>
                </c:pt>
                <c:pt idx="51">
                  <c:v>-0.56624998720765563</c:v>
                </c:pt>
                <c:pt idx="52">
                  <c:v>-0.56087258766649939</c:v>
                </c:pt>
                <c:pt idx="53">
                  <c:v>-0.5554062645078095</c:v>
                </c:pt>
                <c:pt idx="54">
                  <c:v>-0.54985188439050414</c:v>
                </c:pt>
                <c:pt idx="55">
                  <c:v>-0.54421032793450319</c:v>
                </c:pt>
                <c:pt idx="56">
                  <c:v>-0.53848248958111</c:v>
                </c:pt>
                <c:pt idx="57">
                  <c:v>-0.53266927745120352</c:v>
                </c:pt>
                <c:pt idx="58">
                  <c:v>-0.52677161320125876</c:v>
                </c:pt>
                <c:pt idx="59">
                  <c:v>-0.52079043187722263</c:v>
                </c:pt>
                <c:pt idx="60">
                  <c:v>-0.51472668176626857</c:v>
                </c:pt>
                <c:pt idx="61">
                  <c:v>-0.50858132424644809</c:v>
                </c:pt>
                <c:pt idx="62">
                  <c:v>-0.50235533363427021</c:v>
                </c:pt>
                <c:pt idx="63">
                  <c:v>-0.49604969703022866</c:v>
                </c:pt>
                <c:pt idx="64">
                  <c:v>-0.48966541416230064</c:v>
                </c:pt>
                <c:pt idx="65">
                  <c:v>-0.48320349722744566</c:v>
                </c:pt>
                <c:pt idx="66">
                  <c:v>-0.47666497073112696</c:v>
                </c:pt>
                <c:pt idx="67">
                  <c:v>-0.47005087132488005</c:v>
                </c:pt>
                <c:pt idx="68">
                  <c:v>-0.46336224764195755</c:v>
                </c:pt>
                <c:pt idx="69">
                  <c:v>-0.45660016013107352</c:v>
                </c:pt>
                <c:pt idx="70">
                  <c:v>-0.44976568088827396</c:v>
                </c:pt>
                <c:pt idx="71">
                  <c:v>-0.44285989348696098</c:v>
                </c:pt>
                <c:pt idx="72">
                  <c:v>-0.43588389280609907</c:v>
                </c:pt>
                <c:pt idx="73">
                  <c:v>-0.4288387848566253</c:v>
                </c:pt>
                <c:pt idx="74">
                  <c:v>-0.42172568660609777</c:v>
                </c:pt>
                <c:pt idx="75">
                  <c:v>-0.41454572580160659</c:v>
                </c:pt>
                <c:pt idx="76">
                  <c:v>-0.40730004079097321</c:v>
                </c:pt>
                <c:pt idx="77">
                  <c:v>-0.39998978034227189</c:v>
                </c:pt>
                <c:pt idx="78">
                  <c:v>-0.39261610346169928</c:v>
                </c:pt>
                <c:pt idx="79">
                  <c:v>-0.3851801792098174</c:v>
                </c:pt>
                <c:pt idx="80">
                  <c:v>-0.37768318651620586</c:v>
                </c:pt>
                <c:pt idx="81">
                  <c:v>-0.37012631399254919</c:v>
                </c:pt>
                <c:pt idx="82">
                  <c:v>-0.36251075974418662</c:v>
                </c:pt>
                <c:pt idx="83">
                  <c:v>-0.35483773118015904</c:v>
                </c:pt>
                <c:pt idx="84">
                  <c:v>-0.34710844482178105</c:v>
                </c:pt>
                <c:pt idx="85">
                  <c:v>-0.3393241261097657</c:v>
                </c:pt>
                <c:pt idx="86">
                  <c:v>-0.33148600920993782</c:v>
                </c:pt>
                <c:pt idx="87">
                  <c:v>-0.32359533681756358</c:v>
                </c:pt>
                <c:pt idx="88">
                  <c:v>-0.31565335996032606</c:v>
                </c:pt>
                <c:pt idx="89">
                  <c:v>-0.30766133779998112</c:v>
                </c:pt>
                <c:pt idx="90">
                  <c:v>-0.29962053743272465</c:v>
                </c:pt>
                <c:pt idx="91">
                  <c:v>-0.29153223368829873</c:v>
                </c:pt>
                <c:pt idx="92">
                  <c:v>-0.28339770892787525</c:v>
                </c:pt>
                <c:pt idx="93">
                  <c:v>-0.27521825284074292</c:v>
                </c:pt>
                <c:pt idx="94">
                  <c:v>-0.26699516223983316</c:v>
                </c:pt>
                <c:pt idx="95">
                  <c:v>-0.25872974085611755</c:v>
                </c:pt>
                <c:pt idx="96">
                  <c:v>-0.25042329913190703</c:v>
                </c:pt>
                <c:pt idx="97">
                  <c:v>-0.24207715401308741</c:v>
                </c:pt>
                <c:pt idx="98">
                  <c:v>-0.23369262874032479</c:v>
                </c:pt>
                <c:pt idx="99">
                  <c:v>-0.22527105263927169</c:v>
                </c:pt>
                <c:pt idx="100">
                  <c:v>-0.21681376090980908</c:v>
                </c:pt>
                <c:pt idx="101">
                  <c:v>-0.20832209441435653</c:v>
                </c:pt>
                <c:pt idx="102">
                  <c:v>-0.1997973994652858</c:v>
                </c:pt>
                <c:pt idx="103">
                  <c:v>-0.19124102761146908</c:v>
                </c:pt>
                <c:pt idx="104">
                  <c:v>-0.18265433542399714</c:v>
                </c:pt>
                <c:pt idx="105">
                  <c:v>-0.17403868428110253</c:v>
                </c:pt>
                <c:pt idx="106">
                  <c:v>-0.16539544015231897</c:v>
                </c:pt>
                <c:pt idx="107">
                  <c:v>-0.15672597338191346</c:v>
                </c:pt>
                <c:pt idx="108">
                  <c:v>-0.1480316584716255</c:v>
                </c:pt>
                <c:pt idx="109">
                  <c:v>-0.13931387386274621</c:v>
                </c:pt>
                <c:pt idx="110">
                  <c:v>-0.13057400171757261</c:v>
                </c:pt>
                <c:pt idx="111">
                  <c:v>-0.12181342770027358</c:v>
                </c:pt>
                <c:pt idx="112">
                  <c:v>-0.11303354075719894</c:v>
                </c:pt>
                <c:pt idx="113">
                  <c:v>-0.10423573289666845</c:v>
                </c:pt>
                <c:pt idx="114">
                  <c:v>-9.542139896827645E-2</c:v>
                </c:pt>
                <c:pt idx="115">
                  <c:v>-8.6591936441744968E-2</c:v>
                </c:pt>
                <c:pt idx="116">
                  <c:v>-7.7748745185361054E-2</c:v>
                </c:pt>
                <c:pt idx="117">
                  <c:v>-6.8893227244035488E-2</c:v>
                </c:pt>
                <c:pt idx="118">
                  <c:v>-6.0026786617014959E-2</c:v>
                </c:pt>
                <c:pt idx="119">
                  <c:v>-5.1150829035284284E-2</c:v>
                </c:pt>
                <c:pt idx="120">
                  <c:v>-4.2266761738695612E-2</c:v>
                </c:pt>
                <c:pt idx="121">
                  <c:v>-3.3375993252856839E-2</c:v>
                </c:pt>
                <c:pt idx="122">
                  <c:v>-2.4479933165816356E-2</c:v>
                </c:pt>
                <c:pt idx="123">
                  <c:v>-1.5579991904580613E-2</c:v>
                </c:pt>
                <c:pt idx="124">
                  <c:v>-6.6775805114973269E-3</c:v>
                </c:pt>
                <c:pt idx="125">
                  <c:v>2.2258895794588776E-3</c:v>
                </c:pt>
                <c:pt idx="126">
                  <c:v>1.1129006766461514E-2</c:v>
                </c:pt>
                <c:pt idx="127">
                  <c:v>2.0030359503635298E-2</c:v>
                </c:pt>
                <c:pt idx="128">
                  <c:v>2.8928536524850348E-2</c:v>
                </c:pt>
                <c:pt idx="129">
                  <c:v>3.7822127067470603E-2</c:v>
                </c:pt>
                <c:pt idx="130">
                  <c:v>4.6709721096023865E-2</c:v>
                </c:pt>
                <c:pt idx="131">
                  <c:v>5.5589909525756487E-2</c:v>
                </c:pt>
                <c:pt idx="132">
                  <c:v>6.4461284446036007E-2</c:v>
                </c:pt>
                <c:pt idx="133">
                  <c:v>7.3322439343568954E-2</c:v>
                </c:pt>
                <c:pt idx="134">
                  <c:v>8.2171969325397179E-2</c:v>
                </c:pt>
                <c:pt idx="135">
                  <c:v>9.100847134163581E-2</c:v>
                </c:pt>
                <c:pt idx="136">
                  <c:v>9.983054440792051E-2</c:v>
                </c:pt>
                <c:pt idx="137">
                  <c:v>0.10863678982752717</c:v>
                </c:pt>
                <c:pt idx="138">
                  <c:v>0.11742581141312744</c:v>
                </c:pt>
                <c:pt idx="139">
                  <c:v>0.1261962157081481</c:v>
                </c:pt>
                <c:pt idx="140">
                  <c:v>0.13494661220769705</c:v>
                </c:pt>
                <c:pt idx="141">
                  <c:v>0.14367561357902034</c:v>
                </c:pt>
                <c:pt idx="142">
                  <c:v>0.15238183588145737</c:v>
                </c:pt>
                <c:pt idx="143">
                  <c:v>0.16106389878585847</c:v>
                </c:pt>
                <c:pt idx="144">
                  <c:v>0.16972042579342841</c:v>
                </c:pt>
                <c:pt idx="145">
                  <c:v>0.17835004445396407</c:v>
                </c:pt>
                <c:pt idx="146">
                  <c:v>0.18695138658345017</c:v>
                </c:pt>
                <c:pt idx="147">
                  <c:v>0.19552308848097721</c:v>
                </c:pt>
                <c:pt idx="148">
                  <c:v>0.20406379114495027</c:v>
                </c:pt>
                <c:pt idx="149">
                  <c:v>0.21257214048855225</c:v>
                </c:pt>
                <c:pt idx="150">
                  <c:v>0.22104678755442714</c:v>
                </c:pt>
                <c:pt idx="151">
                  <c:v>0.22948638872855084</c:v>
                </c:pt>
                <c:pt idx="152">
                  <c:v>0.2378896059532552</c:v>
                </c:pt>
                <c:pt idx="153">
                  <c:v>0.24625510693936969</c:v>
                </c:pt>
                <c:pt idx="154">
                  <c:v>0.25458156537744969</c:v>
                </c:pt>
                <c:pt idx="155">
                  <c:v>0.26286766114805682</c:v>
                </c:pt>
                <c:pt idx="156">
                  <c:v>0.27111208053105673</c:v>
                </c:pt>
                <c:pt idx="157">
                  <c:v>0.27931351641390345</c:v>
                </c:pt>
                <c:pt idx="158">
                  <c:v>0.28747066849887593</c:v>
                </c:pt>
                <c:pt idx="159">
                  <c:v>0.29558224350923312</c:v>
                </c:pt>
                <c:pt idx="160">
                  <c:v>0.3036469553942579</c:v>
                </c:pt>
                <c:pt idx="161">
                  <c:v>0.31166352553315246</c:v>
                </c:pt>
                <c:pt idx="162">
                  <c:v>0.31963068293775931</c:v>
                </c:pt>
                <c:pt idx="163">
                  <c:v>0.32754716445406934</c:v>
                </c:pt>
                <c:pt idx="164">
                  <c:v>0.33541171496248784</c:v>
                </c:pt>
                <c:pt idx="165">
                  <c:v>0.34322308757682951</c:v>
                </c:pt>
                <c:pt idx="166">
                  <c:v>0.35098004384200504</c:v>
                </c:pt>
                <c:pt idx="167">
                  <c:v>0.35868135393037154</c:v>
                </c:pt>
                <c:pt idx="168">
                  <c:v>0.36632579683671729</c:v>
                </c:pt>
                <c:pt idx="169">
                  <c:v>0.3739121605718454</c:v>
                </c:pt>
                <c:pt idx="170">
                  <c:v>0.38143924235472781</c:v>
                </c:pt>
                <c:pt idx="171">
                  <c:v>0.38890584880320228</c:v>
                </c:pt>
                <c:pt idx="172">
                  <c:v>0.39631079612317627</c:v>
                </c:pt>
                <c:pt idx="173">
                  <c:v>0.40365291029631101</c:v>
                </c:pt>
                <c:pt idx="174">
                  <c:v>0.41093102726615788</c:v>
                </c:pt>
                <c:pt idx="175">
                  <c:v>0.41814399312271339</c:v>
                </c:pt>
                <c:pt idx="176">
                  <c:v>0.42529066428536499</c:v>
                </c:pt>
                <c:pt idx="177">
                  <c:v>0.43236990768420158</c:v>
                </c:pt>
                <c:pt idx="178">
                  <c:v>0.43938060093965592</c:v>
                </c:pt>
                <c:pt idx="179">
                  <c:v>0.44632163254045126</c:v>
                </c:pt>
                <c:pt idx="180">
                  <c:v>0.4531919020198279</c:v>
                </c:pt>
                <c:pt idx="181">
                  <c:v>0.45999032013001567</c:v>
                </c:pt>
                <c:pt idx="182">
                  <c:v>0.46671580901492854</c:v>
                </c:pt>
                <c:pt idx="183">
                  <c:v>0.47336730238105462</c:v>
                </c:pt>
                <c:pt idx="184">
                  <c:v>0.47994374566651132</c:v>
                </c:pt>
                <c:pt idx="185">
                  <c:v>0.48644409620824008</c:v>
                </c:pt>
                <c:pt idx="186">
                  <c:v>0.49286732340731709</c:v>
                </c:pt>
                <c:pt idx="187">
                  <c:v>0.49921240889234869</c:v>
                </c:pt>
                <c:pt idx="188">
                  <c:v>0.50547834668092928</c:v>
                </c:pt>
                <c:pt idx="189">
                  <c:v>0.51166414333913524</c:v>
                </c:pt>
                <c:pt idx="190">
                  <c:v>0.5177688181390292</c:v>
                </c:pt>
                <c:pt idx="191">
                  <c:v>0.52379140321414885</c:v>
                </c:pt>
                <c:pt idx="192">
                  <c:v>0.52973094371295837</c:v>
                </c:pt>
                <c:pt idx="193">
                  <c:v>0.53558649795023527</c:v>
                </c:pt>
                <c:pt idx="194">
                  <c:v>0.54135713755636927</c:v>
                </c:pt>
                <c:pt idx="195">
                  <c:v>0.54704194762455194</c:v>
                </c:pt>
                <c:pt idx="196">
                  <c:v>0.55264002685582958</c:v>
                </c:pt>
                <c:pt idx="197">
                  <c:v>0.55815048770200082</c:v>
                </c:pt>
                <c:pt idx="198">
                  <c:v>0.56357245650633259</c:v>
                </c:pt>
                <c:pt idx="199">
                  <c:v>0.56890507364207354</c:v>
                </c:pt>
                <c:pt idx="200">
                  <c:v>0.57414749364874484</c:v>
                </c:pt>
                <c:pt idx="201">
                  <c:v>0.57929888536618335</c:v>
                </c:pt>
                <c:pt idx="202">
                  <c:v>0.58435843206631721</c:v>
                </c:pt>
                <c:pt idx="203">
                  <c:v>0.58932533158265532</c:v>
                </c:pt>
                <c:pt idx="204">
                  <c:v>0.59419879643746654</c:v>
                </c:pt>
                <c:pt idx="205">
                  <c:v>0.59897805396662984</c:v>
                </c:pt>
                <c:pt idx="206">
                  <c:v>0.60366234644213723</c:v>
                </c:pt>
                <c:pt idx="207">
                  <c:v>0.60825093119222773</c:v>
                </c:pt>
                <c:pt idx="208">
                  <c:v>0.61274308071913364</c:v>
                </c:pt>
                <c:pt idx="209">
                  <c:v>0.61713808281442262</c:v>
                </c:pt>
                <c:pt idx="210">
                  <c:v>0.62143524067191469</c:v>
                </c:pt>
                <c:pt idx="211">
                  <c:v>0.62563387299815676</c:v>
                </c:pt>
                <c:pt idx="212">
                  <c:v>0.62973331412043954</c:v>
                </c:pt>
                <c:pt idx="213">
                  <c:v>0.63373291409233579</c:v>
                </c:pt>
                <c:pt idx="214">
                  <c:v>0.63763203879674646</c:v>
                </c:pt>
                <c:pt idx="215">
                  <c:v>0.64143007004643704</c:v>
                </c:pt>
                <c:pt idx="216">
                  <c:v>0.64512640568204793</c:v>
                </c:pt>
                <c:pt idx="217">
                  <c:v>0.64872045966756375</c:v>
                </c:pt>
                <c:pt idx="218">
                  <c:v>0.65221166218322679</c:v>
                </c:pt>
                <c:pt idx="219">
                  <c:v>0.65559945971587941</c:v>
                </c:pt>
                <c:pt idx="220">
                  <c:v>0.65888331514671961</c:v>
                </c:pt>
                <c:pt idx="221">
                  <c:v>0.66206270783646026</c:v>
                </c:pt>
                <c:pt idx="222">
                  <c:v>0.66513713370787286</c:v>
                </c:pt>
                <c:pt idx="223">
                  <c:v>0.66810610532570669</c:v>
                </c:pt>
                <c:pt idx="224">
                  <c:v>0.67096915197396967</c:v>
                </c:pt>
                <c:pt idx="225">
                  <c:v>0.67372581973055778</c:v>
                </c:pt>
                <c:pt idx="226">
                  <c:v>0.67637567153922185</c:v>
                </c:pt>
                <c:pt idx="227">
                  <c:v>0.67891828727886161</c:v>
                </c:pt>
                <c:pt idx="228">
                  <c:v>0.68135326383013317</c:v>
                </c:pt>
                <c:pt idx="229">
                  <c:v>0.68368021513936161</c:v>
                </c:pt>
                <c:pt idx="230">
                  <c:v>0.68589877227974827</c:v>
                </c:pt>
                <c:pt idx="231">
                  <c:v>0.68800858350986227</c:v>
                </c:pt>
                <c:pt idx="232">
                  <c:v>0.69000931432940693</c:v>
                </c:pt>
                <c:pt idx="233">
                  <c:v>0.69190064753225344</c:v>
                </c:pt>
                <c:pt idx="234">
                  <c:v>0.69368228325673309</c:v>
                </c:pt>
                <c:pt idx="235">
                  <c:v>0.69535393903317722</c:v>
                </c:pt>
                <c:pt idx="236">
                  <c:v>0.69691534982870285</c:v>
                </c:pt>
                <c:pt idx="237">
                  <c:v>0.69836626808923197</c:v>
                </c:pt>
                <c:pt idx="238">
                  <c:v>0.69970646377873991</c:v>
                </c:pt>
                <c:pt idx="239">
                  <c:v>0.70093572441572605</c:v>
                </c:pt>
                <c:pt idx="240">
                  <c:v>0.70205385510690277</c:v>
                </c:pt>
                <c:pt idx="241">
                  <c:v>0.70306067857809362</c:v>
                </c:pt>
                <c:pt idx="242">
                  <c:v>0.70395603520234018</c:v>
                </c:pt>
                <c:pt idx="243">
                  <c:v>0.70473978302520979</c:v>
                </c:pt>
                <c:pt idx="244">
                  <c:v>0.70541179778730156</c:v>
                </c:pt>
                <c:pt idx="245">
                  <c:v>0.70597197294394753</c:v>
                </c:pt>
                <c:pt idx="246">
                  <c:v>0.70642021968210444</c:v>
                </c:pt>
                <c:pt idx="247">
                  <c:v>0.70675646693443472</c:v>
                </c:pt>
                <c:pt idx="248">
                  <c:v>0.70698066139057403</c:v>
                </c:pt>
                <c:pt idx="249">
                  <c:v>0.70709276750558292</c:v>
                </c:pt>
                <c:pt idx="250">
                  <c:v>0.70709276750558281</c:v>
                </c:pt>
                <c:pt idx="251">
                  <c:v>0.70698066139057381</c:v>
                </c:pt>
                <c:pt idx="252">
                  <c:v>0.70675646693443439</c:v>
                </c:pt>
                <c:pt idx="253">
                  <c:v>0.70642021968210389</c:v>
                </c:pt>
                <c:pt idx="254">
                  <c:v>0.70597197294394687</c:v>
                </c:pt>
                <c:pt idx="255">
                  <c:v>0.70541179778730068</c:v>
                </c:pt>
                <c:pt idx="256">
                  <c:v>0.70473978302520879</c:v>
                </c:pt>
                <c:pt idx="257">
                  <c:v>0.70395603520233907</c:v>
                </c:pt>
                <c:pt idx="258">
                  <c:v>0.70306067857809229</c:v>
                </c:pt>
                <c:pt idx="259">
                  <c:v>0.70205385510690133</c:v>
                </c:pt>
                <c:pt idx="260">
                  <c:v>0.70093572441572449</c:v>
                </c:pt>
                <c:pt idx="261">
                  <c:v>0.69970646377873802</c:v>
                </c:pt>
                <c:pt idx="262">
                  <c:v>0.69836626808923008</c:v>
                </c:pt>
                <c:pt idx="263">
                  <c:v>0.69691534982870074</c:v>
                </c:pt>
                <c:pt idx="264">
                  <c:v>0.69535393903317488</c:v>
                </c:pt>
                <c:pt idx="265">
                  <c:v>0.69368228325673065</c:v>
                </c:pt>
                <c:pt idx="266">
                  <c:v>0.691900647532251</c:v>
                </c:pt>
                <c:pt idx="267">
                  <c:v>0.69000931432940427</c:v>
                </c:pt>
                <c:pt idx="268">
                  <c:v>0.68800858350985949</c:v>
                </c:pt>
                <c:pt idx="269">
                  <c:v>0.68589877227974538</c:v>
                </c:pt>
                <c:pt idx="270">
                  <c:v>0.6836802151393585</c:v>
                </c:pt>
                <c:pt idx="271">
                  <c:v>0.68135326383012984</c:v>
                </c:pt>
                <c:pt idx="272">
                  <c:v>0.67891828727885828</c:v>
                </c:pt>
                <c:pt idx="273">
                  <c:v>0.67637567153921829</c:v>
                </c:pt>
                <c:pt idx="274">
                  <c:v>0.67372581973055401</c:v>
                </c:pt>
                <c:pt idx="275">
                  <c:v>0.67096915197396589</c:v>
                </c:pt>
                <c:pt idx="276">
                  <c:v>0.66810610532570269</c:v>
                </c:pt>
                <c:pt idx="277">
                  <c:v>0.66513713370786864</c:v>
                </c:pt>
                <c:pt idx="278">
                  <c:v>0.66206270783645604</c:v>
                </c:pt>
                <c:pt idx="279">
                  <c:v>0.65888331514671516</c:v>
                </c:pt>
                <c:pt idx="280">
                  <c:v>0.65559945971587474</c:v>
                </c:pt>
                <c:pt idx="281">
                  <c:v>0.65221166218322224</c:v>
                </c:pt>
                <c:pt idx="282">
                  <c:v>0.64872045966755887</c:v>
                </c:pt>
                <c:pt idx="283">
                  <c:v>0.64512640568204294</c:v>
                </c:pt>
                <c:pt idx="284">
                  <c:v>0.64143007004643204</c:v>
                </c:pt>
                <c:pt idx="285">
                  <c:v>0.63763203879674124</c:v>
                </c:pt>
                <c:pt idx="286">
                  <c:v>0.63373291409233035</c:v>
                </c:pt>
                <c:pt idx="287">
                  <c:v>0.6297333141204341</c:v>
                </c:pt>
                <c:pt idx="288">
                  <c:v>0.6256338729981511</c:v>
                </c:pt>
                <c:pt idx="289">
                  <c:v>0.62143524067190881</c:v>
                </c:pt>
                <c:pt idx="290">
                  <c:v>0.61713808281441673</c:v>
                </c:pt>
                <c:pt idx="291">
                  <c:v>0.61274308071912753</c:v>
                </c:pt>
                <c:pt idx="292">
                  <c:v>0.60825093119222151</c:v>
                </c:pt>
                <c:pt idx="293">
                  <c:v>0.60366234644213101</c:v>
                </c:pt>
                <c:pt idx="294">
                  <c:v>0.59897805396662329</c:v>
                </c:pt>
                <c:pt idx="295">
                  <c:v>0.59419879643745988</c:v>
                </c:pt>
                <c:pt idx="296">
                  <c:v>0.58932533158264866</c:v>
                </c:pt>
                <c:pt idx="297">
                  <c:v>0.58435843206631033</c:v>
                </c:pt>
                <c:pt idx="298">
                  <c:v>0.57929888536617635</c:v>
                </c:pt>
                <c:pt idx="299">
                  <c:v>0.57414749364873796</c:v>
                </c:pt>
                <c:pt idx="300">
                  <c:v>0.56890507364206633</c:v>
                </c:pt>
                <c:pt idx="301">
                  <c:v>0.56357245650632526</c:v>
                </c:pt>
                <c:pt idx="302">
                  <c:v>0.55815048770199349</c:v>
                </c:pt>
                <c:pt idx="303">
                  <c:v>0.55264002685582203</c:v>
                </c:pt>
                <c:pt idx="304">
                  <c:v>0.54704194762454417</c:v>
                </c:pt>
                <c:pt idx="305">
                  <c:v>0.54135713755636161</c:v>
                </c:pt>
                <c:pt idx="306">
                  <c:v>0.53558649795022728</c:v>
                </c:pt>
                <c:pt idx="307">
                  <c:v>0.52973094371295049</c:v>
                </c:pt>
                <c:pt idx="308">
                  <c:v>0.52379140321414086</c:v>
                </c:pt>
                <c:pt idx="309">
                  <c:v>0.51776881813902087</c:v>
                </c:pt>
                <c:pt idx="310">
                  <c:v>0.51166414333912702</c:v>
                </c:pt>
                <c:pt idx="311">
                  <c:v>0.50547834668092084</c:v>
                </c:pt>
                <c:pt idx="312">
                  <c:v>0.49921240889234003</c:v>
                </c:pt>
                <c:pt idx="313">
                  <c:v>0.49286732340730854</c:v>
                </c:pt>
                <c:pt idx="314">
                  <c:v>0.48644409620823142</c:v>
                </c:pt>
                <c:pt idx="315">
                  <c:v>0.47994374566650233</c:v>
                </c:pt>
                <c:pt idx="316">
                  <c:v>0.47336730238104574</c:v>
                </c:pt>
                <c:pt idx="317">
                  <c:v>0.4667158090149196</c:v>
                </c:pt>
                <c:pt idx="318">
                  <c:v>0.45999032013000657</c:v>
                </c:pt>
                <c:pt idx="319">
                  <c:v>0.45319190201981874</c:v>
                </c:pt>
                <c:pt idx="320">
                  <c:v>0.44632163254044177</c:v>
                </c:pt>
                <c:pt idx="321">
                  <c:v>0.43938060093964654</c:v>
                </c:pt>
                <c:pt idx="322">
                  <c:v>0.43236990768419215</c:v>
                </c:pt>
                <c:pt idx="323">
                  <c:v>0.42529066428535522</c:v>
                </c:pt>
                <c:pt idx="324">
                  <c:v>0.41814399312270384</c:v>
                </c:pt>
                <c:pt idx="325">
                  <c:v>0.41093102726614816</c:v>
                </c:pt>
                <c:pt idx="326">
                  <c:v>0.4036529102963009</c:v>
                </c:pt>
                <c:pt idx="327">
                  <c:v>0.39631079612316639</c:v>
                </c:pt>
                <c:pt idx="328">
                  <c:v>0.38890584880319229</c:v>
                </c:pt>
                <c:pt idx="329">
                  <c:v>0.38143924235471754</c:v>
                </c:pt>
                <c:pt idx="330">
                  <c:v>0.37391216057183529</c:v>
                </c:pt>
                <c:pt idx="331">
                  <c:v>0.36632579683670707</c:v>
                </c:pt>
                <c:pt idx="332">
                  <c:v>0.35868135393036099</c:v>
                </c:pt>
                <c:pt idx="333">
                  <c:v>0.35098004384199466</c:v>
                </c:pt>
                <c:pt idx="334">
                  <c:v>0.34322308757681907</c:v>
                </c:pt>
                <c:pt idx="335">
                  <c:v>0.33541171496247707</c:v>
                </c:pt>
                <c:pt idx="336">
                  <c:v>0.32754716445405874</c:v>
                </c:pt>
                <c:pt idx="337">
                  <c:v>0.31963068293774866</c:v>
                </c:pt>
                <c:pt idx="338">
                  <c:v>0.31166352553314147</c:v>
                </c:pt>
                <c:pt idx="339">
                  <c:v>0.30364695539424708</c:v>
                </c:pt>
                <c:pt idx="340">
                  <c:v>0.2955822435092223</c:v>
                </c:pt>
                <c:pt idx="341">
                  <c:v>0.28747066849886477</c:v>
                </c:pt>
                <c:pt idx="342">
                  <c:v>0.27931351641389263</c:v>
                </c:pt>
                <c:pt idx="343">
                  <c:v>0.27111208053104563</c:v>
                </c:pt>
                <c:pt idx="344">
                  <c:v>0.26286766114804544</c:v>
                </c:pt>
                <c:pt idx="345">
                  <c:v>0.2545815653774387</c:v>
                </c:pt>
                <c:pt idx="346">
                  <c:v>0.24625510693935837</c:v>
                </c:pt>
                <c:pt idx="347">
                  <c:v>0.23788960595324365</c:v>
                </c:pt>
                <c:pt idx="348">
                  <c:v>0.22948638872853969</c:v>
                </c:pt>
                <c:pt idx="349">
                  <c:v>0.22104678755441567</c:v>
                </c:pt>
                <c:pt idx="350">
                  <c:v>0.21257214048854059</c:v>
                </c:pt>
                <c:pt idx="351">
                  <c:v>0.204063791144939</c:v>
                </c:pt>
                <c:pt idx="352">
                  <c:v>0.19552308848096561</c:v>
                </c:pt>
                <c:pt idx="353">
                  <c:v>0.18695138658343835</c:v>
                </c:pt>
                <c:pt idx="354">
                  <c:v>0.17835004445395269</c:v>
                </c:pt>
                <c:pt idx="355">
                  <c:v>0.16972042579341667</c:v>
                </c:pt>
                <c:pt idx="356">
                  <c:v>0.16106389878584654</c:v>
                </c:pt>
                <c:pt idx="357">
                  <c:v>0.15238183588144588</c:v>
                </c:pt>
                <c:pt idx="358">
                  <c:v>0.14367561357900852</c:v>
                </c:pt>
                <c:pt idx="359">
                  <c:v>0.13494661220768503</c:v>
                </c:pt>
                <c:pt idx="360">
                  <c:v>0.12619621570813652</c:v>
                </c:pt>
                <c:pt idx="361">
                  <c:v>0.11742581141311553</c:v>
                </c:pt>
                <c:pt idx="362">
                  <c:v>0.10863678982751505</c:v>
                </c:pt>
                <c:pt idx="363">
                  <c:v>9.9830544407908853E-2</c:v>
                </c:pt>
                <c:pt idx="364">
                  <c:v>9.100847134162382E-2</c:v>
                </c:pt>
                <c:pt idx="365">
                  <c:v>8.2171969325385022E-2</c:v>
                </c:pt>
                <c:pt idx="366">
                  <c:v>7.3322439343557255E-2</c:v>
                </c:pt>
                <c:pt idx="367">
                  <c:v>6.4461284446023975E-2</c:v>
                </c:pt>
                <c:pt idx="368">
                  <c:v>5.5589909525744281E-2</c:v>
                </c:pt>
                <c:pt idx="369">
                  <c:v>4.6709721096012118E-2</c:v>
                </c:pt>
                <c:pt idx="370">
                  <c:v>3.7822127067458529E-2</c:v>
                </c:pt>
                <c:pt idx="371">
                  <c:v>2.8928536524838112E-2</c:v>
                </c:pt>
                <c:pt idx="372">
                  <c:v>2.0030359503623529E-2</c:v>
                </c:pt>
                <c:pt idx="373">
                  <c:v>1.1129006766449427E-2</c:v>
                </c:pt>
                <c:pt idx="374">
                  <c:v>2.2258895794466309E-3</c:v>
                </c:pt>
                <c:pt idx="375">
                  <c:v>-6.6775805115091022E-3</c:v>
                </c:pt>
                <c:pt idx="376">
                  <c:v>-1.5579991904592699E-2</c:v>
                </c:pt>
                <c:pt idx="377">
                  <c:v>-2.4479933165828593E-2</c:v>
                </c:pt>
                <c:pt idx="378">
                  <c:v>-3.3375993252868601E-2</c:v>
                </c:pt>
                <c:pt idx="379">
                  <c:v>-4.2266761738707671E-2</c:v>
                </c:pt>
                <c:pt idx="380">
                  <c:v>-5.1150829035296504E-2</c:v>
                </c:pt>
                <c:pt idx="381">
                  <c:v>-6.0026786617026692E-2</c:v>
                </c:pt>
                <c:pt idx="382">
                  <c:v>-6.889322724404752E-2</c:v>
                </c:pt>
                <c:pt idx="383">
                  <c:v>-7.7748745185373225E-2</c:v>
                </c:pt>
                <c:pt idx="384">
                  <c:v>-8.6591936441756653E-2</c:v>
                </c:pt>
                <c:pt idx="385">
                  <c:v>-9.542139896828844E-2</c:v>
                </c:pt>
                <c:pt idx="386">
                  <c:v>-0.10423573289668055</c:v>
                </c:pt>
                <c:pt idx="387">
                  <c:v>-0.11303354075721118</c:v>
                </c:pt>
                <c:pt idx="388">
                  <c:v>-0.12181342770028548</c:v>
                </c:pt>
                <c:pt idx="389">
                  <c:v>-0.13057400171758465</c:v>
                </c:pt>
                <c:pt idx="390">
                  <c:v>-0.13931387386275837</c:v>
                </c:pt>
                <c:pt idx="391">
                  <c:v>-0.14803165847163732</c:v>
                </c:pt>
                <c:pt idx="392">
                  <c:v>-0.1567259733819254</c:v>
                </c:pt>
                <c:pt idx="393">
                  <c:v>-0.16539544015233101</c:v>
                </c:pt>
                <c:pt idx="394">
                  <c:v>-0.17403868428111424</c:v>
                </c:pt>
                <c:pt idx="395">
                  <c:v>-0.18265433542400902</c:v>
                </c:pt>
                <c:pt idx="396">
                  <c:v>-0.19124102761148101</c:v>
                </c:pt>
                <c:pt idx="397">
                  <c:v>-0.19979739946529743</c:v>
                </c:pt>
                <c:pt idx="398">
                  <c:v>-0.20832209441436825</c:v>
                </c:pt>
                <c:pt idx="399">
                  <c:v>-0.21681376090982088</c:v>
                </c:pt>
                <c:pt idx="400">
                  <c:v>-0.22527105263928315</c:v>
                </c:pt>
                <c:pt idx="401">
                  <c:v>-0.23369262874033636</c:v>
                </c:pt>
                <c:pt idx="402">
                  <c:v>-0.24207715401309907</c:v>
                </c:pt>
                <c:pt idx="403">
                  <c:v>-0.25042329913191819</c:v>
                </c:pt>
                <c:pt idx="404">
                  <c:v>-0.25872974085612899</c:v>
                </c:pt>
                <c:pt idx="405">
                  <c:v>-0.26699516223984465</c:v>
                </c:pt>
                <c:pt idx="406">
                  <c:v>-0.27521825284075391</c:v>
                </c:pt>
                <c:pt idx="407">
                  <c:v>-0.28339770892788652</c:v>
                </c:pt>
                <c:pt idx="408">
                  <c:v>-0.29153223368831005</c:v>
                </c:pt>
                <c:pt idx="409">
                  <c:v>-0.29962053743273548</c:v>
                </c:pt>
                <c:pt idx="410">
                  <c:v>-0.30766133779999216</c:v>
                </c:pt>
                <c:pt idx="411">
                  <c:v>-0.315653359960337</c:v>
                </c:pt>
                <c:pt idx="412">
                  <c:v>-0.32359533681757419</c:v>
                </c:pt>
                <c:pt idx="413">
                  <c:v>-0.33148600920994858</c:v>
                </c:pt>
                <c:pt idx="414">
                  <c:v>-0.33932412610977641</c:v>
                </c:pt>
                <c:pt idx="415">
                  <c:v>-0.34710844482179143</c:v>
                </c:pt>
                <c:pt idx="416">
                  <c:v>-0.35483773118016965</c:v>
                </c:pt>
                <c:pt idx="417">
                  <c:v>-0.36251075974419711</c:v>
                </c:pt>
                <c:pt idx="418">
                  <c:v>-0.3701263139925593</c:v>
                </c:pt>
                <c:pt idx="419">
                  <c:v>-0.37768318651621613</c:v>
                </c:pt>
                <c:pt idx="420">
                  <c:v>-0.38518017920982767</c:v>
                </c:pt>
                <c:pt idx="421">
                  <c:v>-0.39261610346170928</c:v>
                </c:pt>
                <c:pt idx="422">
                  <c:v>-0.39998978034228205</c:v>
                </c:pt>
                <c:pt idx="423">
                  <c:v>-0.4073000407909832</c:v>
                </c:pt>
                <c:pt idx="424">
                  <c:v>-0.41454572580161625</c:v>
                </c:pt>
                <c:pt idx="425">
                  <c:v>-0.42172568660610765</c:v>
                </c:pt>
                <c:pt idx="426">
                  <c:v>-0.42883878485663507</c:v>
                </c:pt>
                <c:pt idx="427">
                  <c:v>-0.43588389280610845</c:v>
                </c:pt>
                <c:pt idx="428">
                  <c:v>-0.44285989348697052</c:v>
                </c:pt>
                <c:pt idx="429">
                  <c:v>-0.44976568088828345</c:v>
                </c:pt>
                <c:pt idx="430">
                  <c:v>-0.45660016013108262</c:v>
                </c:pt>
                <c:pt idx="431">
                  <c:v>-0.46336224764196676</c:v>
                </c:pt>
                <c:pt idx="432">
                  <c:v>-0.47005087132488926</c:v>
                </c:pt>
                <c:pt idx="433">
                  <c:v>-0.47666497073113573</c:v>
                </c:pt>
                <c:pt idx="434">
                  <c:v>-0.48320349722745459</c:v>
                </c:pt>
                <c:pt idx="435">
                  <c:v>-0.48966541416230952</c:v>
                </c:pt>
                <c:pt idx="436">
                  <c:v>-0.49604969703023716</c:v>
                </c:pt>
                <c:pt idx="437">
                  <c:v>-0.50235533363427887</c:v>
                </c:pt>
                <c:pt idx="438">
                  <c:v>-0.50858132424645663</c:v>
                </c:pt>
                <c:pt idx="439">
                  <c:v>-0.51472668176627667</c:v>
                </c:pt>
                <c:pt idx="440">
                  <c:v>-0.52079043187723095</c:v>
                </c:pt>
                <c:pt idx="441">
                  <c:v>-0.52677161320126686</c:v>
                </c:pt>
                <c:pt idx="442">
                  <c:v>-0.5326692774512114</c:v>
                </c:pt>
                <c:pt idx="443">
                  <c:v>-0.53848248958111788</c:v>
                </c:pt>
                <c:pt idx="444">
                  <c:v>-0.54421032793451096</c:v>
                </c:pt>
                <c:pt idx="445">
                  <c:v>-0.54985188439051169</c:v>
                </c:pt>
                <c:pt idx="446">
                  <c:v>-0.55540626450781705</c:v>
                </c:pt>
                <c:pt idx="447">
                  <c:v>-0.56087258766650683</c:v>
                </c:pt>
                <c:pt idx="448">
                  <c:v>-0.56624998720766284</c:v>
                </c:pt>
                <c:pt idx="449">
                  <c:v>-0.57153761057077446</c:v>
                </c:pt>
                <c:pt idx="450">
                  <c:v>-0.57673461942890591</c:v>
                </c:pt>
                <c:pt idx="451">
                  <c:v>-0.58184018982160979</c:v>
                </c:pt>
                <c:pt idx="452">
                  <c:v>-0.58685351228556337</c:v>
                </c:pt>
                <c:pt idx="453">
                  <c:v>-0.59177379198290259</c:v>
                </c:pt>
                <c:pt idx="454">
                  <c:v>-0.59660024882724116</c:v>
                </c:pt>
                <c:pt idx="455">
                  <c:v>-0.60133211760734995</c:v>
                </c:pt>
                <c:pt idx="456">
                  <c:v>-0.60596864810847617</c:v>
                </c:pt>
                <c:pt idx="457">
                  <c:v>-0.61050910523128654</c:v>
                </c:pt>
                <c:pt idx="458">
                  <c:v>-0.61495276910841534</c:v>
                </c:pt>
                <c:pt idx="459">
                  <c:v>-0.61929893521859336</c:v>
                </c:pt>
                <c:pt idx="460">
                  <c:v>-0.62354691449834798</c:v>
                </c:pt>
                <c:pt idx="461">
                  <c:v>-0.62769603345125102</c:v>
                </c:pt>
                <c:pt idx="462">
                  <c:v>-0.63174563425469676</c:v>
                </c:pt>
                <c:pt idx="463">
                  <c:v>-0.63569507486419763</c:v>
                </c:pt>
                <c:pt idx="464">
                  <c:v>-0.63954372911517787</c:v>
                </c:pt>
                <c:pt idx="465">
                  <c:v>-0.64329098682224728</c:v>
                </c:pt>
                <c:pt idx="466">
                  <c:v>-0.64693625387594378</c:v>
                </c:pt>
                <c:pt idx="467">
                  <c:v>-0.65047895233692776</c:v>
                </c:pt>
                <c:pt idx="468">
                  <c:v>-0.65391852052760935</c:v>
                </c:pt>
                <c:pt idx="469">
                  <c:v>-0.65725441312120148</c:v>
                </c:pt>
                <c:pt idx="470">
                  <c:v>-0.66048610122817819</c:v>
                </c:pt>
                <c:pt idx="471">
                  <c:v>-0.66361307248012702</c:v>
                </c:pt>
                <c:pt idx="472">
                  <c:v>-0.66663483111098298</c:v>
                </c:pt>
                <c:pt idx="473">
                  <c:v>-0.6695508980356305</c:v>
                </c:pt>
                <c:pt idx="474">
                  <c:v>-0.67236081092585853</c:v>
                </c:pt>
                <c:pt idx="475">
                  <c:v>-0.67506412428366136</c:v>
                </c:pt>
                <c:pt idx="476">
                  <c:v>-0.67766040951187068</c:v>
                </c:pt>
                <c:pt idx="477">
                  <c:v>-0.68014925498210621</c:v>
                </c:pt>
                <c:pt idx="478">
                  <c:v>-0.68253026610003842</c:v>
                </c:pt>
                <c:pt idx="479">
                  <c:v>-0.68480306536794944</c:v>
                </c:pt>
                <c:pt idx="480">
                  <c:v>-0.68696729244458277</c:v>
                </c:pt>
                <c:pt idx="481">
                  <c:v>-0.68902260420227435</c:v>
                </c:pt>
                <c:pt idx="482">
                  <c:v>-0.69096867478135393</c:v>
                </c:pt>
                <c:pt idx="483">
                  <c:v>-0.69280519564180754</c:v>
                </c:pt>
                <c:pt idx="484">
                  <c:v>-0.69453187561219598</c:v>
                </c:pt>
                <c:pt idx="485">
                  <c:v>-0.69614844093581829</c:v>
                </c:pt>
                <c:pt idx="486">
                  <c:v>-0.69765463531411454</c:v>
                </c:pt>
                <c:pt idx="487">
                  <c:v>-0.69905021994730043</c:v>
                </c:pt>
                <c:pt idx="488">
                  <c:v>-0.70033497357222863</c:v>
                </c:pt>
                <c:pt idx="489">
                  <c:v>-0.70150869249746806</c:v>
                </c:pt>
                <c:pt idx="490">
                  <c:v>-0.7025711906355987</c:v>
                </c:pt>
                <c:pt idx="491">
                  <c:v>-0.70352229953271461</c:v>
                </c:pt>
                <c:pt idx="492">
                  <c:v>-0.70436186839513193</c:v>
                </c:pt>
                <c:pt idx="493">
                  <c:v>-0.7050897641132956</c:v>
                </c:pt>
                <c:pt idx="494">
                  <c:v>-0.70570587128288442</c:v>
                </c:pt>
                <c:pt idx="495">
                  <c:v>-0.70621009222310671</c:v>
                </c:pt>
                <c:pt idx="496">
                  <c:v>-0.70660234699218771</c:v>
                </c:pt>
                <c:pt idx="497">
                  <c:v>-0.70688257340004401</c:v>
                </c:pt>
                <c:pt idx="498">
                  <c:v>-0.7070507270181432</c:v>
                </c:pt>
                <c:pt idx="499">
                  <c:v>-0.70710678118654802</c:v>
                </c:pt>
              </c:numCache>
            </c:numRef>
          </c:xVal>
          <c:yVal>
            <c:numRef>
              <c:f>XLSTAT_20210923_105258_1_HID!ycircle126696521</c:f>
              <c:numCache>
                <c:formatCode>General</c:formatCode>
                <c:ptCount val="500"/>
                <c:pt idx="0">
                  <c:v>-2.2847605201998973E-15</c:v>
                </c:pt>
                <c:pt idx="1">
                  <c:v>-8.9033377514293362E-3</c:v>
                </c:pt>
                <c:pt idx="2">
                  <c:v>-1.7805263922012159E-2</c:v>
                </c:pt>
                <c:pt idx="3">
                  <c:v>-2.6704367154704853E-2</c:v>
                </c:pt>
                <c:pt idx="4">
                  <c:v>-3.5599236540025517E-2</c:v>
                </c:pt>
                <c:pt idx="5">
                  <c:v>-4.4488461839748118E-2</c:v>
                </c:pt>
                <c:pt idx="6">
                  <c:v>-5.3370633710488002E-2</c:v>
                </c:pt>
                <c:pt idx="7">
                  <c:v>-6.2244343927148241E-2</c:v>
                </c:pt>
                <c:pt idx="8">
                  <c:v>-7.1108185606185967E-2</c:v>
                </c:pt>
                <c:pt idx="9">
                  <c:v>-7.9960753428665973E-2</c:v>
                </c:pt>
                <c:pt idx="10">
                  <c:v>-8.8800643863069004E-2</c:v>
                </c:pt>
                <c:pt idx="11">
                  <c:v>-9.7626455387814018E-2</c:v>
                </c:pt>
                <c:pt idx="12">
                  <c:v>-0.10643678871346153</c:v>
                </c:pt>
                <c:pt idx="13">
                  <c:v>-0.11523024700456615</c:v>
                </c:pt>
                <c:pt idx="14">
                  <c:v>-0.12400543610113698</c:v>
                </c:pt>
                <c:pt idx="15">
                  <c:v>-0.13276096473967405</c:v>
                </c:pt>
                <c:pt idx="16">
                  <c:v>-0.14149544477374826</c:v>
                </c:pt>
                <c:pt idx="17">
                  <c:v>-0.1502074913940841</c:v>
                </c:pt>
                <c:pt idx="18">
                  <c:v>-0.15889572334811378</c:v>
                </c:pt>
                <c:pt idx="19">
                  <c:v>-0.16755876315896975</c:v>
                </c:pt>
                <c:pt idx="20">
                  <c:v>-0.1761952373438761</c:v>
                </c:pt>
                <c:pt idx="21">
                  <c:v>-0.18480377663190661</c:v>
                </c:pt>
                <c:pt idx="22">
                  <c:v>-0.19338301618107784</c:v>
                </c:pt>
                <c:pt idx="23">
                  <c:v>-0.2019315957947373</c:v>
                </c:pt>
                <c:pt idx="24">
                  <c:v>-0.21044816013721507</c:v>
                </c:pt>
                <c:pt idx="25">
                  <c:v>-0.21893135894870738</c:v>
                </c:pt>
                <c:pt idx="26">
                  <c:v>-0.22737984725935309</c:v>
                </c:pt>
                <c:pt idx="27">
                  <c:v>-0.23579228560247087</c:v>
                </c:pt>
                <c:pt idx="28">
                  <c:v>-0.24416734022692721</c:v>
                </c:pt>
                <c:pt idx="29">
                  <c:v>-0.25250368330859507</c:v>
                </c:pt>
                <c:pt idx="30">
                  <c:v>-0.26079999316087321</c:v>
                </c:pt>
                <c:pt idx="31">
                  <c:v>-0.26905495444423472</c:v>
                </c:pt>
                <c:pt idx="32">
                  <c:v>-0.27726725837476707</c:v>
                </c:pt>
                <c:pt idx="33">
                  <c:v>-0.28543560293167236</c:v>
                </c:pt>
                <c:pt idx="34">
                  <c:v>-0.29355869306369808</c:v>
                </c:pt>
                <c:pt idx="35">
                  <c:v>-0.30163524089446064</c:v>
                </c:pt>
                <c:pt idx="36">
                  <c:v>-0.30966396592663065</c:v>
                </c:pt>
                <c:pt idx="37">
                  <c:v>-0.31764359524495145</c:v>
                </c:pt>
                <c:pt idx="38">
                  <c:v>-0.32557286371805272</c:v>
                </c:pt>
                <c:pt idx="39">
                  <c:v>-0.3334505141990301</c:v>
                </c:pt>
                <c:pt idx="40">
                  <c:v>-0.34127529772476128</c:v>
                </c:pt>
                <c:pt idx="41">
                  <c:v>-0.34904597371392243</c:v>
                </c:pt>
                <c:pt idx="42">
                  <c:v>-0.35676131016367513</c:v>
                </c:pt>
                <c:pt idx="43">
                  <c:v>-0.36442008384499641</c:v>
                </c:pt>
                <c:pt idx="44">
                  <c:v>-0.37202108049661475</c:v>
                </c:pt>
                <c:pt idx="45">
                  <c:v>-0.3795630950175245</c:v>
                </c:pt>
                <c:pt idx="46">
                  <c:v>-0.38704493165805037</c:v>
                </c:pt>
                <c:pt idx="47">
                  <c:v>-0.39446540420942727</c:v>
                </c:pt>
                <c:pt idx="48">
                  <c:v>-0.40182333619186639</c:v>
                </c:pt>
                <c:pt idx="49">
                  <c:v>-0.40911756104108266</c:v>
                </c:pt>
                <c:pt idx="50">
                  <c:v>-0.41634692229324655</c:v>
                </c:pt>
                <c:pt idx="51">
                  <c:v>-0.4235102737683355</c:v>
                </c:pt>
                <c:pt idx="52">
                  <c:v>-0.43060647975185612</c:v>
                </c:pt>
                <c:pt idx="53">
                  <c:v>-0.43763441517490587</c:v>
                </c:pt>
                <c:pt idx="54">
                  <c:v>-0.44459296579254637</c:v>
                </c:pt>
                <c:pt idx="55">
                  <c:v>-0.45148102836046305</c:v>
                </c:pt>
                <c:pt idx="56">
                  <c:v>-0.45829751080987829</c:v>
                </c:pt>
                <c:pt idx="57">
                  <c:v>-0.4650413324206929</c:v>
                </c:pt>
                <c:pt idx="58">
                  <c:v>-0.47171142399283078</c:v>
                </c:pt>
                <c:pt idx="59">
                  <c:v>-0.47830672801575413</c:v>
                </c:pt>
                <c:pt idx="60">
                  <c:v>-0.48482619883612643</c:v>
                </c:pt>
                <c:pt idx="61">
                  <c:v>-0.4912688028235967</c:v>
                </c:pt>
                <c:pt idx="62">
                  <c:v>-0.49763351853467608</c:v>
                </c:pt>
                <c:pt idx="63">
                  <c:v>-0.50391933687468182</c:v>
                </c:pt>
                <c:pt idx="64">
                  <c:v>-0.51012526125772606</c:v>
                </c:pt>
                <c:pt idx="65">
                  <c:v>-0.51625030776471847</c:v>
                </c:pt>
                <c:pt idx="66">
                  <c:v>-0.52229350529936192</c:v>
                </c:pt>
                <c:pt idx="67">
                  <c:v>-0.52825389574211545</c:v>
                </c:pt>
                <c:pt idx="68">
                  <c:v>-0.53413053410209932</c:v>
                </c:pt>
                <c:pt idx="69">
                  <c:v>-0.5399224886669185</c:v>
                </c:pt>
                <c:pt idx="70">
                  <c:v>-0.54562884115038124</c:v>
                </c:pt>
                <c:pt idx="71">
                  <c:v>-0.5512486868380897</c:v>
                </c:pt>
                <c:pt idx="72">
                  <c:v>-0.55678113473087598</c:v>
                </c:pt>
                <c:pt idx="73">
                  <c:v>-0.56222530768606793</c:v>
                </c:pt>
                <c:pt idx="74">
                  <c:v>-0.56758034255655476</c:v>
                </c:pt>
                <c:pt idx="75">
                  <c:v>-0.57284539032763448</c:v>
                </c:pt>
                <c:pt idx="76">
                  <c:v>-0.5780196162516219</c:v>
                </c:pt>
                <c:pt idx="77">
                  <c:v>-0.58310219998019364</c:v>
                </c:pt>
                <c:pt idx="78">
                  <c:v>-0.5880923356944493</c:v>
                </c:pt>
                <c:pt idx="79">
                  <c:v>-0.59298923223267186</c:v>
                </c:pt>
                <c:pt idx="80">
                  <c:v>-0.59779211321576131</c:v>
                </c:pt>
                <c:pt idx="81">
                  <c:v>-0.60250021717032576</c:v>
                </c:pt>
                <c:pt idx="82">
                  <c:v>-0.60711279764940995</c:v>
                </c:pt>
                <c:pt idx="83">
                  <c:v>-0.61162912335084063</c:v>
                </c:pt>
                <c:pt idx="84">
                  <c:v>-0.61604847823317066</c:v>
                </c:pt>
                <c:pt idx="85">
                  <c:v>-0.62037016162920389</c:v>
                </c:pt>
                <c:pt idx="86">
                  <c:v>-0.62459348835708306</c:v>
                </c:pt>
                <c:pt idx="87">
                  <c:v>-0.62871778882892149</c:v>
                </c:pt>
                <c:pt idx="88">
                  <c:v>-0.632742409156963</c:v>
                </c:pt>
                <c:pt idx="89">
                  <c:v>-0.63666671125725327</c:v>
                </c:pt>
                <c:pt idx="90">
                  <c:v>-0.64049007295080373</c:v>
                </c:pt>
                <c:pt idx="91">
                  <c:v>-0.64421188806223673</c:v>
                </c:pt>
                <c:pt idx="92">
                  <c:v>-0.64783156651589002</c:v>
                </c:pt>
                <c:pt idx="93">
                  <c:v>-0.65134853442937102</c:v>
                </c:pt>
                <c:pt idx="94">
                  <c:v>-0.65476223420454382</c:v>
                </c:pt>
                <c:pt idx="95">
                  <c:v>-0.65807212461593212</c:v>
                </c:pt>
                <c:pt idx="96">
                  <c:v>-0.66127768089652939</c:v>
                </c:pt>
                <c:pt idx="97">
                  <c:v>-0.66437839482099703</c:v>
                </c:pt>
                <c:pt idx="98">
                  <c:v>-0.66737377478624182</c:v>
                </c:pt>
                <c:pt idx="99">
                  <c:v>-0.67026334588935654</c:v>
                </c:pt>
                <c:pt idx="100">
                  <c:v>-0.67304665000291386</c:v>
                </c:pt>
                <c:pt idx="101">
                  <c:v>-0.67572324584760035</c:v>
                </c:pt>
                <c:pt idx="102">
                  <c:v>-0.67829270906217898</c:v>
                </c:pt>
                <c:pt idx="103">
                  <c:v>-0.68075463227076904</c:v>
                </c:pt>
                <c:pt idx="104">
                  <c:v>-0.68310862514743487</c:v>
                </c:pt>
                <c:pt idx="105">
                  <c:v>-0.68535431447806872</c:v>
                </c:pt>
                <c:pt idx="106">
                  <c:v>-0.68749134421956282</c:v>
                </c:pt>
                <c:pt idx="107">
                  <c:v>-0.68951937555625831</c:v>
                </c:pt>
                <c:pt idx="108">
                  <c:v>-0.6914380869536626</c:v>
                </c:pt>
                <c:pt idx="109">
                  <c:v>-0.69324717420942694</c:v>
                </c:pt>
                <c:pt idx="110">
                  <c:v>-0.69494635050157649</c:v>
                </c:pt>
                <c:pt idx="111">
                  <c:v>-0.69653534643398463</c:v>
                </c:pt>
                <c:pt idx="112">
                  <c:v>-0.69801391007908387</c:v>
                </c:pt>
                <c:pt idx="113">
                  <c:v>-0.6993818070178085</c:v>
                </c:pt>
                <c:pt idx="114">
                  <c:v>-0.70063882037675995</c:v>
                </c:pt>
                <c:pt idx="115">
                  <c:v>-0.7017847508625914</c:v>
                </c:pt>
                <c:pt idx="116">
                  <c:v>-0.7028194167936046</c:v>
                </c:pt>
                <c:pt idx="117">
                  <c:v>-0.70374265412855452</c:v>
                </c:pt>
                <c:pt idx="118">
                  <c:v>-0.70455431649265776</c:v>
                </c:pt>
                <c:pt idx="119">
                  <c:v>-0.70525427520079864</c:v>
                </c:pt>
                <c:pt idx="120">
                  <c:v>-0.70584241927793279</c:v>
                </c:pt>
                <c:pt idx="121">
                  <c:v>-0.70631865547668071</c:v>
                </c:pt>
                <c:pt idx="122">
                  <c:v>-0.70668290829211211</c:v>
                </c:pt>
                <c:pt idx="123">
                  <c:v>-0.70693511997371716</c:v>
                </c:pt>
                <c:pt idx="124">
                  <c:v>-0.70707525053456166</c:v>
                </c:pt>
                <c:pt idx="125">
                  <c:v>-0.70710327775762771</c:v>
                </c:pt>
                <c:pt idx="126">
                  <c:v>-0.70701919719933537</c:v>
                </c:pt>
                <c:pt idx="127">
                  <c:v>-0.70682302219024795</c:v>
                </c:pt>
                <c:pt idx="128">
                  <c:v>-0.70651478383295785</c:v>
                </c:pt>
                <c:pt idx="129">
                  <c:v>-0.70609453099715536</c:v>
                </c:pt>
                <c:pt idx="130">
                  <c:v>-0.70556233031188131</c:v>
                </c:pt>
                <c:pt idx="131">
                  <c:v>-0.70491826615496278</c:v>
                </c:pt>
                <c:pt idx="132">
                  <c:v>-0.70416244063963529</c:v>
                </c:pt>
                <c:pt idx="133">
                  <c:v>-0.70329497359835391</c:v>
                </c:pt>
                <c:pt idx="134">
                  <c:v>-0.70231600256379367</c:v>
                </c:pt>
                <c:pt idx="135">
                  <c:v>-0.701225682747045</c:v>
                </c:pt>
                <c:pt idx="136">
                  <c:v>-0.70002418701300517</c:v>
                </c:pt>
                <c:pt idx="137">
                  <c:v>-0.69871170585297226</c:v>
                </c:pt>
                <c:pt idx="138">
                  <c:v>-0.69728844735444262</c:v>
                </c:pt>
                <c:pt idx="139">
                  <c:v>-0.69575463716812069</c:v>
                </c:pt>
                <c:pt idx="140">
                  <c:v>-0.69411051847214222</c:v>
                </c:pt>
                <c:pt idx="141">
                  <c:v>-0.69235635193352041</c:v>
                </c:pt>
                <c:pt idx="142">
                  <c:v>-0.69049241566681763</c:v>
                </c:pt>
                <c:pt idx="143">
                  <c:v>-0.68851900519005249</c:v>
                </c:pt>
                <c:pt idx="144">
                  <c:v>-0.6864364333778461</c:v>
                </c:pt>
                <c:pt idx="145">
                  <c:v>-0.68424503041181794</c:v>
                </c:pt>
                <c:pt idx="146">
                  <c:v>-0.68194514372823722</c:v>
                </c:pt>
                <c:pt idx="147">
                  <c:v>-0.67953713796293769</c:v>
                </c:pt>
                <c:pt idx="148">
                  <c:v>-0.67702139489350766</c:v>
                </c:pt>
                <c:pt idx="149">
                  <c:v>-0.67439831337875977</c:v>
                </c:pt>
                <c:pt idx="150">
                  <c:v>-0.67166830929549493</c:v>
                </c:pt>
                <c:pt idx="151">
                  <c:v>-0.66883181547256643</c:v>
                </c:pt>
                <c:pt idx="152">
                  <c:v>-0.66588928162225713</c:v>
                </c:pt>
                <c:pt idx="153">
                  <c:v>-0.66284117426897993</c:v>
                </c:pt>
                <c:pt idx="154">
                  <c:v>-0.65968797667531287</c:v>
                </c:pt>
                <c:pt idx="155">
                  <c:v>-0.65643018876537895</c:v>
                </c:pt>
                <c:pt idx="156">
                  <c:v>-0.65306832704558748</c:v>
                </c:pt>
                <c:pt idx="157">
                  <c:v>-0.64960292452274326</c:v>
                </c:pt>
                <c:pt idx="158">
                  <c:v>-0.64603453061954053</c:v>
                </c:pt>
                <c:pt idx="159">
                  <c:v>-0.64236371108745638</c:v>
                </c:pt>
                <c:pt idx="160">
                  <c:v>-0.63859104791705179</c:v>
                </c:pt>
                <c:pt idx="161">
                  <c:v>-0.63471713924570106</c:v>
                </c:pt>
                <c:pt idx="162">
                  <c:v>-0.63074259926275966</c:v>
                </c:pt>
                <c:pt idx="163">
                  <c:v>-0.62666805811218718</c:v>
                </c:pt>
                <c:pt idx="164">
                  <c:v>-0.62249416179264161</c:v>
                </c:pt>
                <c:pt idx="165">
                  <c:v>-0.61822157205505923</c:v>
                </c:pt>
                <c:pt idx="166">
                  <c:v>-0.61385096629773661</c:v>
                </c:pt>
                <c:pt idx="167">
                  <c:v>-0.60938303745893374</c:v>
                </c:pt>
                <c:pt idx="168">
                  <c:v>-0.60481849390701081</c:v>
                </c:pt>
                <c:pt idx="169">
                  <c:v>-0.60015805932812005</c:v>
                </c:pt>
                <c:pt idx="170">
                  <c:v>-0.59540247261146972</c:v>
                </c:pt>
                <c:pt idx="171">
                  <c:v>-0.59055248773217561</c:v>
                </c:pt>
                <c:pt idx="172">
                  <c:v>-0.58560887363172265</c:v>
                </c:pt>
                <c:pt idx="173">
                  <c:v>-0.58057241409605309</c:v>
                </c:pt>
                <c:pt idx="174">
                  <c:v>-0.5754439076313006</c:v>
                </c:pt>
                <c:pt idx="175">
                  <c:v>-0.57022416733719106</c:v>
                </c:pt>
                <c:pt idx="176">
                  <c:v>-0.56491402077813013</c:v>
                </c:pt>
                <c:pt idx="177">
                  <c:v>-0.55951430985199624</c:v>
                </c:pt>
                <c:pt idx="178">
                  <c:v>-0.55402589065666197</c:v>
                </c:pt>
                <c:pt idx="179">
                  <c:v>-0.54844963335426444</c:v>
                </c:pt>
                <c:pt idx="180">
                  <c:v>-0.54278642203324456</c:v>
                </c:pt>
                <c:pt idx="181">
                  <c:v>-0.53703715456817913</c:v>
                </c:pt>
                <c:pt idx="182">
                  <c:v>-0.53120274247742871</c:v>
                </c:pt>
                <c:pt idx="183">
                  <c:v>-0.52528411077861836</c:v>
                </c:pt>
                <c:pt idx="184">
                  <c:v>-0.51928219784198237</c:v>
                </c:pt>
                <c:pt idx="185">
                  <c:v>-0.51319795524159018</c:v>
                </c:pt>
                <c:pt idx="186">
                  <c:v>-0.50703234760447768</c:v>
                </c:pt>
                <c:pt idx="187">
                  <c:v>-0.50078635245771141</c:v>
                </c:pt>
                <c:pt idx="188">
                  <c:v>-0.49446096007340662</c:v>
                </c:pt>
                <c:pt idx="189">
                  <c:v>-0.48805717331172338</c:v>
                </c:pt>
                <c:pt idx="190">
                  <c:v>-0.48157600746186846</c:v>
                </c:pt>
                <c:pt idx="191">
                  <c:v>-0.47501849008112684</c:v>
                </c:pt>
                <c:pt idx="192">
                  <c:v>-0.46838566083194649</c:v>
                </c:pt>
                <c:pt idx="193">
                  <c:v>-0.46167857131710505</c:v>
                </c:pt>
                <c:pt idx="194">
                  <c:v>-0.45489828491298467</c:v>
                </c:pt>
                <c:pt idx="195">
                  <c:v>-0.44804587660097667</c:v>
                </c:pt>
                <c:pt idx="196">
                  <c:v>-0.44112243279705088</c:v>
                </c:pt>
                <c:pt idx="197">
                  <c:v>-0.43412905117950734</c:v>
                </c:pt>
                <c:pt idx="198">
                  <c:v>-0.42706684051494626</c:v>
                </c:pt>
                <c:pt idx="199">
                  <c:v>-0.41993692048247855</c:v>
                </c:pt>
                <c:pt idx="200">
                  <c:v>-0.41274042149620516</c:v>
                </c:pt>
                <c:pt idx="201">
                  <c:v>-0.40547848452599583</c:v>
                </c:pt>
                <c:pt idx="202">
                  <c:v>-0.39815226091659472</c:v>
                </c:pt>
                <c:pt idx="203">
                  <c:v>-0.39076291220507869</c:v>
                </c:pt>
                <c:pt idx="204">
                  <c:v>-0.38331160993670266</c:v>
                </c:pt>
                <c:pt idx="205">
                  <c:v>-0.37579953547915651</c:v>
                </c:pt>
                <c:pt idx="206">
                  <c:v>-0.36822787983526417</c:v>
                </c:pt>
                <c:pt idx="207">
                  <c:v>-0.36059784345415663</c:v>
                </c:pt>
                <c:pt idx="208">
                  <c:v>-0.3529106360409473</c:v>
                </c:pt>
                <c:pt idx="209">
                  <c:v>-0.34516747636493733</c:v>
                </c:pt>
                <c:pt idx="210">
                  <c:v>-0.33736959206638673</c:v>
                </c:pt>
                <c:pt idx="211">
                  <c:v>-0.32951821946187887</c:v>
                </c:pt>
                <c:pt idx="212">
                  <c:v>-0.3216146033483066</c:v>
                </c:pt>
                <c:pt idx="213">
                  <c:v>-0.31365999680551682</c:v>
                </c:pt>
                <c:pt idx="214">
                  <c:v>-0.30565566099764141</c:v>
                </c:pt>
                <c:pt idx="215">
                  <c:v>-0.29760286497314437</c:v>
                </c:pt>
                <c:pt idx="216">
                  <c:v>-0.28950288546362091</c:v>
                </c:pt>
                <c:pt idx="217">
                  <c:v>-0.28135700668137892</c:v>
                </c:pt>
                <c:pt idx="218">
                  <c:v>-0.27316652011583176</c:v>
                </c:pt>
                <c:pt idx="219">
                  <c:v>-0.26493272432873932</c:v>
                </c:pt>
                <c:pt idx="220">
                  <c:v>-0.2566569247483288</c:v>
                </c:pt>
                <c:pt idx="221">
                  <c:v>-0.24834043346232332</c:v>
                </c:pt>
                <c:pt idx="222">
                  <c:v>-0.23998456900991766</c:v>
                </c:pt>
                <c:pt idx="223">
                  <c:v>-0.2315906561727315</c:v>
                </c:pt>
                <c:pt idx="224">
                  <c:v>-0.22316002576476962</c:v>
                </c:pt>
                <c:pt idx="225">
                  <c:v>-0.2146940144214288</c:v>
                </c:pt>
                <c:pt idx="226">
                  <c:v>-0.20619396438758186</c:v>
                </c:pt>
                <c:pt idx="227">
                  <c:v>-0.19766122330476929</c:v>
                </c:pt>
                <c:pt idx="228">
                  <c:v>-0.18909714399753813</c:v>
                </c:pt>
                <c:pt idx="229">
                  <c:v>-0.18050308425895928</c:v>
                </c:pt>
                <c:pt idx="230">
                  <c:v>-0.17188040663535414</c:v>
                </c:pt>
                <c:pt idx="231">
                  <c:v>-0.16323047821027037</c:v>
                </c:pt>
                <c:pt idx="232">
                  <c:v>-0.15455467038773846</c:v>
                </c:pt>
                <c:pt idx="233">
                  <c:v>-0.14585435867484037</c:v>
                </c:pt>
                <c:pt idx="234">
                  <c:v>-0.13713092246363062</c:v>
                </c:pt>
                <c:pt idx="235">
                  <c:v>-0.12838574481244119</c:v>
                </c:pt>
                <c:pt idx="236">
                  <c:v>-0.11962021222660266</c:v>
                </c:pt>
                <c:pt idx="237">
                  <c:v>-0.11083571443862125</c:v>
                </c:pt>
                <c:pt idx="238">
                  <c:v>-0.10203364418784465</c:v>
                </c:pt>
                <c:pt idx="239">
                  <c:v>-9.3215396999648023E-2</c:v>
                </c:pt>
                <c:pt idx="240">
                  <c:v>-8.4382370964181122E-2</c:v>
                </c:pt>
                <c:pt idx="241">
                  <c:v>-7.5535966514708952E-2</c:v>
                </c:pt>
                <c:pt idx="242">
                  <c:v>-6.6677586205577982E-2</c:v>
                </c:pt>
                <c:pt idx="243">
                  <c:v>-5.780863448984886E-2</c:v>
                </c:pt>
                <c:pt idx="244">
                  <c:v>-4.8930517496628266E-2</c:v>
                </c:pt>
                <c:pt idx="245">
                  <c:v>-4.0044642808132018E-2</c:v>
                </c:pt>
                <c:pt idx="246">
                  <c:v>-3.1152419236520752E-2</c:v>
                </c:pt>
                <c:pt idx="247">
                  <c:v>-2.2255256600540559E-2</c:v>
                </c:pt>
                <c:pt idx="248">
                  <c:v>-1.3354565502001184E-2</c:v>
                </c:pt>
                <c:pt idx="249">
                  <c:v>-4.4517571021329208E-3</c:v>
                </c:pt>
                <c:pt idx="250">
                  <c:v>4.4517571021451671E-3</c:v>
                </c:pt>
                <c:pt idx="251">
                  <c:v>1.3354565502013114E-2</c:v>
                </c:pt>
                <c:pt idx="252">
                  <c:v>2.2255256600552803E-2</c:v>
                </c:pt>
                <c:pt idx="253">
                  <c:v>3.1152419236532988E-2</c:v>
                </c:pt>
                <c:pt idx="254">
                  <c:v>4.0044642808143932E-2</c:v>
                </c:pt>
                <c:pt idx="255">
                  <c:v>4.8930517496640485E-2</c:v>
                </c:pt>
                <c:pt idx="256">
                  <c:v>5.7808634489861066E-2</c:v>
                </c:pt>
                <c:pt idx="257">
                  <c:v>6.6677586205589862E-2</c:v>
                </c:pt>
                <c:pt idx="258">
                  <c:v>7.5535966514721137E-2</c:v>
                </c:pt>
                <c:pt idx="259">
                  <c:v>8.4382370964193293E-2</c:v>
                </c:pt>
                <c:pt idx="260">
                  <c:v>9.3215396999659847E-2</c:v>
                </c:pt>
                <c:pt idx="261">
                  <c:v>0.10203364418785678</c:v>
                </c:pt>
                <c:pt idx="262">
                  <c:v>0.11083571443863334</c:v>
                </c:pt>
                <c:pt idx="263">
                  <c:v>0.11962021222661441</c:v>
                </c:pt>
                <c:pt idx="264">
                  <c:v>0.12838574481245327</c:v>
                </c:pt>
                <c:pt idx="265">
                  <c:v>0.13713092246364264</c:v>
                </c:pt>
                <c:pt idx="266">
                  <c:v>0.14585435867485205</c:v>
                </c:pt>
                <c:pt idx="267">
                  <c:v>0.15455467038775039</c:v>
                </c:pt>
                <c:pt idx="268">
                  <c:v>0.1632304782102823</c:v>
                </c:pt>
                <c:pt idx="269">
                  <c:v>0.17188040663536572</c:v>
                </c:pt>
                <c:pt idx="270">
                  <c:v>0.18050308425897113</c:v>
                </c:pt>
                <c:pt idx="271">
                  <c:v>0.1890971439975499</c:v>
                </c:pt>
                <c:pt idx="272">
                  <c:v>0.19766122330478073</c:v>
                </c:pt>
                <c:pt idx="273">
                  <c:v>0.2061939643875936</c:v>
                </c:pt>
                <c:pt idx="274">
                  <c:v>0.21469401442144051</c:v>
                </c:pt>
                <c:pt idx="275">
                  <c:v>0.22316002576478094</c:v>
                </c:pt>
                <c:pt idx="276">
                  <c:v>0.2315906561727431</c:v>
                </c:pt>
                <c:pt idx="277">
                  <c:v>0.23998456900992921</c:v>
                </c:pt>
                <c:pt idx="278">
                  <c:v>0.24834043346233445</c:v>
                </c:pt>
                <c:pt idx="279">
                  <c:v>0.25665692474834023</c:v>
                </c:pt>
                <c:pt idx="280">
                  <c:v>0.2649327243287507</c:v>
                </c:pt>
                <c:pt idx="281">
                  <c:v>0.27316652011584275</c:v>
                </c:pt>
                <c:pt idx="282">
                  <c:v>0.28135700668139019</c:v>
                </c:pt>
                <c:pt idx="283">
                  <c:v>0.28950288546363206</c:v>
                </c:pt>
                <c:pt idx="284">
                  <c:v>0.29760286497315519</c:v>
                </c:pt>
                <c:pt idx="285">
                  <c:v>0.30565566099765251</c:v>
                </c:pt>
                <c:pt idx="286">
                  <c:v>0.31365999680552781</c:v>
                </c:pt>
                <c:pt idx="287">
                  <c:v>0.32161460334831726</c:v>
                </c:pt>
                <c:pt idx="288">
                  <c:v>0.32951821946188969</c:v>
                </c:pt>
                <c:pt idx="289">
                  <c:v>0.33736959206639749</c:v>
                </c:pt>
                <c:pt idx="290">
                  <c:v>0.34516747636494771</c:v>
                </c:pt>
                <c:pt idx="291">
                  <c:v>0.35291063604095796</c:v>
                </c:pt>
                <c:pt idx="292">
                  <c:v>0.36059784345416723</c:v>
                </c:pt>
                <c:pt idx="293">
                  <c:v>0.36822787983527433</c:v>
                </c:pt>
                <c:pt idx="294">
                  <c:v>0.37579953547916689</c:v>
                </c:pt>
                <c:pt idx="295">
                  <c:v>0.38331160993671298</c:v>
                </c:pt>
                <c:pt idx="296">
                  <c:v>0.39076291220508869</c:v>
                </c:pt>
                <c:pt idx="297">
                  <c:v>0.39815226091660477</c:v>
                </c:pt>
                <c:pt idx="298">
                  <c:v>0.40547848452600588</c:v>
                </c:pt>
                <c:pt idx="299">
                  <c:v>0.41274042149621487</c:v>
                </c:pt>
                <c:pt idx="300">
                  <c:v>0.41993692048248843</c:v>
                </c:pt>
                <c:pt idx="301">
                  <c:v>0.42706684051495603</c:v>
                </c:pt>
                <c:pt idx="302">
                  <c:v>0.43412905117951678</c:v>
                </c:pt>
                <c:pt idx="303">
                  <c:v>0.44112243279706043</c:v>
                </c:pt>
                <c:pt idx="304">
                  <c:v>0.44804587660098621</c:v>
                </c:pt>
                <c:pt idx="305">
                  <c:v>0.45489828491299378</c:v>
                </c:pt>
                <c:pt idx="306">
                  <c:v>0.46167857131711432</c:v>
                </c:pt>
                <c:pt idx="307">
                  <c:v>0.46838566083195543</c:v>
                </c:pt>
                <c:pt idx="308">
                  <c:v>0.47501849008113572</c:v>
                </c:pt>
                <c:pt idx="309">
                  <c:v>0.4815760074618774</c:v>
                </c:pt>
                <c:pt idx="310">
                  <c:v>0.48805717331173204</c:v>
                </c:pt>
                <c:pt idx="311">
                  <c:v>0.49446096007341517</c:v>
                </c:pt>
                <c:pt idx="312">
                  <c:v>0.50078635245772007</c:v>
                </c:pt>
                <c:pt idx="313">
                  <c:v>0.50703234760448601</c:v>
                </c:pt>
                <c:pt idx="314">
                  <c:v>0.51319795524159828</c:v>
                </c:pt>
                <c:pt idx="315">
                  <c:v>0.5192821978419907</c:v>
                </c:pt>
                <c:pt idx="316">
                  <c:v>0.52528411077862647</c:v>
                </c:pt>
                <c:pt idx="317">
                  <c:v>0.5312027424774366</c:v>
                </c:pt>
                <c:pt idx="318">
                  <c:v>0.5370371545681869</c:v>
                </c:pt>
                <c:pt idx="319">
                  <c:v>0.54278642203325211</c:v>
                </c:pt>
                <c:pt idx="320">
                  <c:v>0.5484496333542721</c:v>
                </c:pt>
                <c:pt idx="321">
                  <c:v>0.5540258906566693</c:v>
                </c:pt>
                <c:pt idx="322">
                  <c:v>0.55951430985200357</c:v>
                </c:pt>
                <c:pt idx="323">
                  <c:v>0.56491402077813757</c:v>
                </c:pt>
                <c:pt idx="324">
                  <c:v>0.57022416733719805</c:v>
                </c:pt>
                <c:pt idx="325">
                  <c:v>0.57544390763130759</c:v>
                </c:pt>
                <c:pt idx="326">
                  <c:v>0.58057241409606009</c:v>
                </c:pt>
                <c:pt idx="327">
                  <c:v>0.58560887363172931</c:v>
                </c:pt>
                <c:pt idx="328">
                  <c:v>0.59055248773218216</c:v>
                </c:pt>
                <c:pt idx="329">
                  <c:v>0.59540247261147627</c:v>
                </c:pt>
                <c:pt idx="330">
                  <c:v>0.60015805932812627</c:v>
                </c:pt>
                <c:pt idx="331">
                  <c:v>0.60481849390701692</c:v>
                </c:pt>
                <c:pt idx="332">
                  <c:v>0.60938303745893996</c:v>
                </c:pt>
                <c:pt idx="333">
                  <c:v>0.6138509662977425</c:v>
                </c:pt>
                <c:pt idx="334">
                  <c:v>0.61822157205506489</c:v>
                </c:pt>
                <c:pt idx="335">
                  <c:v>0.62249416179264749</c:v>
                </c:pt>
                <c:pt idx="336">
                  <c:v>0.62666805811219273</c:v>
                </c:pt>
                <c:pt idx="337">
                  <c:v>0.6307425992627651</c:v>
                </c:pt>
                <c:pt idx="338">
                  <c:v>0.6347171392457065</c:v>
                </c:pt>
                <c:pt idx="339">
                  <c:v>0.6385910479170569</c:v>
                </c:pt>
                <c:pt idx="340">
                  <c:v>0.64236371108746138</c:v>
                </c:pt>
                <c:pt idx="341">
                  <c:v>0.64603453061954552</c:v>
                </c:pt>
                <c:pt idx="342">
                  <c:v>0.64960292452274782</c:v>
                </c:pt>
                <c:pt idx="343">
                  <c:v>0.65306832704559215</c:v>
                </c:pt>
                <c:pt idx="344">
                  <c:v>0.6564301887653835</c:v>
                </c:pt>
                <c:pt idx="345">
                  <c:v>0.65968797667531709</c:v>
                </c:pt>
                <c:pt idx="346">
                  <c:v>0.66284117426898426</c:v>
                </c:pt>
                <c:pt idx="347">
                  <c:v>0.66588928162226124</c:v>
                </c:pt>
                <c:pt idx="348">
                  <c:v>0.6688318154725702</c:v>
                </c:pt>
                <c:pt idx="349">
                  <c:v>0.6716683092954987</c:v>
                </c:pt>
                <c:pt idx="350">
                  <c:v>0.67439831337876344</c:v>
                </c:pt>
                <c:pt idx="351">
                  <c:v>0.67702139489351099</c:v>
                </c:pt>
                <c:pt idx="352">
                  <c:v>0.67953713796294113</c:v>
                </c:pt>
                <c:pt idx="353">
                  <c:v>0.68194514372824044</c:v>
                </c:pt>
                <c:pt idx="354">
                  <c:v>0.68424503041182094</c:v>
                </c:pt>
                <c:pt idx="355">
                  <c:v>0.68643643337784899</c:v>
                </c:pt>
                <c:pt idx="356">
                  <c:v>0.68851900519005516</c:v>
                </c:pt>
                <c:pt idx="357">
                  <c:v>0.69049241566682018</c:v>
                </c:pt>
                <c:pt idx="358">
                  <c:v>0.69235635193352285</c:v>
                </c:pt>
                <c:pt idx="359">
                  <c:v>0.69411051847214456</c:v>
                </c:pt>
                <c:pt idx="360">
                  <c:v>0.6957546371681228</c:v>
                </c:pt>
                <c:pt idx="361">
                  <c:v>0.69728844735444462</c:v>
                </c:pt>
                <c:pt idx="362">
                  <c:v>0.69871170585297415</c:v>
                </c:pt>
                <c:pt idx="363">
                  <c:v>0.70002418701300684</c:v>
                </c:pt>
                <c:pt idx="364">
                  <c:v>0.70122568274704655</c:v>
                </c:pt>
                <c:pt idx="365">
                  <c:v>0.70231600256379512</c:v>
                </c:pt>
                <c:pt idx="366">
                  <c:v>0.70329497359835513</c:v>
                </c:pt>
                <c:pt idx="367">
                  <c:v>0.70416244063963651</c:v>
                </c:pt>
                <c:pt idx="368">
                  <c:v>0.70491826615496367</c:v>
                </c:pt>
                <c:pt idx="369">
                  <c:v>0.7055623303118822</c:v>
                </c:pt>
                <c:pt idx="370">
                  <c:v>0.70609453099715602</c:v>
                </c:pt>
                <c:pt idx="371">
                  <c:v>0.70651478383295829</c:v>
                </c:pt>
                <c:pt idx="372">
                  <c:v>0.7068230221902484</c:v>
                </c:pt>
                <c:pt idx="373">
                  <c:v>0.70701919719933559</c:v>
                </c:pt>
                <c:pt idx="374">
                  <c:v>0.70710327775762771</c:v>
                </c:pt>
                <c:pt idx="375">
                  <c:v>0.70707525053456155</c:v>
                </c:pt>
                <c:pt idx="376">
                  <c:v>0.70693511997371683</c:v>
                </c:pt>
                <c:pt idx="377">
                  <c:v>0.70668290829211178</c:v>
                </c:pt>
                <c:pt idx="378">
                  <c:v>0.70631865547668016</c:v>
                </c:pt>
                <c:pt idx="379">
                  <c:v>0.70584241927793201</c:v>
                </c:pt>
                <c:pt idx="380">
                  <c:v>0.70525427520079775</c:v>
                </c:pt>
                <c:pt idx="381">
                  <c:v>0.70455431649265665</c:v>
                </c:pt>
                <c:pt idx="382">
                  <c:v>0.70374265412855341</c:v>
                </c:pt>
                <c:pt idx="383">
                  <c:v>0.70281941679360327</c:v>
                </c:pt>
                <c:pt idx="384">
                  <c:v>0.70178475086258996</c:v>
                </c:pt>
                <c:pt idx="385">
                  <c:v>0.7006388203767584</c:v>
                </c:pt>
                <c:pt idx="386">
                  <c:v>0.69938180701780661</c:v>
                </c:pt>
                <c:pt idx="387">
                  <c:v>0.69801391007908187</c:v>
                </c:pt>
                <c:pt idx="388">
                  <c:v>0.69653534643398252</c:v>
                </c:pt>
                <c:pt idx="389">
                  <c:v>0.69494635050157427</c:v>
                </c:pt>
                <c:pt idx="390">
                  <c:v>0.6932471742094245</c:v>
                </c:pt>
                <c:pt idx="391">
                  <c:v>0.69143808695366016</c:v>
                </c:pt>
                <c:pt idx="392">
                  <c:v>0.68951937555625564</c:v>
                </c:pt>
                <c:pt idx="393">
                  <c:v>0.68749134421955993</c:v>
                </c:pt>
                <c:pt idx="394">
                  <c:v>0.68535431447806572</c:v>
                </c:pt>
                <c:pt idx="395">
                  <c:v>0.68310862514743165</c:v>
                </c:pt>
                <c:pt idx="396">
                  <c:v>0.68075463227076571</c:v>
                </c:pt>
                <c:pt idx="397">
                  <c:v>0.67829270906217554</c:v>
                </c:pt>
                <c:pt idx="398">
                  <c:v>0.6757232458475968</c:v>
                </c:pt>
                <c:pt idx="399">
                  <c:v>0.67304665000291009</c:v>
                </c:pt>
                <c:pt idx="400">
                  <c:v>0.67026334588935266</c:v>
                </c:pt>
                <c:pt idx="401">
                  <c:v>0.66737377478623783</c:v>
                </c:pt>
                <c:pt idx="402">
                  <c:v>0.66437839482099281</c:v>
                </c:pt>
                <c:pt idx="403">
                  <c:v>0.66127768089652517</c:v>
                </c:pt>
                <c:pt idx="404">
                  <c:v>0.65807212461592768</c:v>
                </c:pt>
                <c:pt idx="405">
                  <c:v>0.65476223420453905</c:v>
                </c:pt>
                <c:pt idx="406">
                  <c:v>0.65134853442936635</c:v>
                </c:pt>
                <c:pt idx="407">
                  <c:v>0.64783156651588503</c:v>
                </c:pt>
                <c:pt idx="408">
                  <c:v>0.64421188806223162</c:v>
                </c:pt>
                <c:pt idx="409">
                  <c:v>0.64049007295079874</c:v>
                </c:pt>
                <c:pt idx="410">
                  <c:v>0.63666671125724794</c:v>
                </c:pt>
                <c:pt idx="411">
                  <c:v>0.63274240915695745</c:v>
                </c:pt>
                <c:pt idx="412">
                  <c:v>0.62871778882891594</c:v>
                </c:pt>
                <c:pt idx="413">
                  <c:v>0.6245934883570774</c:v>
                </c:pt>
                <c:pt idx="414">
                  <c:v>0.620370161629198</c:v>
                </c:pt>
                <c:pt idx="415">
                  <c:v>0.61604847823316478</c:v>
                </c:pt>
                <c:pt idx="416">
                  <c:v>0.61162912335083452</c:v>
                </c:pt>
                <c:pt idx="417">
                  <c:v>0.60711279764940362</c:v>
                </c:pt>
                <c:pt idx="418">
                  <c:v>0.60250021717031943</c:v>
                </c:pt>
                <c:pt idx="419">
                  <c:v>0.59779211321575476</c:v>
                </c:pt>
                <c:pt idx="420">
                  <c:v>0.5929892322326652</c:v>
                </c:pt>
                <c:pt idx="421">
                  <c:v>0.58809233569444275</c:v>
                </c:pt>
                <c:pt idx="422">
                  <c:v>0.58310219998018664</c:v>
                </c:pt>
                <c:pt idx="423">
                  <c:v>0.57801961625161491</c:v>
                </c:pt>
                <c:pt idx="424">
                  <c:v>0.57284539032762749</c:v>
                </c:pt>
                <c:pt idx="425">
                  <c:v>0.56758034255654743</c:v>
                </c:pt>
                <c:pt idx="426">
                  <c:v>0.56222530768606049</c:v>
                </c:pt>
                <c:pt idx="427">
                  <c:v>0.55678113473086865</c:v>
                </c:pt>
                <c:pt idx="428">
                  <c:v>0.55124868683808204</c:v>
                </c:pt>
                <c:pt idx="429">
                  <c:v>0.54562884115037347</c:v>
                </c:pt>
                <c:pt idx="430">
                  <c:v>0.53992248866691073</c:v>
                </c:pt>
                <c:pt idx="431">
                  <c:v>0.53413053410209133</c:v>
                </c:pt>
                <c:pt idx="432">
                  <c:v>0.52825389574210724</c:v>
                </c:pt>
                <c:pt idx="433">
                  <c:v>0.52229350529935392</c:v>
                </c:pt>
                <c:pt idx="434">
                  <c:v>0.51625030776471015</c:v>
                </c:pt>
                <c:pt idx="435">
                  <c:v>0.51012526125771762</c:v>
                </c:pt>
                <c:pt idx="436">
                  <c:v>0.5039193368746735</c:v>
                </c:pt>
                <c:pt idx="437">
                  <c:v>0.49763351853466736</c:v>
                </c:pt>
                <c:pt idx="438">
                  <c:v>0.49126880282358792</c:v>
                </c:pt>
                <c:pt idx="439">
                  <c:v>0.48482619883611777</c:v>
                </c:pt>
                <c:pt idx="440">
                  <c:v>0.47830672801574509</c:v>
                </c:pt>
                <c:pt idx="441">
                  <c:v>0.47171142399282168</c:v>
                </c:pt>
                <c:pt idx="442">
                  <c:v>0.46504133242068391</c:v>
                </c:pt>
                <c:pt idx="443">
                  <c:v>0.45829751080986891</c:v>
                </c:pt>
                <c:pt idx="444">
                  <c:v>0.45148102836045362</c:v>
                </c:pt>
                <c:pt idx="445">
                  <c:v>0.4445929657925371</c:v>
                </c:pt>
                <c:pt idx="446">
                  <c:v>0.43763441517489626</c:v>
                </c:pt>
                <c:pt idx="447">
                  <c:v>0.4306064797518464</c:v>
                </c:pt>
                <c:pt idx="448">
                  <c:v>0.42351027376832595</c:v>
                </c:pt>
                <c:pt idx="449">
                  <c:v>0.41634692229323667</c:v>
                </c:pt>
                <c:pt idx="450">
                  <c:v>0.40911756104107266</c:v>
                </c:pt>
                <c:pt idx="451">
                  <c:v>0.40182333619185656</c:v>
                </c:pt>
                <c:pt idx="452">
                  <c:v>0.39446540420941706</c:v>
                </c:pt>
                <c:pt idx="453">
                  <c:v>0.38704493165804021</c:v>
                </c:pt>
                <c:pt idx="454">
                  <c:v>0.3795630950175144</c:v>
                </c:pt>
                <c:pt idx="455">
                  <c:v>0.37202108049660432</c:v>
                </c:pt>
                <c:pt idx="456">
                  <c:v>0.36442008384498586</c:v>
                </c:pt>
                <c:pt idx="457">
                  <c:v>0.35676131016366486</c:v>
                </c:pt>
                <c:pt idx="458">
                  <c:v>0.34904597371391177</c:v>
                </c:pt>
                <c:pt idx="459">
                  <c:v>0.34127529772475057</c:v>
                </c:pt>
                <c:pt idx="460">
                  <c:v>0.33345051419901955</c:v>
                </c:pt>
                <c:pt idx="461">
                  <c:v>0.32557286371804184</c:v>
                </c:pt>
                <c:pt idx="462">
                  <c:v>0.31764359524494051</c:v>
                </c:pt>
                <c:pt idx="463">
                  <c:v>0.30966396592661993</c:v>
                </c:pt>
                <c:pt idx="464">
                  <c:v>0.3016352408944496</c:v>
                </c:pt>
                <c:pt idx="465">
                  <c:v>0.29355869306368693</c:v>
                </c:pt>
                <c:pt idx="466">
                  <c:v>0.28543560293166137</c:v>
                </c:pt>
                <c:pt idx="467">
                  <c:v>0.2772672583747558</c:v>
                </c:pt>
                <c:pt idx="468">
                  <c:v>0.26905495444422339</c:v>
                </c:pt>
                <c:pt idx="469">
                  <c:v>0.26079999316086211</c:v>
                </c:pt>
                <c:pt idx="470">
                  <c:v>0.25250368330858364</c:v>
                </c:pt>
                <c:pt idx="471">
                  <c:v>0.24416734022691572</c:v>
                </c:pt>
                <c:pt idx="472">
                  <c:v>0.2357922856024596</c:v>
                </c:pt>
                <c:pt idx="473">
                  <c:v>0.22737984725934146</c:v>
                </c:pt>
                <c:pt idx="474">
                  <c:v>0.21893135894869575</c:v>
                </c:pt>
                <c:pt idx="475">
                  <c:v>0.21044816013720369</c:v>
                </c:pt>
                <c:pt idx="476">
                  <c:v>0.20193159579472558</c:v>
                </c:pt>
                <c:pt idx="477">
                  <c:v>0.19338301618106607</c:v>
                </c:pt>
                <c:pt idx="478">
                  <c:v>0.18480377663189507</c:v>
                </c:pt>
                <c:pt idx="479">
                  <c:v>0.17619523734386422</c:v>
                </c:pt>
                <c:pt idx="480">
                  <c:v>0.16755876315895787</c:v>
                </c:pt>
                <c:pt idx="481">
                  <c:v>0.15889572334810215</c:v>
                </c:pt>
                <c:pt idx="482">
                  <c:v>0.15020749139407213</c:v>
                </c:pt>
                <c:pt idx="483">
                  <c:v>0.14149544477373624</c:v>
                </c:pt>
                <c:pt idx="484">
                  <c:v>0.13276096473966234</c:v>
                </c:pt>
                <c:pt idx="485">
                  <c:v>0.12400543610112492</c:v>
                </c:pt>
                <c:pt idx="486">
                  <c:v>0.11523024700455406</c:v>
                </c:pt>
                <c:pt idx="487">
                  <c:v>0.10643678871344975</c:v>
                </c:pt>
                <c:pt idx="488">
                  <c:v>9.7626455387801889E-2</c:v>
                </c:pt>
                <c:pt idx="489">
                  <c:v>8.8800643863056861E-2</c:v>
                </c:pt>
                <c:pt idx="490">
                  <c:v>7.9960753428654108E-2</c:v>
                </c:pt>
                <c:pt idx="491">
                  <c:v>7.1108185606173782E-2</c:v>
                </c:pt>
                <c:pt idx="492">
                  <c:v>6.2244343927136042E-2</c:v>
                </c:pt>
                <c:pt idx="493">
                  <c:v>5.3370633710476109E-2</c:v>
                </c:pt>
                <c:pt idx="494">
                  <c:v>4.4488461839735899E-2</c:v>
                </c:pt>
                <c:pt idx="495">
                  <c:v>3.5599236540013283E-2</c:v>
                </c:pt>
                <c:pt idx="496">
                  <c:v>2.6704367154692928E-2</c:v>
                </c:pt>
                <c:pt idx="497">
                  <c:v>1.7805263921999916E-2</c:v>
                </c:pt>
                <c:pt idx="498">
                  <c:v>8.9033377514170908E-3</c:v>
                </c:pt>
                <c:pt idx="499">
                  <c:v>-9.6479421657968007E-15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D46-4509-976F-428B33310684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-0.1652346404651035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0.43870033427235577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FD46-4509-976F-428B33310684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0.32946144326972493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-0.53504091305122281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FD46-4509-976F-428B33310684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-0.2230797579862813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0.60251127380143987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FD46-4509-976F-428B33310684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0.69978200338912411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0.15469351652725166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FD46-4509-976F-428B33310684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-0.50885681471305833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-2.7772232793435395E-2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FD46-4509-976F-428B33310684}"/>
            </c:ext>
          </c:extLst>
        </c:ser>
        <c:ser>
          <c:idx val="9"/>
          <c:order val="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0.1394041975142627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-2.5215552293297101E-2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FD46-4509-976F-428B33310684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0.8402463754793873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-9.7513734429643104E-2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E-FD46-4509-976F-428B33310684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-0.3578203359898095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0.31378021360289698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FD46-4509-976F-428B33310684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0.17127264808409795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0.28555525764386613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FD46-4509-976F-428B33310684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0.13567292872255421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4.9283306248067919E-2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1-FD46-4509-976F-428B33310684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0.69195763596910875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-0.23081820509762527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FD46-4509-976F-428B33310684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0.5676899189815765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-0.19232492108626573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3-FD46-4509-976F-428B33310684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2.6177885353163618E-2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-0.4238649604043801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4-FD46-4509-976F-428B33310684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-0.12331598709195045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3.0670686210418133E-2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5-FD46-4509-976F-428B33310684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0.38628957444328738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-4.8770702524739293E-2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FD46-4509-976F-428B33310684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0.66219074294817515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-0.36878542386721919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7-FD46-4509-976F-428B33310684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0.91428888065744396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-7.0368693826564466E-2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8-FD46-4509-976F-428B33310684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0.57181530284820226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0.21336833165151425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9-FD46-4509-976F-428B33310684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-0.55881748141848453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-0.22278535120198539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A-FD46-4509-976F-428B33310684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0.58601590099260015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0.39668530754484232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B-FD46-4509-976F-428B33310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974783"/>
        <c:axId val="387338623"/>
      </c:scatterChart>
      <c:valAx>
        <c:axId val="2089974783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ru-RU"/>
          </a:p>
        </c:txPr>
        <c:crossAx val="387338623"/>
        <c:crosses val="autoZero"/>
        <c:crossBetween val="midCat"/>
        <c:majorUnit val="0.25"/>
      </c:valAx>
      <c:valAx>
        <c:axId val="387338623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ru-RU"/>
          </a:p>
        </c:txPr>
        <c:crossAx val="2089974783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ayout>
        <c:manualLayout>
          <c:xMode val="edge"/>
          <c:yMode val="edge"/>
          <c:x val="0.91929683208203639"/>
          <c:y val="0.47240383745135306"/>
          <c:w val="7.3547532855351941E-2"/>
          <c:h val="0.1293112498868676"/>
        </c:manualLayout>
      </c:layout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Variables on axes w*/c1 and w*/c2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8198970840480339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D7-47AE-BAF6-8D1907764A05}"/>
                </c:ext>
              </c:extLst>
            </c:dLbl>
            <c:dLbl>
              <c:idx val="1"/>
              <c:layout>
                <c:manualLayout>
                  <c:x val="-0.1296570818870626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ALTITUDE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D7-47AE-BAF6-8D1907764A05}"/>
                </c:ext>
              </c:extLst>
            </c:dLbl>
            <c:dLbl>
              <c:idx val="2"/>
              <c:layout>
                <c:manualLayout>
                  <c:x val="-1.7152658662092625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D7-47AE-BAF6-8D1907764A05}"/>
                </c:ext>
              </c:extLst>
            </c:dLbl>
            <c:dLbl>
              <c:idx val="3"/>
              <c:layout>
                <c:manualLayout>
                  <c:x val="-1.7152658662092625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BARREN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D7-47AE-BAF6-8D1907764A05}"/>
                </c:ext>
              </c:extLst>
            </c:dLbl>
            <c:dLbl>
              <c:idx val="4"/>
              <c:layout>
                <c:manualLayout>
                  <c:x val="-0.14271012006861064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CROPLAND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D7-47AE-BAF6-8D1907764A05}"/>
                </c:ext>
              </c:extLst>
            </c:dLbl>
            <c:dLbl>
              <c:idx val="5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FOREST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D7-47AE-BAF6-8D1907764A05}"/>
                </c:ext>
              </c:extLst>
            </c:dLbl>
            <c:dLbl>
              <c:idx val="6"/>
              <c:layout>
                <c:manualLayout>
                  <c:x val="-1.71526586620927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KSN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D7-47AE-BAF6-8D1907764A05}"/>
                </c:ext>
              </c:extLst>
            </c:dLbl>
            <c:dLbl>
              <c:idx val="7"/>
              <c:layout>
                <c:manualLayout>
                  <c:x val="-7.500844126902661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D7-47AE-BAF6-8D1907764A05}"/>
                </c:ext>
              </c:extLst>
            </c:dLbl>
            <c:dLbl>
              <c:idx val="8"/>
              <c:layout>
                <c:manualLayout>
                  <c:x val="-1.7152658662092687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GLACIER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D7-47AE-BAF6-8D1907764A05}"/>
                </c:ext>
              </c:extLst>
            </c:dLbl>
            <c:dLbl>
              <c:idx val="9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GLORED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D7-47AE-BAF6-8D1907764A05}"/>
                </c:ext>
              </c:extLst>
            </c:dLbl>
            <c:dLbl>
              <c:idx val="10"/>
              <c:layout>
                <c:manualLayout>
                  <c:x val="-1.7152658662092687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D7-47AE-BAF6-8D1907764A05}"/>
                </c:ext>
              </c:extLst>
            </c:dLbl>
            <c:dLbl>
              <c:idx val="11"/>
              <c:layout>
                <c:manualLayout>
                  <c:x val="-1.7152658662092563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D7-47AE-BAF6-8D1907764A05}"/>
                </c:ext>
              </c:extLst>
            </c:dLbl>
            <c:dLbl>
              <c:idx val="12"/>
              <c:layout>
                <c:manualLayout>
                  <c:x val="-8.703259005145797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SRAD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D7-47AE-BAF6-8D1907764A05}"/>
                </c:ext>
              </c:extLst>
            </c:dLbl>
            <c:dLbl>
              <c:idx val="13"/>
              <c:layout>
                <c:manualLayout>
                  <c:x val="-7.162950257289879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D7-47AE-BAF6-8D1907764A05}"/>
                </c:ext>
              </c:extLst>
            </c:dLbl>
            <c:dLbl>
              <c:idx val="14"/>
              <c:layout>
                <c:manualLayout>
                  <c:x val="-1.715265866209262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CANOPY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D7-47AE-BAF6-8D1907764A05}"/>
                </c:ext>
              </c:extLst>
            </c:dLbl>
            <c:dLbl>
              <c:idx val="15"/>
              <c:layout>
                <c:manualLayout>
                  <c:x val="-1.7152658662092687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D7-47AE-BAF6-8D1907764A05}"/>
                </c:ext>
              </c:extLst>
            </c:dLbl>
            <c:dLbl>
              <c:idx val="16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D7-47AE-BAF6-8D1907764A05}"/>
                </c:ext>
              </c:extLst>
            </c:dLbl>
            <c:dLbl>
              <c:idx val="17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PGA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D7-47AE-BAF6-8D1907764A05}"/>
                </c:ext>
              </c:extLst>
            </c:dLbl>
            <c:dLbl>
              <c:idx val="18"/>
              <c:layout>
                <c:manualLayout>
                  <c:x val="-8.1509433962264149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CWR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5D7-47AE-BAF6-8D1907764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'PLS-R'!$C$166:$C$184</c:f>
              <c:numCache>
                <c:formatCode>0.000</c:formatCode>
                <c:ptCount val="19"/>
                <c:pt idx="0">
                  <c:v>-3.8043715978363306E-2</c:v>
                </c:pt>
                <c:pt idx="1">
                  <c:v>-9.6197710506626085E-4</c:v>
                </c:pt>
                <c:pt idx="2">
                  <c:v>1.6652666668412697E-2</c:v>
                </c:pt>
                <c:pt idx="3">
                  <c:v>0.4067858489420374</c:v>
                </c:pt>
                <c:pt idx="4">
                  <c:v>-0.254658847471396</c:v>
                </c:pt>
                <c:pt idx="5">
                  <c:v>6.5079351192953286E-2</c:v>
                </c:pt>
                <c:pt idx="6">
                  <c:v>0.37659366021855412</c:v>
                </c:pt>
                <c:pt idx="7">
                  <c:v>-8.3216126508865756E-2</c:v>
                </c:pt>
                <c:pt idx="8">
                  <c:v>8.3123627934150693E-2</c:v>
                </c:pt>
                <c:pt idx="9">
                  <c:v>5.1898509509767751E-2</c:v>
                </c:pt>
                <c:pt idx="10">
                  <c:v>0.1955992008042679</c:v>
                </c:pt>
                <c:pt idx="11">
                  <c:v>0.16629569311579254</c:v>
                </c:pt>
                <c:pt idx="12">
                  <c:v>-8.2176034673706502E-2</c:v>
                </c:pt>
                <c:pt idx="13">
                  <c:v>-1.3163114247834272E-2</c:v>
                </c:pt>
                <c:pt idx="14">
                  <c:v>0.14273697671861241</c:v>
                </c:pt>
                <c:pt idx="15">
                  <c:v>0.26891899571601996</c:v>
                </c:pt>
                <c:pt idx="16">
                  <c:v>0.42998376219265033</c:v>
                </c:pt>
                <c:pt idx="17">
                  <c:v>0.40695833074899807</c:v>
                </c:pt>
                <c:pt idx="18">
                  <c:v>-0.29888241405610577</c:v>
                </c:pt>
              </c:numCache>
            </c:numRef>
          </c:xVal>
          <c:yVal>
            <c:numRef>
              <c:f>'PLS-R'!$D$166:$D$184</c:f>
              <c:numCache>
                <c:formatCode>0.000</c:formatCode>
                <c:ptCount val="19"/>
                <c:pt idx="0">
                  <c:v>0.10773444670665661</c:v>
                </c:pt>
                <c:pt idx="1">
                  <c:v>-0.46013444774523782</c:v>
                </c:pt>
                <c:pt idx="2">
                  <c:v>0.36266052467055732</c:v>
                </c:pt>
                <c:pt idx="3">
                  <c:v>0.32829612075699321</c:v>
                </c:pt>
                <c:pt idx="4">
                  <c:v>-0.10733658967650592</c:v>
                </c:pt>
                <c:pt idx="5">
                  <c:v>1.444072188492293E-2</c:v>
                </c:pt>
                <c:pt idx="6">
                  <c:v>3.7008434037821919E-2</c:v>
                </c:pt>
                <c:pt idx="7">
                  <c:v>0.23064696607928156</c:v>
                </c:pt>
                <c:pt idx="8">
                  <c:v>2.7855484705126766E-2</c:v>
                </c:pt>
                <c:pt idx="9">
                  <c:v>-2.2477003792108451E-2</c:v>
                </c:pt>
                <c:pt idx="10">
                  <c:v>-0.33529133917161286</c:v>
                </c:pt>
                <c:pt idx="11">
                  <c:v>-0.25647777345286921</c:v>
                </c:pt>
                <c:pt idx="12">
                  <c:v>-0.29875265106997068</c:v>
                </c:pt>
                <c:pt idx="13">
                  <c:v>0.1290389253045103</c:v>
                </c:pt>
                <c:pt idx="14">
                  <c:v>-8.005756718268825E-2</c:v>
                </c:pt>
                <c:pt idx="15">
                  <c:v>-5.9842795069090127E-2</c:v>
                </c:pt>
                <c:pt idx="16">
                  <c:v>0.10479492308988204</c:v>
                </c:pt>
                <c:pt idx="17">
                  <c:v>0.50637532774468841</c:v>
                </c:pt>
                <c:pt idx="18">
                  <c:v>-0.1792577478562507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7-47AE-BAF6-8D1907764A05}"/>
            </c:ext>
          </c:extLst>
        </c:ser>
        <c:ser>
          <c:idx val="1"/>
          <c:order val="1"/>
          <c:tx>
            <c:v>Y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5D7-47AE-BAF6-8D1907764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'PLS-R'!$C$190</c:f>
              <c:numCache>
                <c:formatCode>0.000</c:formatCode>
                <c:ptCount val="1"/>
                <c:pt idx="0">
                  <c:v>0.28609165267716441</c:v>
                </c:pt>
              </c:numCache>
            </c:numRef>
          </c:xVal>
          <c:yVal>
            <c:numRef>
              <c:f>'PLS-R'!$D$190</c:f>
              <c:numCache>
                <c:formatCode>0.000</c:formatCode>
                <c:ptCount val="1"/>
                <c:pt idx="0">
                  <c:v>0.37252346017238214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5D7-47AE-BAF6-8D1907764A05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0.28609165267716441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0.37252346017238214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F5D7-47AE-BAF6-8D1907764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45455"/>
        <c:axId val="382141711"/>
      </c:scatterChart>
      <c:valAx>
        <c:axId val="382145455"/>
        <c:scaling>
          <c:orientation val="minMax"/>
          <c:max val="0.69999999999999885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w*/c1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382141711"/>
        <c:crosses val="autoZero"/>
        <c:crossBetween val="midCat"/>
        <c:majorUnit val="0.1"/>
      </c:valAx>
      <c:valAx>
        <c:axId val="382141711"/>
        <c:scaling>
          <c:orientation val="minMax"/>
          <c:max val="0.59999999999999887"/>
          <c:min val="-0.5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w*/c2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2145455"/>
        <c:crosses val="autoZero"/>
        <c:crossBetween val="midCat"/>
        <c:majorUnit val="0.1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2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Observations on axes t1 and t2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8941"/>
              </a:solidFill>
              <a:ln>
                <a:solidFill>
                  <a:srgbClr val="008941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Obs1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F9-40D0-A0FD-28311238EC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Obs2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F9-40D0-A0FD-28311238EC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Obs3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2F9-40D0-A0FD-28311238EC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Obs4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2F9-40D0-A0FD-28311238EC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Obs5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2F9-40D0-A0FD-28311238EC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Obs6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2F9-40D0-A0FD-28311238EC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Obs7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2F9-40D0-A0FD-28311238EC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Obs8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2F9-40D0-A0FD-28311238EC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Obs9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2F9-40D0-A0FD-28311238EC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Obs10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2F9-40D0-A0FD-28311238EC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Obs11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2F9-40D0-A0FD-28311238EC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Obs12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2F9-40D0-A0FD-28311238EC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Obs13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2F9-40D0-A0FD-28311238EC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Obs14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2F9-40D0-A0FD-28311238EC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Obs15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2F9-40D0-A0FD-28311238EC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Obs16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72F9-40D0-A0FD-28311238EC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Obs17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2F9-40D0-A0FD-28311238EC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Obs18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2F9-40D0-A0FD-28311238EC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Obs19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2F9-40D0-A0FD-28311238EC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Obs20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72F9-40D0-A0FD-28311238EC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Obs21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72F9-40D0-A0FD-28311238EC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Obs22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72F9-40D0-A0FD-28311238EC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Obs23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72F9-40D0-A0FD-28311238EC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Obs24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72F9-40D0-A0FD-28311238EC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Obs25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72F9-40D0-A0FD-28311238EC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Obs26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72F9-40D0-A0FD-28311238EC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Obs27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72F9-40D0-A0FD-28311238EC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Obs28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72F9-40D0-A0FD-28311238EC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Obs29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72F9-40D0-A0FD-28311238EC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Obs30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72F9-40D0-A0FD-28311238EC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Obs31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72F9-40D0-A0FD-28311238EC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Obs32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72F9-40D0-A0FD-28311238EC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Obs33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72F9-40D0-A0FD-28311238EC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Obs34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72F9-40D0-A0FD-28311238EC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Obs35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72F9-40D0-A0FD-28311238EC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Obs36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72F9-40D0-A0FD-28311238EC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Obs37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72F9-40D0-A0FD-28311238EC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Obs38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72F9-40D0-A0FD-28311238EC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Obs39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72F9-40D0-A0FD-28311238EC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Obs40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72F9-40D0-A0FD-28311238EC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Obs41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72F9-40D0-A0FD-28311238EC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Obs42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72F9-40D0-A0FD-28311238EC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Obs43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72F9-40D0-A0FD-28311238EC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Obs44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72F9-40D0-A0FD-28311238EC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Obs45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72F9-40D0-A0FD-28311238EC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Obs46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72F9-40D0-A0FD-28311238EC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Obs47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72F9-40D0-A0FD-28311238EC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Obs48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72F9-40D0-A0FD-28311238EC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Obs49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72F9-40D0-A0FD-28311238EC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Obs50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72F9-40D0-A0FD-28311238EC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Obs51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72F9-40D0-A0FD-28311238EC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Obs52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72F9-40D0-A0FD-28311238EC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Obs53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72F9-40D0-A0FD-28311238EC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Obs54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72F9-40D0-A0FD-28311238EC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Obs55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72F9-40D0-A0FD-28311238EC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Obs56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72F9-40D0-A0FD-28311238EC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Obs57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72F9-40D0-A0FD-28311238EC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Obs58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72F9-40D0-A0FD-28311238EC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Obs59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72F9-40D0-A0FD-28311238EC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Obs60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72F9-40D0-A0FD-28311238EC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Obs61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72F9-40D0-A0FD-28311238EC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Obs62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72F9-40D0-A0FD-28311238EC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Obs63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72F9-40D0-A0FD-28311238EC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Obs64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72F9-40D0-A0FD-28311238EC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Obs65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72F9-40D0-A0FD-28311238EC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Obs66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72F9-40D0-A0FD-28311238EC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Obs67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72F9-40D0-A0FD-28311238EC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Obs68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72F9-40D0-A0FD-28311238EC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Obs69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72F9-40D0-A0FD-28311238EC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Obs70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72F9-40D0-A0FD-28311238EC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Obs71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72F9-40D0-A0FD-28311238EC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Obs72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72F9-40D0-A0FD-28311238EC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Obs73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72F9-40D0-A0FD-28311238EC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Obs74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72F9-40D0-A0FD-28311238EC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Obs75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72F9-40D0-A0FD-28311238EC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Obs76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72F9-40D0-A0FD-28311238EC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Obs77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72F9-40D0-A0FD-28311238EC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Obs78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72F9-40D0-A0FD-28311238EC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Obs79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72F9-40D0-A0FD-28311238EC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Obs80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72F9-40D0-A0FD-28311238EC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Obs81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72F9-40D0-A0FD-28311238EC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Obs82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72F9-40D0-A0FD-28311238EC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Obs83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72F9-40D0-A0FD-28311238EC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Obs84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72F9-40D0-A0FD-28311238EC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Obs85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72F9-40D0-A0FD-28311238EC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Obs86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72F9-40D0-A0FD-28311238EC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Obs87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72F9-40D0-A0FD-28311238EC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Obs88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72F9-40D0-A0FD-28311238EC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Obs89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72F9-40D0-A0FD-28311238EC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Obs90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72F9-40D0-A0FD-28311238EC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Obs91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72F9-40D0-A0FD-28311238EC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Obs92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72F9-40D0-A0FD-28311238EC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Obs93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72F9-40D0-A0FD-28311238EC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Obs94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72F9-40D0-A0FD-28311238EC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Obs95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72F9-40D0-A0FD-28311238EC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Obs96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72F9-40D0-A0FD-28311238EC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Obs97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72F9-40D0-A0FD-28311238EC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Obs98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72F9-40D0-A0FD-28311238EC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Obs99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72F9-40D0-A0FD-28311238EC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Obs100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72F9-40D0-A0FD-28311238EC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XLSTAT_20210923_105258_1_HID1!$B$2:$B$101</c:f>
              <c:numCache>
                <c:formatCode>General</c:formatCode>
                <c:ptCount val="100"/>
                <c:pt idx="0">
                  <c:v>-0.36817541527499825</c:v>
                </c:pt>
                <c:pt idx="1">
                  <c:v>-0.58843134637471339</c:v>
                </c:pt>
                <c:pt idx="2">
                  <c:v>-3.2029524242527514</c:v>
                </c:pt>
                <c:pt idx="3">
                  <c:v>-0.72082397249424834</c:v>
                </c:pt>
                <c:pt idx="4">
                  <c:v>-1.399141572263616</c:v>
                </c:pt>
                <c:pt idx="5">
                  <c:v>0.45041092576382263</c:v>
                </c:pt>
                <c:pt idx="6">
                  <c:v>1.3500819576410172</c:v>
                </c:pt>
                <c:pt idx="7">
                  <c:v>-0.28278849302152592</c:v>
                </c:pt>
                <c:pt idx="8">
                  <c:v>8.0774549568185625E-2</c:v>
                </c:pt>
                <c:pt idx="9">
                  <c:v>-1.8800772277344665E-2</c:v>
                </c:pt>
                <c:pt idx="10">
                  <c:v>1.892965526491766</c:v>
                </c:pt>
                <c:pt idx="11">
                  <c:v>0.72448868796787469</c:v>
                </c:pt>
                <c:pt idx="12">
                  <c:v>1.4197478048536911</c:v>
                </c:pt>
                <c:pt idx="13">
                  <c:v>2.9076731312975337</c:v>
                </c:pt>
                <c:pt idx="14">
                  <c:v>-5.8399014109760998E-2</c:v>
                </c:pt>
                <c:pt idx="15">
                  <c:v>-2.1865544035898687</c:v>
                </c:pt>
                <c:pt idx="16">
                  <c:v>-1.1852442602077127</c:v>
                </c:pt>
                <c:pt idx="17">
                  <c:v>1.5657059573490804</c:v>
                </c:pt>
                <c:pt idx="18">
                  <c:v>1.2593711076996448</c:v>
                </c:pt>
                <c:pt idx="19">
                  <c:v>2.560992658539742</c:v>
                </c:pt>
                <c:pt idx="20">
                  <c:v>1.2306341333810811</c:v>
                </c:pt>
                <c:pt idx="21">
                  <c:v>2.1973224330927015</c:v>
                </c:pt>
                <c:pt idx="22">
                  <c:v>1.3431429758487929</c:v>
                </c:pt>
                <c:pt idx="23">
                  <c:v>-1.2160817734723659</c:v>
                </c:pt>
                <c:pt idx="24">
                  <c:v>1.9900628869842105</c:v>
                </c:pt>
                <c:pt idx="25">
                  <c:v>2.2039662526379384</c:v>
                </c:pt>
                <c:pt idx="26">
                  <c:v>-3.6771406332498984</c:v>
                </c:pt>
                <c:pt idx="27">
                  <c:v>1.7034444642586775</c:v>
                </c:pt>
                <c:pt idx="28">
                  <c:v>-3.6121691562513936E-2</c:v>
                </c:pt>
                <c:pt idx="29">
                  <c:v>-2.3819039145065282</c:v>
                </c:pt>
                <c:pt idx="30">
                  <c:v>2.1671030960115578</c:v>
                </c:pt>
                <c:pt idx="31">
                  <c:v>-3.9514107871716719</c:v>
                </c:pt>
                <c:pt idx="32">
                  <c:v>-1.4714746083794863</c:v>
                </c:pt>
                <c:pt idx="33">
                  <c:v>1.8087707387457506</c:v>
                </c:pt>
                <c:pt idx="34">
                  <c:v>-3.5623656149300849</c:v>
                </c:pt>
                <c:pt idx="35">
                  <c:v>2.0384419875356126</c:v>
                </c:pt>
                <c:pt idx="36">
                  <c:v>-3.5674510361088165</c:v>
                </c:pt>
                <c:pt idx="37">
                  <c:v>4.660807842806153</c:v>
                </c:pt>
                <c:pt idx="38">
                  <c:v>2.9308776686898659</c:v>
                </c:pt>
                <c:pt idx="39">
                  <c:v>-3.6250700337060304</c:v>
                </c:pt>
                <c:pt idx="40">
                  <c:v>-1.3998004530884576</c:v>
                </c:pt>
                <c:pt idx="41">
                  <c:v>0.7617274002622263</c:v>
                </c:pt>
                <c:pt idx="42">
                  <c:v>3.6010622534900647</c:v>
                </c:pt>
                <c:pt idx="43">
                  <c:v>2.5812941266229048</c:v>
                </c:pt>
                <c:pt idx="44">
                  <c:v>-1.9948303233437001</c:v>
                </c:pt>
                <c:pt idx="45">
                  <c:v>1.9821788028337759E-2</c:v>
                </c:pt>
                <c:pt idx="46">
                  <c:v>-2.5672527656961801</c:v>
                </c:pt>
                <c:pt idx="47">
                  <c:v>-2.1598486241668757</c:v>
                </c:pt>
                <c:pt idx="48">
                  <c:v>-0.4417104348761437</c:v>
                </c:pt>
                <c:pt idx="49">
                  <c:v>2.5539941879994488</c:v>
                </c:pt>
                <c:pt idx="50">
                  <c:v>2.0670297416743226</c:v>
                </c:pt>
                <c:pt idx="51">
                  <c:v>-2.2252623215517771</c:v>
                </c:pt>
                <c:pt idx="52">
                  <c:v>-1.7830028486520331</c:v>
                </c:pt>
                <c:pt idx="53">
                  <c:v>3.1746098264592093</c:v>
                </c:pt>
                <c:pt idx="54">
                  <c:v>-2.6004429478401252</c:v>
                </c:pt>
                <c:pt idx="55">
                  <c:v>3.573613909282217</c:v>
                </c:pt>
                <c:pt idx="56">
                  <c:v>2.646287970181481</c:v>
                </c:pt>
                <c:pt idx="57">
                  <c:v>-2.1042561361772854</c:v>
                </c:pt>
                <c:pt idx="58">
                  <c:v>-1.3458207134264537</c:v>
                </c:pt>
                <c:pt idx="59">
                  <c:v>-2.2091426527506552</c:v>
                </c:pt>
                <c:pt idx="60">
                  <c:v>-1.0041027341756916</c:v>
                </c:pt>
                <c:pt idx="61">
                  <c:v>2.5533721623467835E-2</c:v>
                </c:pt>
                <c:pt idx="62">
                  <c:v>-2.0809313322239906</c:v>
                </c:pt>
                <c:pt idx="63">
                  <c:v>0.46958704585433608</c:v>
                </c:pt>
                <c:pt idx="64">
                  <c:v>-0.90474790866389843</c:v>
                </c:pt>
                <c:pt idx="65">
                  <c:v>3.6570513267095306</c:v>
                </c:pt>
                <c:pt idx="66">
                  <c:v>-0.62126937054211584</c:v>
                </c:pt>
                <c:pt idx="67">
                  <c:v>-1.1622821606561566</c:v>
                </c:pt>
                <c:pt idx="68">
                  <c:v>3.375143699787988</c:v>
                </c:pt>
                <c:pt idx="69">
                  <c:v>2.7030370734757825</c:v>
                </c:pt>
                <c:pt idx="70">
                  <c:v>-3.2024973111637443</c:v>
                </c:pt>
                <c:pt idx="71">
                  <c:v>-2.1464616309072397</c:v>
                </c:pt>
                <c:pt idx="72">
                  <c:v>-0.89042912243898931</c:v>
                </c:pt>
                <c:pt idx="73">
                  <c:v>-1.8003941996178836</c:v>
                </c:pt>
                <c:pt idx="74">
                  <c:v>-1.7420721569688504</c:v>
                </c:pt>
                <c:pt idx="75">
                  <c:v>2.1551628583321949</c:v>
                </c:pt>
                <c:pt idx="76">
                  <c:v>3.4480136602606053</c:v>
                </c:pt>
                <c:pt idx="77">
                  <c:v>-1.97677789079695</c:v>
                </c:pt>
                <c:pt idx="78">
                  <c:v>0.67715561836647986</c:v>
                </c:pt>
                <c:pt idx="79">
                  <c:v>3.2877507191520636</c:v>
                </c:pt>
                <c:pt idx="80">
                  <c:v>-1.3225963616114906</c:v>
                </c:pt>
                <c:pt idx="81">
                  <c:v>-1.6223807480472912</c:v>
                </c:pt>
                <c:pt idx="82">
                  <c:v>1.2260755297782049</c:v>
                </c:pt>
                <c:pt idx="83">
                  <c:v>2.1465466484444828</c:v>
                </c:pt>
                <c:pt idx="84">
                  <c:v>-0.92959067808755513</c:v>
                </c:pt>
                <c:pt idx="85">
                  <c:v>-2.0716739737156349</c:v>
                </c:pt>
                <c:pt idx="86">
                  <c:v>2.6458167351334159</c:v>
                </c:pt>
                <c:pt idx="87">
                  <c:v>-0.40108929825128359</c:v>
                </c:pt>
                <c:pt idx="88">
                  <c:v>-0.36276926948126648</c:v>
                </c:pt>
                <c:pt idx="89">
                  <c:v>2.3399209094776716</c:v>
                </c:pt>
                <c:pt idx="90">
                  <c:v>-1.0565316089660739</c:v>
                </c:pt>
                <c:pt idx="91">
                  <c:v>-2.3121378989697821</c:v>
                </c:pt>
                <c:pt idx="92">
                  <c:v>-1.7186180399877855</c:v>
                </c:pt>
                <c:pt idx="93">
                  <c:v>-1.5600406164175915</c:v>
                </c:pt>
                <c:pt idx="94">
                  <c:v>-1.0058873717954886</c:v>
                </c:pt>
                <c:pt idx="95">
                  <c:v>3.5118220166989653</c:v>
                </c:pt>
                <c:pt idx="96">
                  <c:v>-3.0591132231644327</c:v>
                </c:pt>
                <c:pt idx="97">
                  <c:v>2.0837027801663193</c:v>
                </c:pt>
                <c:pt idx="98">
                  <c:v>-2.2015139673328683</c:v>
                </c:pt>
                <c:pt idx="99">
                  <c:v>-0.52287923935597458</c:v>
                </c:pt>
              </c:numCache>
            </c:numRef>
          </c:xVal>
          <c:yVal>
            <c:numRef>
              <c:f>XLSTAT_20210923_105258_1_HID1!$C$2:$C$101</c:f>
              <c:numCache>
                <c:formatCode>General</c:formatCode>
                <c:ptCount val="100"/>
                <c:pt idx="0">
                  <c:v>1.1114532410995426</c:v>
                </c:pt>
                <c:pt idx="1">
                  <c:v>0.18382028068907794</c:v>
                </c:pt>
                <c:pt idx="2">
                  <c:v>0.99104465120763796</c:v>
                </c:pt>
                <c:pt idx="3">
                  <c:v>1.5873532637136376</c:v>
                </c:pt>
                <c:pt idx="4">
                  <c:v>1.9785050759378318</c:v>
                </c:pt>
                <c:pt idx="5">
                  <c:v>1.2849183145666445</c:v>
                </c:pt>
                <c:pt idx="6">
                  <c:v>0.3919118762564891</c:v>
                </c:pt>
                <c:pt idx="7">
                  <c:v>1.664991219080489</c:v>
                </c:pt>
                <c:pt idx="8">
                  <c:v>-5.5119457632462947E-2</c:v>
                </c:pt>
                <c:pt idx="9">
                  <c:v>0.67726424814927588</c:v>
                </c:pt>
                <c:pt idx="10">
                  <c:v>0.12722295717517523</c:v>
                </c:pt>
                <c:pt idx="11">
                  <c:v>0.52749235751970991</c:v>
                </c:pt>
                <c:pt idx="12">
                  <c:v>1.1423662742283238</c:v>
                </c:pt>
                <c:pt idx="13">
                  <c:v>1.7459149724753937</c:v>
                </c:pt>
                <c:pt idx="14">
                  <c:v>0.81581151437792543</c:v>
                </c:pt>
                <c:pt idx="15">
                  <c:v>0.23956482499725126</c:v>
                </c:pt>
                <c:pt idx="16">
                  <c:v>2.9522398898216951</c:v>
                </c:pt>
                <c:pt idx="17">
                  <c:v>1.4869002142829867E-3</c:v>
                </c:pt>
                <c:pt idx="18">
                  <c:v>0.60056071256035637</c:v>
                </c:pt>
                <c:pt idx="19">
                  <c:v>1.3815179296808038</c:v>
                </c:pt>
                <c:pt idx="20">
                  <c:v>0.48310687098402422</c:v>
                </c:pt>
                <c:pt idx="21">
                  <c:v>-4.9971328232420308E-2</c:v>
                </c:pt>
                <c:pt idx="22">
                  <c:v>-3.4558713442827488E-2</c:v>
                </c:pt>
                <c:pt idx="23">
                  <c:v>1.9711771549861721</c:v>
                </c:pt>
                <c:pt idx="24">
                  <c:v>1.4815676543912819</c:v>
                </c:pt>
                <c:pt idx="25">
                  <c:v>1.1227792490617747</c:v>
                </c:pt>
                <c:pt idx="26">
                  <c:v>0.3378280804008843</c:v>
                </c:pt>
                <c:pt idx="27">
                  <c:v>0.83673997754633411</c:v>
                </c:pt>
                <c:pt idx="28">
                  <c:v>1.5221622133522368</c:v>
                </c:pt>
                <c:pt idx="29">
                  <c:v>1.6807823560300299</c:v>
                </c:pt>
                <c:pt idx="30">
                  <c:v>0.58810683556945609</c:v>
                </c:pt>
                <c:pt idx="31">
                  <c:v>0.22143431928632751</c:v>
                </c:pt>
                <c:pt idx="32">
                  <c:v>1.4515593597228191</c:v>
                </c:pt>
                <c:pt idx="33">
                  <c:v>0.95798806897848099</c:v>
                </c:pt>
                <c:pt idx="34">
                  <c:v>0.48137260507411583</c:v>
                </c:pt>
                <c:pt idx="35">
                  <c:v>0.98352565684229543</c:v>
                </c:pt>
                <c:pt idx="36">
                  <c:v>0.22652972757660181</c:v>
                </c:pt>
                <c:pt idx="37">
                  <c:v>0.1435117016997754</c:v>
                </c:pt>
                <c:pt idx="38">
                  <c:v>5.4404010673393642E-2</c:v>
                </c:pt>
                <c:pt idx="39">
                  <c:v>0.18728689748291244</c:v>
                </c:pt>
                <c:pt idx="40">
                  <c:v>1.8656883728615949</c:v>
                </c:pt>
                <c:pt idx="41">
                  <c:v>0.54920287604195606</c:v>
                </c:pt>
                <c:pt idx="42">
                  <c:v>0.42350137741628213</c:v>
                </c:pt>
                <c:pt idx="43">
                  <c:v>-0.63962682741060517</c:v>
                </c:pt>
                <c:pt idx="44">
                  <c:v>0.4908168854921568</c:v>
                </c:pt>
                <c:pt idx="45">
                  <c:v>-5.8566192376950016E-2</c:v>
                </c:pt>
                <c:pt idx="46">
                  <c:v>-1.090749174905193</c:v>
                </c:pt>
                <c:pt idx="47">
                  <c:v>-0.90578652105553947</c:v>
                </c:pt>
                <c:pt idx="48">
                  <c:v>-0.85084188676753925</c:v>
                </c:pt>
                <c:pt idx="49">
                  <c:v>0.38727623584060372</c:v>
                </c:pt>
                <c:pt idx="50">
                  <c:v>-1.0137292087893823</c:v>
                </c:pt>
                <c:pt idx="51">
                  <c:v>-1.3109197755587878</c:v>
                </c:pt>
                <c:pt idx="52">
                  <c:v>-0.44034691359701666</c:v>
                </c:pt>
                <c:pt idx="53">
                  <c:v>0.13681388302956682</c:v>
                </c:pt>
                <c:pt idx="54">
                  <c:v>-0.99673003386020176</c:v>
                </c:pt>
                <c:pt idx="55">
                  <c:v>-0.65883712954545248</c:v>
                </c:pt>
                <c:pt idx="56">
                  <c:v>-1.136303769542744</c:v>
                </c:pt>
                <c:pt idx="57">
                  <c:v>-1.4130074284406213</c:v>
                </c:pt>
                <c:pt idx="58">
                  <c:v>-0.83970966417405279</c:v>
                </c:pt>
                <c:pt idx="59">
                  <c:v>-0.8963281083664012</c:v>
                </c:pt>
                <c:pt idx="60">
                  <c:v>-0.65785992401892535</c:v>
                </c:pt>
                <c:pt idx="61">
                  <c:v>-0.59432589237638223</c:v>
                </c:pt>
                <c:pt idx="62">
                  <c:v>-0.78381029982928319</c:v>
                </c:pt>
                <c:pt idx="63">
                  <c:v>-1.1324081670783912</c:v>
                </c:pt>
                <c:pt idx="64">
                  <c:v>-1.103996002969073</c:v>
                </c:pt>
                <c:pt idx="65">
                  <c:v>-0.48498142618304679</c:v>
                </c:pt>
                <c:pt idx="66">
                  <c:v>-0.85153179395357603</c:v>
                </c:pt>
                <c:pt idx="67">
                  <c:v>-0.46965562201680261</c:v>
                </c:pt>
                <c:pt idx="68">
                  <c:v>-1.1982246694268808</c:v>
                </c:pt>
                <c:pt idx="69">
                  <c:v>-0.80748927904835499</c:v>
                </c:pt>
                <c:pt idx="70">
                  <c:v>-0.39289420210264137</c:v>
                </c:pt>
                <c:pt idx="71">
                  <c:v>-0.30718364326138664</c:v>
                </c:pt>
                <c:pt idx="72">
                  <c:v>-0.77203457347982796</c:v>
                </c:pt>
                <c:pt idx="73">
                  <c:v>-1.4231809995817262</c:v>
                </c:pt>
                <c:pt idx="74">
                  <c:v>-1.3563552050153762</c:v>
                </c:pt>
                <c:pt idx="75">
                  <c:v>-0.51222696528750966</c:v>
                </c:pt>
                <c:pt idx="76">
                  <c:v>-0.77413814833702399</c:v>
                </c:pt>
                <c:pt idx="77">
                  <c:v>-0.32775048894988096</c:v>
                </c:pt>
                <c:pt idx="78">
                  <c:v>-1.4845059914348013</c:v>
                </c:pt>
                <c:pt idx="79">
                  <c:v>-1.4038445660318259</c:v>
                </c:pt>
                <c:pt idx="80">
                  <c:v>-1.0538160334264832</c:v>
                </c:pt>
                <c:pt idx="81">
                  <c:v>-2.5218793115878801</c:v>
                </c:pt>
                <c:pt idx="82">
                  <c:v>-1.1433173948177779</c:v>
                </c:pt>
                <c:pt idx="83">
                  <c:v>-0.9194279975047247</c:v>
                </c:pt>
                <c:pt idx="84">
                  <c:v>-0.49577703302919562</c:v>
                </c:pt>
                <c:pt idx="85">
                  <c:v>-2.5307615515405417</c:v>
                </c:pt>
                <c:pt idx="86">
                  <c:v>-1.1497609180727977</c:v>
                </c:pt>
                <c:pt idx="87">
                  <c:v>-0.20832889748096059</c:v>
                </c:pt>
                <c:pt idx="88">
                  <c:v>-1.2772042737572051</c:v>
                </c:pt>
                <c:pt idx="89">
                  <c:v>-1.1415208400887404</c:v>
                </c:pt>
                <c:pt idx="90">
                  <c:v>-1.8858998196664891</c:v>
                </c:pt>
                <c:pt idx="91">
                  <c:v>-1.2455490491335013</c:v>
                </c:pt>
                <c:pt idx="92">
                  <c:v>-2.4028614714258083</c:v>
                </c:pt>
                <c:pt idx="93">
                  <c:v>-1.9099586444986316</c:v>
                </c:pt>
                <c:pt idx="94">
                  <c:v>-0.95757228893680635</c:v>
                </c:pt>
                <c:pt idx="95">
                  <c:v>-6.7341690786511241E-2</c:v>
                </c:pt>
                <c:pt idx="96">
                  <c:v>-2.9536311723408413</c:v>
                </c:pt>
                <c:pt idx="97">
                  <c:v>-0.69373409228365779</c:v>
                </c:pt>
                <c:pt idx="98">
                  <c:v>-1.6593537272711691</c:v>
                </c:pt>
                <c:pt idx="99">
                  <c:v>-1.6089924860104705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F9-40D0-A0FD-28311238E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45871"/>
        <c:axId val="50823823"/>
      </c:scatterChart>
      <c:valAx>
        <c:axId val="382145871"/>
        <c:scaling>
          <c:orientation val="minMax"/>
          <c:max val="5"/>
          <c:min val="-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50823823"/>
        <c:crosses val="autoZero"/>
        <c:crossBetween val="midCat"/>
        <c:majorUnit val="1"/>
      </c:valAx>
      <c:valAx>
        <c:axId val="50823823"/>
        <c:scaling>
          <c:orientation val="minMax"/>
          <c:max val="4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2145871"/>
        <c:crosses val="autoZero"/>
        <c:crossBetween val="midCat"/>
        <c:majorUnit val="1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Correlations on axes t1 and t2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5266001269566862E-2"/>
          <c:y val="0.10093884816122124"/>
          <c:w val="0.78140057535689678"/>
          <c:h val="0.82934835731740442"/>
        </c:manualLayout>
      </c:layout>
      <c:scatterChart>
        <c:scatterStyle val="lineMarker"/>
        <c:varyColors val="0"/>
        <c:ser>
          <c:idx val="0"/>
          <c:order val="0"/>
          <c:tx>
            <c:v>X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8198970840480276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BBF-48A7-B16E-F14E53E91746}"/>
                </c:ext>
              </c:extLst>
            </c:dLbl>
            <c:dLbl>
              <c:idx val="1"/>
              <c:layout>
                <c:manualLayout>
                  <c:x val="-1.7152658662092687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ALTITUDE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BBF-48A7-B16E-F14E53E91746}"/>
                </c:ext>
              </c:extLst>
            </c:dLbl>
            <c:dLbl>
              <c:idx val="2"/>
              <c:layout>
                <c:manualLayout>
                  <c:x val="-8.133790737564322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BBF-48A7-B16E-F14E53E91746}"/>
                </c:ext>
              </c:extLst>
            </c:dLbl>
            <c:dLbl>
              <c:idx val="3"/>
              <c:layout>
                <c:manualLayout>
                  <c:x val="-1.71526586620927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BARREN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BBF-48A7-B16E-F14E53E91746}"/>
                </c:ext>
              </c:extLst>
            </c:dLbl>
            <c:dLbl>
              <c:idx val="4"/>
              <c:layout>
                <c:manualLayout>
                  <c:x val="-0.14271012006861064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CROPLAND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BBF-48A7-B16E-F14E53E91746}"/>
                </c:ext>
              </c:extLst>
            </c:dLbl>
            <c:dLbl>
              <c:idx val="5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FOREST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BBF-48A7-B16E-F14E53E91746}"/>
                </c:ext>
              </c:extLst>
            </c:dLbl>
            <c:dLbl>
              <c:idx val="6"/>
              <c:layout>
                <c:manualLayout>
                  <c:x val="-1.71526586620927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KSN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BBF-48A7-B16E-F14E53E91746}"/>
                </c:ext>
              </c:extLst>
            </c:dLbl>
            <c:dLbl>
              <c:idx val="7"/>
              <c:layout>
                <c:manualLayout>
                  <c:x val="-7.5008441269026588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BBF-48A7-B16E-F14E53E91746}"/>
                </c:ext>
              </c:extLst>
            </c:dLbl>
            <c:dLbl>
              <c:idx val="8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GLACIER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BBF-48A7-B16E-F14E53E91746}"/>
                </c:ext>
              </c:extLst>
            </c:dLbl>
            <c:dLbl>
              <c:idx val="9"/>
              <c:layout>
                <c:manualLayout>
                  <c:x val="-1.7152658662092687E-2"/>
                  <c:y val="-3.0651340996168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GLORED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BBF-48A7-B16E-F14E53E91746}"/>
                </c:ext>
              </c:extLst>
            </c:dLbl>
            <c:dLbl>
              <c:idx val="10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BBF-48A7-B16E-F14E53E91746}"/>
                </c:ext>
              </c:extLst>
            </c:dLbl>
            <c:dLbl>
              <c:idx val="11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BBF-48A7-B16E-F14E53E91746}"/>
                </c:ext>
              </c:extLst>
            </c:dLbl>
            <c:dLbl>
              <c:idx val="12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SRAD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BBF-48A7-B16E-F14E53E91746}"/>
                </c:ext>
              </c:extLst>
            </c:dLbl>
            <c:dLbl>
              <c:idx val="13"/>
              <c:layout>
                <c:manualLayout>
                  <c:x val="-7.162950257289879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BBF-48A7-B16E-F14E53E91746}"/>
                </c:ext>
              </c:extLst>
            </c:dLbl>
            <c:dLbl>
              <c:idx val="14"/>
              <c:layout>
                <c:manualLayout>
                  <c:x val="-1.7152658662092687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CANOPY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BBF-48A7-B16E-F14E53E91746}"/>
                </c:ext>
              </c:extLst>
            </c:dLbl>
            <c:dLbl>
              <c:idx val="15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BBF-48A7-B16E-F14E53E91746}"/>
                </c:ext>
              </c:extLst>
            </c:dLbl>
            <c:dLbl>
              <c:idx val="16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BBF-48A7-B16E-F14E53E91746}"/>
                </c:ext>
              </c:extLst>
            </c:dLbl>
            <c:dLbl>
              <c:idx val="17"/>
              <c:layout>
                <c:manualLayout>
                  <c:x val="-1.71526586620927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PGA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BBF-48A7-B16E-F14E53E91746}"/>
                </c:ext>
              </c:extLst>
            </c:dLbl>
            <c:dLbl>
              <c:idx val="18"/>
              <c:layout>
                <c:manualLayout>
                  <c:x val="-8.1509433962264149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CWR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BBF-48A7-B16E-F14E53E917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'PLS-R'!$C$97:$C$115</c:f>
              <c:numCache>
                <c:formatCode>0.000</c:formatCode>
                <c:ptCount val="19"/>
                <c:pt idx="0">
                  <c:v>-0.1652346404651035</c:v>
                </c:pt>
                <c:pt idx="1">
                  <c:v>0.32946144326972493</c:v>
                </c:pt>
                <c:pt idx="2">
                  <c:v>-0.2230797579862813</c:v>
                </c:pt>
                <c:pt idx="3">
                  <c:v>0.69978200338912411</c:v>
                </c:pt>
                <c:pt idx="4">
                  <c:v>-0.50885681471305833</c:v>
                </c:pt>
                <c:pt idx="5">
                  <c:v>0.1394041975142627</c:v>
                </c:pt>
                <c:pt idx="6">
                  <c:v>0.8402463754793873</c:v>
                </c:pt>
                <c:pt idx="7">
                  <c:v>-0.3578203359898095</c:v>
                </c:pt>
                <c:pt idx="8">
                  <c:v>0.17127264808409795</c:v>
                </c:pt>
                <c:pt idx="9">
                  <c:v>0.13567292872255421</c:v>
                </c:pt>
                <c:pt idx="10">
                  <c:v>0.69195763596910875</c:v>
                </c:pt>
                <c:pt idx="11">
                  <c:v>0.5676899189815765</c:v>
                </c:pt>
                <c:pt idx="12">
                  <c:v>2.6177885353163618E-2</c:v>
                </c:pt>
                <c:pt idx="13">
                  <c:v>-0.12331598709195045</c:v>
                </c:pt>
                <c:pt idx="14">
                  <c:v>0.38628957444328738</c:v>
                </c:pt>
                <c:pt idx="15">
                  <c:v>0.66219074294817515</c:v>
                </c:pt>
                <c:pt idx="16">
                  <c:v>0.91428888065744396</c:v>
                </c:pt>
                <c:pt idx="17">
                  <c:v>0.57181530284820226</c:v>
                </c:pt>
                <c:pt idx="18">
                  <c:v>-0.55881748141848453</c:v>
                </c:pt>
              </c:numCache>
            </c:numRef>
          </c:xVal>
          <c:yVal>
            <c:numRef>
              <c:f>'PLS-R'!$D$97:$D$115</c:f>
              <c:numCache>
                <c:formatCode>0.000</c:formatCode>
                <c:ptCount val="19"/>
                <c:pt idx="0">
                  <c:v>0.43870033427235577</c:v>
                </c:pt>
                <c:pt idx="1">
                  <c:v>-0.53504091305122281</c:v>
                </c:pt>
                <c:pt idx="2">
                  <c:v>0.60251127380143987</c:v>
                </c:pt>
                <c:pt idx="3">
                  <c:v>0.15469351652725166</c:v>
                </c:pt>
                <c:pt idx="4">
                  <c:v>-2.7772232793435395E-2</c:v>
                </c:pt>
                <c:pt idx="5">
                  <c:v>-2.5215552293297101E-2</c:v>
                </c:pt>
                <c:pt idx="6">
                  <c:v>-9.7513734429643104E-2</c:v>
                </c:pt>
                <c:pt idx="7">
                  <c:v>0.31378021360289698</c:v>
                </c:pt>
                <c:pt idx="8">
                  <c:v>0.28555525764386613</c:v>
                </c:pt>
                <c:pt idx="9">
                  <c:v>4.9283306248067919E-2</c:v>
                </c:pt>
                <c:pt idx="10">
                  <c:v>-0.23081820509762527</c:v>
                </c:pt>
                <c:pt idx="11">
                  <c:v>-0.19232492108626573</c:v>
                </c:pt>
                <c:pt idx="12">
                  <c:v>-0.4238649604043801</c:v>
                </c:pt>
                <c:pt idx="13">
                  <c:v>3.0670686210418133E-2</c:v>
                </c:pt>
                <c:pt idx="14">
                  <c:v>-4.8770702524739293E-2</c:v>
                </c:pt>
                <c:pt idx="15">
                  <c:v>-0.36878542386721919</c:v>
                </c:pt>
                <c:pt idx="16">
                  <c:v>-7.0368693826564466E-2</c:v>
                </c:pt>
                <c:pt idx="17">
                  <c:v>0.21336833165151425</c:v>
                </c:pt>
                <c:pt idx="18">
                  <c:v>-0.22278535120198539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BF-48A7-B16E-F14E53E91746}"/>
            </c:ext>
          </c:extLst>
        </c:ser>
        <c:ser>
          <c:idx val="1"/>
          <c:order val="1"/>
          <c:tx>
            <c:v>Y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BBF-48A7-B16E-F14E53E917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'PLS-R'!$C$116</c:f>
              <c:numCache>
                <c:formatCode>0.000</c:formatCode>
                <c:ptCount val="1"/>
                <c:pt idx="0">
                  <c:v>0.58601590099260015</c:v>
                </c:pt>
              </c:numCache>
            </c:numRef>
          </c:xVal>
          <c:yVal>
            <c:numRef>
              <c:f>'PLS-R'!$D$116</c:f>
              <c:numCache>
                <c:formatCode>0.000</c:formatCode>
                <c:ptCount val="1"/>
                <c:pt idx="0">
                  <c:v>0.39668530754484232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BBF-48A7-B16E-F14E53E91746}"/>
            </c:ext>
          </c:extLst>
        </c:ser>
        <c:ser>
          <c:idx val="2"/>
          <c:order val="2"/>
          <c:tx>
            <c:v>Active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8941"/>
              </a:solidFill>
              <a:ln>
                <a:solidFill>
                  <a:srgbClr val="008941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Obs1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BBF-48A7-B16E-F14E53E917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Obs2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BBF-48A7-B16E-F14E53E917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Obs3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BBF-48A7-B16E-F14E53E917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Obs4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BBF-48A7-B16E-F14E53E917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Obs5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6BBF-48A7-B16E-F14E53E917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Obs6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BBF-48A7-B16E-F14E53E917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Obs7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6BBF-48A7-B16E-F14E53E917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Obs8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BBF-48A7-B16E-F14E53E917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Obs9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6BBF-48A7-B16E-F14E53E917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Obs10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6BBF-48A7-B16E-F14E53E917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Obs11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BBF-48A7-B16E-F14E53E917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Obs12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6BBF-48A7-B16E-F14E53E917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Obs13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6BBF-48A7-B16E-F14E53E917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Obs14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BBF-48A7-B16E-F14E53E917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Obs15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6BBF-48A7-B16E-F14E53E917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Obs16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6BBF-48A7-B16E-F14E53E917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Obs17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6BBF-48A7-B16E-F14E53E917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Obs18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BBF-48A7-B16E-F14E53E917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Obs19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6BBF-48A7-B16E-F14E53E917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Obs20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6BBF-48A7-B16E-F14E53E917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Obs21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BBF-48A7-B16E-F14E53E917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Obs22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6BBF-48A7-B16E-F14E53E917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Obs23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6BBF-48A7-B16E-F14E53E917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Obs24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6BBF-48A7-B16E-F14E53E917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Obs25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6BBF-48A7-B16E-F14E53E917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Obs26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6BBF-48A7-B16E-F14E53E917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Obs27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6BBF-48A7-B16E-F14E53E917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Obs28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6BBF-48A7-B16E-F14E53E917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Obs29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6BBF-48A7-B16E-F14E53E917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Obs30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6BBF-48A7-B16E-F14E53E917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Obs31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6BBF-48A7-B16E-F14E53E917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Obs32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6BBF-48A7-B16E-F14E53E917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Obs33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6BBF-48A7-B16E-F14E53E917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Obs34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6BBF-48A7-B16E-F14E53E917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Obs35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6BBF-48A7-B16E-F14E53E917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Obs36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6BBF-48A7-B16E-F14E53E917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Obs37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6BBF-48A7-B16E-F14E53E917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Obs38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6BBF-48A7-B16E-F14E53E917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Obs39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6BBF-48A7-B16E-F14E53E917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Obs40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6BBF-48A7-B16E-F14E53E917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Obs41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6BBF-48A7-B16E-F14E53E917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Obs42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6BBF-48A7-B16E-F14E53E917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Obs43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6BBF-48A7-B16E-F14E53E917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Obs44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6BBF-48A7-B16E-F14E53E917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Obs45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6BBF-48A7-B16E-F14E53E917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Obs46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6BBF-48A7-B16E-F14E53E917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Obs47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6BBF-48A7-B16E-F14E53E917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Obs48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6BBF-48A7-B16E-F14E53E917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Obs49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6BBF-48A7-B16E-F14E53E917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Obs50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6BBF-48A7-B16E-F14E53E917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Obs51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6BBF-48A7-B16E-F14E53E917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Obs52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6BBF-48A7-B16E-F14E53E917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Obs53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6BBF-48A7-B16E-F14E53E917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Obs54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6BBF-48A7-B16E-F14E53E917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Obs55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6BBF-48A7-B16E-F14E53E917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Obs56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6BBF-48A7-B16E-F14E53E917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Obs57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6BBF-48A7-B16E-F14E53E917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Obs58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6BBF-48A7-B16E-F14E53E917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Obs59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6BBF-48A7-B16E-F14E53E917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Obs60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6BBF-48A7-B16E-F14E53E917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Obs61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6BBF-48A7-B16E-F14E53E917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Obs62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6BBF-48A7-B16E-F14E53E917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Obs63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6BBF-48A7-B16E-F14E53E917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Obs64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6BBF-48A7-B16E-F14E53E917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Obs65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6BBF-48A7-B16E-F14E53E917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Obs66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6BBF-48A7-B16E-F14E53E917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Obs67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6BBF-48A7-B16E-F14E53E917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Obs68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6BBF-48A7-B16E-F14E53E917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Obs69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6BBF-48A7-B16E-F14E53E917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Obs70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6BBF-48A7-B16E-F14E53E917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Obs71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6BBF-48A7-B16E-F14E53E917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Obs72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6BBF-48A7-B16E-F14E53E917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Obs73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6BBF-48A7-B16E-F14E53E917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Obs74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6BBF-48A7-B16E-F14E53E917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Obs75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6BBF-48A7-B16E-F14E53E917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Obs76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6BBF-48A7-B16E-F14E53E917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Obs77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6BBF-48A7-B16E-F14E53E917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Obs78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6BBF-48A7-B16E-F14E53E917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Obs79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6BBF-48A7-B16E-F14E53E917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Obs80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6BBF-48A7-B16E-F14E53E917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Obs81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6BBF-48A7-B16E-F14E53E917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Obs82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6BBF-48A7-B16E-F14E53E917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Obs83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6BBF-48A7-B16E-F14E53E917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Obs84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6BBF-48A7-B16E-F14E53E917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Obs85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6BBF-48A7-B16E-F14E53E917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Obs86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6BBF-48A7-B16E-F14E53E917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Obs87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6BBF-48A7-B16E-F14E53E917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Obs88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6BBF-48A7-B16E-F14E53E917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Obs89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6BBF-48A7-B16E-F14E53E917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Obs90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6BBF-48A7-B16E-F14E53E917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Obs91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6BBF-48A7-B16E-F14E53E917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Obs92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6BBF-48A7-B16E-F14E53E917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Obs93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6BBF-48A7-B16E-F14E53E917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Obs94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6BBF-48A7-B16E-F14E53E917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Obs95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6BBF-48A7-B16E-F14E53E917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Obs96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6BBF-48A7-B16E-F14E53E917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Obs97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6BBF-48A7-B16E-F14E53E917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Obs98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6BBF-48A7-B16E-F14E53E917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Obs99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6BBF-48A7-B16E-F14E53E917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Obs100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6BBF-48A7-B16E-F14E53E917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XLSTAT_20210923_105258_1_HID2!$B$2:$B$101</c:f>
              <c:numCache>
                <c:formatCode>General</c:formatCode>
                <c:ptCount val="100"/>
                <c:pt idx="0">
                  <c:v>-1.1578226740187438E-2</c:v>
                </c:pt>
                <c:pt idx="1">
                  <c:v>-1.8504743300883985E-2</c:v>
                </c:pt>
                <c:pt idx="2">
                  <c:v>-0.10072511055180627</c:v>
                </c:pt>
                <c:pt idx="3">
                  <c:v>-2.2668171330960087E-2</c:v>
                </c:pt>
                <c:pt idx="4">
                  <c:v>-4.3999619999588166E-2</c:v>
                </c:pt>
                <c:pt idx="5">
                  <c:v>1.4164334739341851E-2</c:v>
                </c:pt>
                <c:pt idx="6">
                  <c:v>4.245681372214459E-2</c:v>
                </c:pt>
                <c:pt idx="7">
                  <c:v>-8.8930144596253841E-3</c:v>
                </c:pt>
                <c:pt idx="8">
                  <c:v>2.5401643100977332E-3</c:v>
                </c:pt>
                <c:pt idx="9">
                  <c:v>-5.9123883694172524E-4</c:v>
                </c:pt>
                <c:pt idx="10">
                  <c:v>5.9529189532412242E-2</c:v>
                </c:pt>
                <c:pt idx="11">
                  <c:v>2.2783417773094814E-2</c:v>
                </c:pt>
                <c:pt idx="12">
                  <c:v>4.4647636198634828E-2</c:v>
                </c:pt>
                <c:pt idx="13">
                  <c:v>9.1439290630983591E-2</c:v>
                </c:pt>
                <c:pt idx="14">
                  <c:v>-1.8365078131606961E-3</c:v>
                </c:pt>
                <c:pt idx="15">
                  <c:v>-6.8761849961137197E-2</c:v>
                </c:pt>
                <c:pt idx="16">
                  <c:v>-3.7273066635751841E-2</c:v>
                </c:pt>
                <c:pt idx="17">
                  <c:v>4.9237667238345127E-2</c:v>
                </c:pt>
                <c:pt idx="18">
                  <c:v>3.960417678648212E-2</c:v>
                </c:pt>
                <c:pt idx="19">
                  <c:v>8.0537027868580024E-2</c:v>
                </c:pt>
                <c:pt idx="20">
                  <c:v>3.8700468416278326E-2</c:v>
                </c:pt>
                <c:pt idx="21">
                  <c:v>6.9100478457110245E-2</c:v>
                </c:pt>
                <c:pt idx="22">
                  <c:v>4.223859951988343E-2</c:v>
                </c:pt>
                <c:pt idx="23">
                  <c:v>-3.8242831877722192E-2</c:v>
                </c:pt>
                <c:pt idx="24">
                  <c:v>6.2582666785410079E-2</c:v>
                </c:pt>
                <c:pt idx="25">
                  <c:v>6.930941052026332E-2</c:v>
                </c:pt>
                <c:pt idx="26">
                  <c:v>-0.11563718336685712</c:v>
                </c:pt>
                <c:pt idx="27">
                  <c:v>5.3569210295512655E-2</c:v>
                </c:pt>
                <c:pt idx="28">
                  <c:v>-1.1359398748488415E-3</c:v>
                </c:pt>
                <c:pt idx="29">
                  <c:v>-7.4905119818763119E-2</c:v>
                </c:pt>
                <c:pt idx="30">
                  <c:v>6.815015336166004E-2</c:v>
                </c:pt>
                <c:pt idx="31">
                  <c:v>-0.12426231665502223</c:v>
                </c:pt>
                <c:pt idx="32">
                  <c:v>-4.6274319119110244E-2</c:v>
                </c:pt>
                <c:pt idx="33">
                  <c:v>5.6881467000104637E-2</c:v>
                </c:pt>
                <c:pt idx="34">
                  <c:v>-0.11202778651122136</c:v>
                </c:pt>
                <c:pt idx="35">
                  <c:v>6.410407254046864E-2</c:v>
                </c:pt>
                <c:pt idx="36">
                  <c:v>-0.1121877107132019</c:v>
                </c:pt>
                <c:pt idx="37">
                  <c:v>0.14657113907550487</c:v>
                </c:pt>
                <c:pt idx="38">
                  <c:v>9.2169017234616013E-2</c:v>
                </c:pt>
                <c:pt idx="39">
                  <c:v>-0.11399968889274592</c:v>
                </c:pt>
                <c:pt idx="40">
                  <c:v>-4.4020340208674041E-2</c:v>
                </c:pt>
                <c:pt idx="41">
                  <c:v>2.3954485249543689E-2</c:v>
                </c:pt>
                <c:pt idx="42">
                  <c:v>0.11324470224416316</c:v>
                </c:pt>
                <c:pt idx="43">
                  <c:v>8.1175459960657573E-2</c:v>
                </c:pt>
                <c:pt idx="44">
                  <c:v>-6.2732591133559057E-2</c:v>
                </c:pt>
                <c:pt idx="45">
                  <c:v>6.2334731398783932E-4</c:v>
                </c:pt>
                <c:pt idx="46">
                  <c:v>-8.0733893104736471E-2</c:v>
                </c:pt>
                <c:pt idx="47">
                  <c:v>-6.7922017759951547E-2</c:v>
                </c:pt>
                <c:pt idx="48">
                  <c:v>-1.389072533450628E-2</c:v>
                </c:pt>
                <c:pt idx="49">
                  <c:v>8.0316942889007134E-2</c:v>
                </c:pt>
                <c:pt idx="50">
                  <c:v>6.5003088296758313E-2</c:v>
                </c:pt>
                <c:pt idx="51">
                  <c:v>-6.9979120404001519E-2</c:v>
                </c:pt>
                <c:pt idx="52">
                  <c:v>-5.6071129150961588E-2</c:v>
                </c:pt>
                <c:pt idx="53">
                  <c:v>9.9833804369902579E-2</c:v>
                </c:pt>
                <c:pt idx="54">
                  <c:v>-8.1777644095344257E-2</c:v>
                </c:pt>
                <c:pt idx="55">
                  <c:v>0.11238151817565659</c:v>
                </c:pt>
                <c:pt idx="56">
                  <c:v>8.3219359216873234E-2</c:v>
                </c:pt>
                <c:pt idx="57">
                  <c:v>-6.6173768408446479E-2</c:v>
                </c:pt>
                <c:pt idx="58">
                  <c:v>-4.2322807893225574E-2</c:v>
                </c:pt>
                <c:pt idx="59">
                  <c:v>-6.9472195789774593E-2</c:v>
                </c:pt>
                <c:pt idx="60">
                  <c:v>-3.1576603554707205E-2</c:v>
                </c:pt>
                <c:pt idx="61">
                  <c:v>8.0297381685988205E-4</c:v>
                </c:pt>
                <c:pt idx="62">
                  <c:v>-6.5440259712218202E-2</c:v>
                </c:pt>
                <c:pt idx="63">
                  <c:v>1.4767377357598132E-2</c:v>
                </c:pt>
                <c:pt idx="64">
                  <c:v>-2.845213448431021E-2</c:v>
                </c:pt>
                <c:pt idx="65">
                  <c:v>0.1150054232423964</c:v>
                </c:pt>
                <c:pt idx="66">
                  <c:v>-1.9537419774477302E-2</c:v>
                </c:pt>
                <c:pt idx="67">
                  <c:v>-3.6550964116114304E-2</c:v>
                </c:pt>
                <c:pt idx="68">
                  <c:v>0.106140109892107</c:v>
                </c:pt>
                <c:pt idx="69">
                  <c:v>8.5003981323574673E-2</c:v>
                </c:pt>
                <c:pt idx="70">
                  <c:v>-0.10071079834540049</c:v>
                </c:pt>
                <c:pt idx="71">
                  <c:v>-6.7501029185215625E-2</c:v>
                </c:pt>
                <c:pt idx="72">
                  <c:v>-2.8001843273441497E-2</c:v>
                </c:pt>
                <c:pt idx="73">
                  <c:v>-5.6618045094956368E-2</c:v>
                </c:pt>
                <c:pt idx="74">
                  <c:v>-5.4783957848155769E-2</c:v>
                </c:pt>
                <c:pt idx="75">
                  <c:v>6.7774661752367946E-2</c:v>
                </c:pt>
                <c:pt idx="76">
                  <c:v>0.10843169398462517</c:v>
                </c:pt>
                <c:pt idx="77">
                  <c:v>-6.2164885772020742E-2</c:v>
                </c:pt>
                <c:pt idx="78">
                  <c:v>2.1294907162616696E-2</c:v>
                </c:pt>
                <c:pt idx="79">
                  <c:v>0.10339181192509644</c:v>
                </c:pt>
                <c:pt idx="80">
                  <c:v>-4.1592458173903113E-2</c:v>
                </c:pt>
                <c:pt idx="81">
                  <c:v>-5.1019952393551442E-2</c:v>
                </c:pt>
                <c:pt idx="82">
                  <c:v>3.8557111353468163E-2</c:v>
                </c:pt>
                <c:pt idx="83">
                  <c:v>6.7503702781230607E-2</c:v>
                </c:pt>
                <c:pt idx="84">
                  <c:v>-2.9233379524874509E-2</c:v>
                </c:pt>
                <c:pt idx="85">
                  <c:v>-6.5149138166949117E-2</c:v>
                </c:pt>
                <c:pt idx="86">
                  <c:v>8.3204540013830181E-2</c:v>
                </c:pt>
                <c:pt idx="87">
                  <c:v>-1.2613288789930184E-2</c:v>
                </c:pt>
                <c:pt idx="88">
                  <c:v>-1.1408216524422258E-2</c:v>
                </c:pt>
                <c:pt idx="89">
                  <c:v>7.3584855805220936E-2</c:v>
                </c:pt>
                <c:pt idx="90">
                  <c:v>-3.3225364919184888E-2</c:v>
                </c:pt>
                <c:pt idx="91">
                  <c:v>-7.2711147290639419E-2</c:v>
                </c:pt>
                <c:pt idx="92">
                  <c:v>-5.4046382569820528E-2</c:v>
                </c:pt>
                <c:pt idx="93">
                  <c:v>-4.9059505962106058E-2</c:v>
                </c:pt>
                <c:pt idx="94">
                  <c:v>-3.1632726093458588E-2</c:v>
                </c:pt>
                <c:pt idx="95">
                  <c:v>0.11043831253684494</c:v>
                </c:pt>
                <c:pt idx="96">
                  <c:v>-9.6201715411247946E-2</c:v>
                </c:pt>
                <c:pt idx="97">
                  <c:v>6.5527415049982787E-2</c:v>
                </c:pt>
                <c:pt idx="98">
                  <c:v>-6.9232292075859514E-2</c:v>
                </c:pt>
                <c:pt idx="99">
                  <c:v>-1.6443288008457426E-2</c:v>
                </c:pt>
              </c:numCache>
            </c:numRef>
          </c:xVal>
          <c:yVal>
            <c:numRef>
              <c:f>XLSTAT_20210923_105258_1_HID2!$C$2:$C$101</c:f>
              <c:numCache>
                <c:formatCode>General</c:formatCode>
                <c:ptCount val="100"/>
                <c:pt idx="0">
                  <c:v>6.7234191721343844E-2</c:v>
                </c:pt>
                <c:pt idx="1">
                  <c:v>1.1119683255315482E-2</c:v>
                </c:pt>
                <c:pt idx="2">
                  <c:v>5.9950417723186114E-2</c:v>
                </c:pt>
                <c:pt idx="3">
                  <c:v>9.6022405365827943E-2</c:v>
                </c:pt>
                <c:pt idx="4">
                  <c:v>0.11968401789503845</c:v>
                </c:pt>
                <c:pt idx="5">
                  <c:v>7.7727466269633727E-2</c:v>
                </c:pt>
                <c:pt idx="6">
                  <c:v>2.3707590433613625E-2</c:v>
                </c:pt>
                <c:pt idx="7">
                  <c:v>0.10071889189622309</c:v>
                </c:pt>
                <c:pt idx="8">
                  <c:v>-3.3342942779772764E-3</c:v>
                </c:pt>
                <c:pt idx="9">
                  <c:v>4.0969167772665689E-2</c:v>
                </c:pt>
                <c:pt idx="10">
                  <c:v>7.6959896986849219E-3</c:v>
                </c:pt>
                <c:pt idx="11">
                  <c:v>3.1909144699545221E-2</c:v>
                </c:pt>
                <c:pt idx="12">
                  <c:v>6.9104187434355202E-2</c:v>
                </c:pt>
                <c:pt idx="13">
                  <c:v>0.10561414340062397</c:v>
                </c:pt>
                <c:pt idx="14">
                  <c:v>4.9350189227846113E-2</c:v>
                </c:pt>
                <c:pt idx="15">
                  <c:v>1.4491790367736061E-2</c:v>
                </c:pt>
                <c:pt idx="16">
                  <c:v>0.17858732641177644</c:v>
                </c:pt>
                <c:pt idx="17">
                  <c:v>8.9945784834556198E-5</c:v>
                </c:pt>
                <c:pt idx="18">
                  <c:v>3.6329206299892884E-2</c:v>
                </c:pt>
                <c:pt idx="19">
                  <c:v>8.3570984289670455E-2</c:v>
                </c:pt>
                <c:pt idx="20">
                  <c:v>2.9224171368203659E-2</c:v>
                </c:pt>
                <c:pt idx="21">
                  <c:v>-3.0228728827359141E-3</c:v>
                </c:pt>
                <c:pt idx="22">
                  <c:v>-2.0905307388005079E-3</c:v>
                </c:pt>
                <c:pt idx="23">
                  <c:v>0.1192407362310295</c:v>
                </c:pt>
                <c:pt idx="24">
                  <c:v>8.9623206843088249E-2</c:v>
                </c:pt>
                <c:pt idx="25">
                  <c:v>6.791932624847595E-2</c:v>
                </c:pt>
                <c:pt idx="26">
                  <c:v>2.0435945559038025E-2</c:v>
                </c:pt>
                <c:pt idx="27">
                  <c:v>5.0616196877170026E-2</c:v>
                </c:pt>
                <c:pt idx="28">
                  <c:v>9.2078858830142732E-2</c:v>
                </c:pt>
                <c:pt idx="29">
                  <c:v>0.10167413165791842</c:v>
                </c:pt>
                <c:pt idx="30">
                  <c:v>3.5575844554821302E-2</c:v>
                </c:pt>
                <c:pt idx="31">
                  <c:v>1.3395037169403363E-2</c:v>
                </c:pt>
                <c:pt idx="32">
                  <c:v>8.7807940701100984E-2</c:v>
                </c:pt>
                <c:pt idx="33">
                  <c:v>5.7950754125058686E-2</c:v>
                </c:pt>
                <c:pt idx="34">
                  <c:v>2.9119261901596478E-2</c:v>
                </c:pt>
                <c:pt idx="35">
                  <c:v>5.9495577618341913E-2</c:v>
                </c:pt>
                <c:pt idx="36">
                  <c:v>1.3703269351575878E-2</c:v>
                </c:pt>
                <c:pt idx="37">
                  <c:v>8.6813308104563298E-3</c:v>
                </c:pt>
                <c:pt idx="38">
                  <c:v>3.2910153560813528E-3</c:v>
                </c:pt>
                <c:pt idx="39">
                  <c:v>1.1329386344498543E-2</c:v>
                </c:pt>
                <c:pt idx="40">
                  <c:v>0.11285949342247155</c:v>
                </c:pt>
                <c:pt idx="41">
                  <c:v>3.3222460555505512E-2</c:v>
                </c:pt>
                <c:pt idx="42">
                  <c:v>2.5618507149514334E-2</c:v>
                </c:pt>
                <c:pt idx="43">
                  <c:v>-3.8692399422665405E-2</c:v>
                </c:pt>
                <c:pt idx="44">
                  <c:v>2.9690566691412491E-2</c:v>
                </c:pt>
                <c:pt idx="45">
                  <c:v>-3.542794659328637E-3</c:v>
                </c:pt>
                <c:pt idx="46">
                  <c:v>-6.598175832653437E-2</c:v>
                </c:pt>
                <c:pt idx="47">
                  <c:v>-5.4792970467214604E-2</c:v>
                </c:pt>
                <c:pt idx="48">
                  <c:v>-5.1469251628512978E-2</c:v>
                </c:pt>
                <c:pt idx="49">
                  <c:v>2.3427170596820028E-2</c:v>
                </c:pt>
                <c:pt idx="50">
                  <c:v>-6.1322655292133266E-2</c:v>
                </c:pt>
                <c:pt idx="51">
                  <c:v>-7.9300350443916534E-2</c:v>
                </c:pt>
                <c:pt idx="52">
                  <c:v>-2.6637529783434481E-2</c:v>
                </c:pt>
                <c:pt idx="53">
                  <c:v>8.2761653856453822E-3</c:v>
                </c:pt>
                <c:pt idx="54">
                  <c:v>-6.0294338720612441E-2</c:v>
                </c:pt>
                <c:pt idx="55">
                  <c:v>-3.9854471823913266E-2</c:v>
                </c:pt>
                <c:pt idx="56">
                  <c:v>-6.873745351585174E-2</c:v>
                </c:pt>
                <c:pt idx="57">
                  <c:v>-8.5475851645792522E-2</c:v>
                </c:pt>
                <c:pt idx="58">
                  <c:v>-5.0795839594197707E-2</c:v>
                </c:pt>
                <c:pt idx="59">
                  <c:v>-5.422081078599221E-2</c:v>
                </c:pt>
                <c:pt idx="60">
                  <c:v>-3.9795358564540625E-2</c:v>
                </c:pt>
                <c:pt idx="61">
                  <c:v>-3.5952048647104252E-2</c:v>
                </c:pt>
                <c:pt idx="62">
                  <c:v>-4.7414367085521214E-2</c:v>
                </c:pt>
                <c:pt idx="63">
                  <c:v>-6.8501800162860185E-2</c:v>
                </c:pt>
                <c:pt idx="64">
                  <c:v>-6.6783087383675346E-2</c:v>
                </c:pt>
                <c:pt idx="65">
                  <c:v>-2.9337567234968723E-2</c:v>
                </c:pt>
                <c:pt idx="66">
                  <c:v>-5.1510985594730073E-2</c:v>
                </c:pt>
                <c:pt idx="67">
                  <c:v>-2.8410476451934383E-2</c:v>
                </c:pt>
                <c:pt idx="68">
                  <c:v>-7.2483181631457935E-2</c:v>
                </c:pt>
                <c:pt idx="69">
                  <c:v>-4.8846759353328911E-2</c:v>
                </c:pt>
                <c:pt idx="70">
                  <c:v>-2.3767013432108543E-2</c:v>
                </c:pt>
                <c:pt idx="71">
                  <c:v>-1.8582197793822659E-2</c:v>
                </c:pt>
                <c:pt idx="72">
                  <c:v>-4.6702028128054948E-2</c:v>
                </c:pt>
                <c:pt idx="73">
                  <c:v>-8.6091272796497073E-2</c:v>
                </c:pt>
                <c:pt idx="74">
                  <c:v>-8.2048837075710215E-2</c:v>
                </c:pt>
                <c:pt idx="75">
                  <c:v>-3.0985708364044587E-2</c:v>
                </c:pt>
                <c:pt idx="76">
                  <c:v>-4.6829277885416756E-2</c:v>
                </c:pt>
                <c:pt idx="77">
                  <c:v>-1.982633042575915E-2</c:v>
                </c:pt>
                <c:pt idx="78">
                  <c:v>-8.9800953156491836E-2</c:v>
                </c:pt>
                <c:pt idx="79">
                  <c:v>-8.4921570435275928E-2</c:v>
                </c:pt>
                <c:pt idx="80">
                  <c:v>-6.3747593340345174E-2</c:v>
                </c:pt>
                <c:pt idx="81">
                  <c:v>-0.15255389148503509</c:v>
                </c:pt>
                <c:pt idx="82">
                  <c:v>-6.9161722759906299E-2</c:v>
                </c:pt>
                <c:pt idx="83">
                  <c:v>-5.5618172652094081E-2</c:v>
                </c:pt>
                <c:pt idx="84">
                  <c:v>-2.9990616660353606E-2</c:v>
                </c:pt>
                <c:pt idx="85">
                  <c:v>-0.15309119724096723</c:v>
                </c:pt>
                <c:pt idx="86">
                  <c:v>-6.9551505309337125E-2</c:v>
                </c:pt>
                <c:pt idx="87">
                  <c:v>-1.2602262080296214E-2</c:v>
                </c:pt>
                <c:pt idx="88">
                  <c:v>-7.7260827386818443E-2</c:v>
                </c:pt>
                <c:pt idx="89">
                  <c:v>-6.9053045308958838E-2</c:v>
                </c:pt>
                <c:pt idx="90">
                  <c:v>-0.11408212721325672</c:v>
                </c:pt>
                <c:pt idx="91">
                  <c:v>-7.5345934917543878E-2</c:v>
                </c:pt>
                <c:pt idx="92">
                  <c:v>-0.14535424692256957</c:v>
                </c:pt>
                <c:pt idx="93">
                  <c:v>-0.11553749715734385</c:v>
                </c:pt>
                <c:pt idx="94">
                  <c:v>-5.7925602698078088E-2</c:v>
                </c:pt>
                <c:pt idx="95">
                  <c:v>-4.073643390252393E-3</c:v>
                </c:pt>
                <c:pt idx="96">
                  <c:v>-0.17867148807703759</c:v>
                </c:pt>
                <c:pt idx="97">
                  <c:v>-4.1965463988470696E-2</c:v>
                </c:pt>
                <c:pt idx="98">
                  <c:v>-0.10037786791867785</c:v>
                </c:pt>
                <c:pt idx="99">
                  <c:v>-9.7331408360112018E-2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BBF-48A7-B16E-F14E53E91746}"/>
            </c:ext>
          </c:extLst>
        </c:ser>
        <c:ser>
          <c:idx val="3"/>
          <c:order val="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XLSTAT_20210923_105258_1_HID!xcirclez1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XLSTAT_20210923_105258_1_HID!ycirclez1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6BBF-48A7-B16E-F14E53E91746}"/>
            </c:ext>
          </c:extLst>
        </c:ser>
        <c:ser>
          <c:idx val="4"/>
          <c:order val="4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XLSTAT_20210923_105258_1_HID!xcircle126696521</c:f>
              <c:numCache>
                <c:formatCode>General</c:formatCode>
                <c:ptCount val="500"/>
                <c:pt idx="0">
                  <c:v>-0.70710678118654802</c:v>
                </c:pt>
                <c:pt idx="1">
                  <c:v>-0.70705072701814309</c:v>
                </c:pt>
                <c:pt idx="2">
                  <c:v>-0.70688257340004368</c:v>
                </c:pt>
                <c:pt idx="3">
                  <c:v>-0.70660234699218727</c:v>
                </c:pt>
                <c:pt idx="4">
                  <c:v>-0.70621009222310616</c:v>
                </c:pt>
                <c:pt idx="5">
                  <c:v>-0.70570587128288365</c:v>
                </c:pt>
                <c:pt idx="6">
                  <c:v>-0.70508976411329471</c:v>
                </c:pt>
                <c:pt idx="7">
                  <c:v>-0.70436186839513082</c:v>
                </c:pt>
                <c:pt idx="8">
                  <c:v>-0.70352229953271339</c:v>
                </c:pt>
                <c:pt idx="9">
                  <c:v>-0.70257119063559725</c:v>
                </c:pt>
                <c:pt idx="10">
                  <c:v>-0.7015086924974665</c:v>
                </c:pt>
                <c:pt idx="11">
                  <c:v>-0.70033497357222696</c:v>
                </c:pt>
                <c:pt idx="12">
                  <c:v>-0.69905021994729866</c:v>
                </c:pt>
                <c:pt idx="13">
                  <c:v>-0.69765463531411254</c:v>
                </c:pt>
                <c:pt idx="14">
                  <c:v>-0.69614844093581618</c:v>
                </c:pt>
                <c:pt idx="15">
                  <c:v>-0.69453187561219365</c:v>
                </c:pt>
                <c:pt idx="16">
                  <c:v>-0.69280519564180509</c:v>
                </c:pt>
                <c:pt idx="17">
                  <c:v>-0.69096867478135127</c:v>
                </c:pt>
                <c:pt idx="18">
                  <c:v>-0.68902260420227168</c:v>
                </c:pt>
                <c:pt idx="19">
                  <c:v>-0.68696729244457988</c:v>
                </c:pt>
                <c:pt idx="20">
                  <c:v>-0.68480306536794644</c:v>
                </c:pt>
                <c:pt idx="21">
                  <c:v>-0.68253026610003542</c:v>
                </c:pt>
                <c:pt idx="22">
                  <c:v>-0.68014925498210299</c:v>
                </c:pt>
                <c:pt idx="23">
                  <c:v>-0.67766040951186712</c:v>
                </c:pt>
                <c:pt idx="24">
                  <c:v>-0.67506412428365781</c:v>
                </c:pt>
                <c:pt idx="25">
                  <c:v>-0.67236081092585465</c:v>
                </c:pt>
                <c:pt idx="26">
                  <c:v>-0.66955089803562651</c:v>
                </c:pt>
                <c:pt idx="27">
                  <c:v>-0.66663483111097899</c:v>
                </c:pt>
                <c:pt idx="28">
                  <c:v>-0.66361307248012269</c:v>
                </c:pt>
                <c:pt idx="29">
                  <c:v>-0.66048610122817375</c:v>
                </c:pt>
                <c:pt idx="30">
                  <c:v>-0.65725441312119715</c:v>
                </c:pt>
                <c:pt idx="31">
                  <c:v>-0.6539185205276048</c:v>
                </c:pt>
                <c:pt idx="32">
                  <c:v>-0.65047895233692299</c:v>
                </c:pt>
                <c:pt idx="33">
                  <c:v>-0.646936253875939</c:v>
                </c:pt>
                <c:pt idx="34">
                  <c:v>-0.64329098682224217</c:v>
                </c:pt>
                <c:pt idx="35">
                  <c:v>-0.63954372911517265</c:v>
                </c:pt>
                <c:pt idx="36">
                  <c:v>-0.63569507486419241</c:v>
                </c:pt>
                <c:pt idx="37">
                  <c:v>-0.63174563425469121</c:v>
                </c:pt>
                <c:pt idx="38">
                  <c:v>-0.62769603345124536</c:v>
                </c:pt>
                <c:pt idx="39">
                  <c:v>-0.62354691449834243</c:v>
                </c:pt>
                <c:pt idx="40">
                  <c:v>-0.61929893521858748</c:v>
                </c:pt>
                <c:pt idx="41">
                  <c:v>-0.61495276910840924</c:v>
                </c:pt>
                <c:pt idx="42">
                  <c:v>-0.61050910523128044</c:v>
                </c:pt>
                <c:pt idx="43">
                  <c:v>-0.60596864810846973</c:v>
                </c:pt>
                <c:pt idx="44">
                  <c:v>-0.60133211760734351</c:v>
                </c:pt>
                <c:pt idx="45">
                  <c:v>-0.59660024882723472</c:v>
                </c:pt>
                <c:pt idx="46">
                  <c:v>-0.59177379198289592</c:v>
                </c:pt>
                <c:pt idx="47">
                  <c:v>-0.5868535122855566</c:v>
                </c:pt>
                <c:pt idx="48">
                  <c:v>-0.58184018982160302</c:v>
                </c:pt>
                <c:pt idx="49">
                  <c:v>-0.57673461942889881</c:v>
                </c:pt>
                <c:pt idx="50">
                  <c:v>-0.57153761057076724</c:v>
                </c:pt>
                <c:pt idx="51">
                  <c:v>-0.56624998720765563</c:v>
                </c:pt>
                <c:pt idx="52">
                  <c:v>-0.56087258766649939</c:v>
                </c:pt>
                <c:pt idx="53">
                  <c:v>-0.5554062645078095</c:v>
                </c:pt>
                <c:pt idx="54">
                  <c:v>-0.54985188439050414</c:v>
                </c:pt>
                <c:pt idx="55">
                  <c:v>-0.54421032793450319</c:v>
                </c:pt>
                <c:pt idx="56">
                  <c:v>-0.53848248958111</c:v>
                </c:pt>
                <c:pt idx="57">
                  <c:v>-0.53266927745120352</c:v>
                </c:pt>
                <c:pt idx="58">
                  <c:v>-0.52677161320125876</c:v>
                </c:pt>
                <c:pt idx="59">
                  <c:v>-0.52079043187722263</c:v>
                </c:pt>
                <c:pt idx="60">
                  <c:v>-0.51472668176626857</c:v>
                </c:pt>
                <c:pt idx="61">
                  <c:v>-0.50858132424644809</c:v>
                </c:pt>
                <c:pt idx="62">
                  <c:v>-0.50235533363427021</c:v>
                </c:pt>
                <c:pt idx="63">
                  <c:v>-0.49604969703022866</c:v>
                </c:pt>
                <c:pt idx="64">
                  <c:v>-0.48966541416230064</c:v>
                </c:pt>
                <c:pt idx="65">
                  <c:v>-0.48320349722744566</c:v>
                </c:pt>
                <c:pt idx="66">
                  <c:v>-0.47666497073112696</c:v>
                </c:pt>
                <c:pt idx="67">
                  <c:v>-0.47005087132488005</c:v>
                </c:pt>
                <c:pt idx="68">
                  <c:v>-0.46336224764195755</c:v>
                </c:pt>
                <c:pt idx="69">
                  <c:v>-0.45660016013107352</c:v>
                </c:pt>
                <c:pt idx="70">
                  <c:v>-0.44976568088827396</c:v>
                </c:pt>
                <c:pt idx="71">
                  <c:v>-0.44285989348696098</c:v>
                </c:pt>
                <c:pt idx="72">
                  <c:v>-0.43588389280609907</c:v>
                </c:pt>
                <c:pt idx="73">
                  <c:v>-0.4288387848566253</c:v>
                </c:pt>
                <c:pt idx="74">
                  <c:v>-0.42172568660609777</c:v>
                </c:pt>
                <c:pt idx="75">
                  <c:v>-0.41454572580160659</c:v>
                </c:pt>
                <c:pt idx="76">
                  <c:v>-0.40730004079097321</c:v>
                </c:pt>
                <c:pt idx="77">
                  <c:v>-0.39998978034227189</c:v>
                </c:pt>
                <c:pt idx="78">
                  <c:v>-0.39261610346169928</c:v>
                </c:pt>
                <c:pt idx="79">
                  <c:v>-0.3851801792098174</c:v>
                </c:pt>
                <c:pt idx="80">
                  <c:v>-0.37768318651620586</c:v>
                </c:pt>
                <c:pt idx="81">
                  <c:v>-0.37012631399254919</c:v>
                </c:pt>
                <c:pt idx="82">
                  <c:v>-0.36251075974418662</c:v>
                </c:pt>
                <c:pt idx="83">
                  <c:v>-0.35483773118015904</c:v>
                </c:pt>
                <c:pt idx="84">
                  <c:v>-0.34710844482178105</c:v>
                </c:pt>
                <c:pt idx="85">
                  <c:v>-0.3393241261097657</c:v>
                </c:pt>
                <c:pt idx="86">
                  <c:v>-0.33148600920993782</c:v>
                </c:pt>
                <c:pt idx="87">
                  <c:v>-0.32359533681756358</c:v>
                </c:pt>
                <c:pt idx="88">
                  <c:v>-0.31565335996032606</c:v>
                </c:pt>
                <c:pt idx="89">
                  <c:v>-0.30766133779998112</c:v>
                </c:pt>
                <c:pt idx="90">
                  <c:v>-0.29962053743272465</c:v>
                </c:pt>
                <c:pt idx="91">
                  <c:v>-0.29153223368829873</c:v>
                </c:pt>
                <c:pt idx="92">
                  <c:v>-0.28339770892787525</c:v>
                </c:pt>
                <c:pt idx="93">
                  <c:v>-0.27521825284074292</c:v>
                </c:pt>
                <c:pt idx="94">
                  <c:v>-0.26699516223983316</c:v>
                </c:pt>
                <c:pt idx="95">
                  <c:v>-0.25872974085611755</c:v>
                </c:pt>
                <c:pt idx="96">
                  <c:v>-0.25042329913190703</c:v>
                </c:pt>
                <c:pt idx="97">
                  <c:v>-0.24207715401308741</c:v>
                </c:pt>
                <c:pt idx="98">
                  <c:v>-0.23369262874032479</c:v>
                </c:pt>
                <c:pt idx="99">
                  <c:v>-0.22527105263927169</c:v>
                </c:pt>
                <c:pt idx="100">
                  <c:v>-0.21681376090980908</c:v>
                </c:pt>
                <c:pt idx="101">
                  <c:v>-0.20832209441435653</c:v>
                </c:pt>
                <c:pt idx="102">
                  <c:v>-0.1997973994652858</c:v>
                </c:pt>
                <c:pt idx="103">
                  <c:v>-0.19124102761146908</c:v>
                </c:pt>
                <c:pt idx="104">
                  <c:v>-0.18265433542399714</c:v>
                </c:pt>
                <c:pt idx="105">
                  <c:v>-0.17403868428110253</c:v>
                </c:pt>
                <c:pt idx="106">
                  <c:v>-0.16539544015231897</c:v>
                </c:pt>
                <c:pt idx="107">
                  <c:v>-0.15672597338191346</c:v>
                </c:pt>
                <c:pt idx="108">
                  <c:v>-0.1480316584716255</c:v>
                </c:pt>
                <c:pt idx="109">
                  <c:v>-0.13931387386274621</c:v>
                </c:pt>
                <c:pt idx="110">
                  <c:v>-0.13057400171757261</c:v>
                </c:pt>
                <c:pt idx="111">
                  <c:v>-0.12181342770027358</c:v>
                </c:pt>
                <c:pt idx="112">
                  <c:v>-0.11303354075719894</c:v>
                </c:pt>
                <c:pt idx="113">
                  <c:v>-0.10423573289666845</c:v>
                </c:pt>
                <c:pt idx="114">
                  <c:v>-9.542139896827645E-2</c:v>
                </c:pt>
                <c:pt idx="115">
                  <c:v>-8.6591936441744968E-2</c:v>
                </c:pt>
                <c:pt idx="116">
                  <c:v>-7.7748745185361054E-2</c:v>
                </c:pt>
                <c:pt idx="117">
                  <c:v>-6.8893227244035488E-2</c:v>
                </c:pt>
                <c:pt idx="118">
                  <c:v>-6.0026786617014959E-2</c:v>
                </c:pt>
                <c:pt idx="119">
                  <c:v>-5.1150829035284284E-2</c:v>
                </c:pt>
                <c:pt idx="120">
                  <c:v>-4.2266761738695612E-2</c:v>
                </c:pt>
                <c:pt idx="121">
                  <c:v>-3.3375993252856839E-2</c:v>
                </c:pt>
                <c:pt idx="122">
                  <c:v>-2.4479933165816356E-2</c:v>
                </c:pt>
                <c:pt idx="123">
                  <c:v>-1.5579991904580613E-2</c:v>
                </c:pt>
                <c:pt idx="124">
                  <c:v>-6.6775805114973269E-3</c:v>
                </c:pt>
                <c:pt idx="125">
                  <c:v>2.2258895794588776E-3</c:v>
                </c:pt>
                <c:pt idx="126">
                  <c:v>1.1129006766461514E-2</c:v>
                </c:pt>
                <c:pt idx="127">
                  <c:v>2.0030359503635298E-2</c:v>
                </c:pt>
                <c:pt idx="128">
                  <c:v>2.8928536524850348E-2</c:v>
                </c:pt>
                <c:pt idx="129">
                  <c:v>3.7822127067470603E-2</c:v>
                </c:pt>
                <c:pt idx="130">
                  <c:v>4.6709721096023865E-2</c:v>
                </c:pt>
                <c:pt idx="131">
                  <c:v>5.5589909525756487E-2</c:v>
                </c:pt>
                <c:pt idx="132">
                  <c:v>6.4461284446036007E-2</c:v>
                </c:pt>
                <c:pt idx="133">
                  <c:v>7.3322439343568954E-2</c:v>
                </c:pt>
                <c:pt idx="134">
                  <c:v>8.2171969325397179E-2</c:v>
                </c:pt>
                <c:pt idx="135">
                  <c:v>9.100847134163581E-2</c:v>
                </c:pt>
                <c:pt idx="136">
                  <c:v>9.983054440792051E-2</c:v>
                </c:pt>
                <c:pt idx="137">
                  <c:v>0.10863678982752717</c:v>
                </c:pt>
                <c:pt idx="138">
                  <c:v>0.11742581141312744</c:v>
                </c:pt>
                <c:pt idx="139">
                  <c:v>0.1261962157081481</c:v>
                </c:pt>
                <c:pt idx="140">
                  <c:v>0.13494661220769705</c:v>
                </c:pt>
                <c:pt idx="141">
                  <c:v>0.14367561357902034</c:v>
                </c:pt>
                <c:pt idx="142">
                  <c:v>0.15238183588145737</c:v>
                </c:pt>
                <c:pt idx="143">
                  <c:v>0.16106389878585847</c:v>
                </c:pt>
                <c:pt idx="144">
                  <c:v>0.16972042579342841</c:v>
                </c:pt>
                <c:pt idx="145">
                  <c:v>0.17835004445396407</c:v>
                </c:pt>
                <c:pt idx="146">
                  <c:v>0.18695138658345017</c:v>
                </c:pt>
                <c:pt idx="147">
                  <c:v>0.19552308848097721</c:v>
                </c:pt>
                <c:pt idx="148">
                  <c:v>0.20406379114495027</c:v>
                </c:pt>
                <c:pt idx="149">
                  <c:v>0.21257214048855225</c:v>
                </c:pt>
                <c:pt idx="150">
                  <c:v>0.22104678755442714</c:v>
                </c:pt>
                <c:pt idx="151">
                  <c:v>0.22948638872855084</c:v>
                </c:pt>
                <c:pt idx="152">
                  <c:v>0.2378896059532552</c:v>
                </c:pt>
                <c:pt idx="153">
                  <c:v>0.24625510693936969</c:v>
                </c:pt>
                <c:pt idx="154">
                  <c:v>0.25458156537744969</c:v>
                </c:pt>
                <c:pt idx="155">
                  <c:v>0.26286766114805682</c:v>
                </c:pt>
                <c:pt idx="156">
                  <c:v>0.27111208053105673</c:v>
                </c:pt>
                <c:pt idx="157">
                  <c:v>0.27931351641390345</c:v>
                </c:pt>
                <c:pt idx="158">
                  <c:v>0.28747066849887593</c:v>
                </c:pt>
                <c:pt idx="159">
                  <c:v>0.29558224350923312</c:v>
                </c:pt>
                <c:pt idx="160">
                  <c:v>0.3036469553942579</c:v>
                </c:pt>
                <c:pt idx="161">
                  <c:v>0.31166352553315246</c:v>
                </c:pt>
                <c:pt idx="162">
                  <c:v>0.31963068293775931</c:v>
                </c:pt>
                <c:pt idx="163">
                  <c:v>0.32754716445406934</c:v>
                </c:pt>
                <c:pt idx="164">
                  <c:v>0.33541171496248784</c:v>
                </c:pt>
                <c:pt idx="165">
                  <c:v>0.34322308757682951</c:v>
                </c:pt>
                <c:pt idx="166">
                  <c:v>0.35098004384200504</c:v>
                </c:pt>
                <c:pt idx="167">
                  <c:v>0.35868135393037154</c:v>
                </c:pt>
                <c:pt idx="168">
                  <c:v>0.36632579683671729</c:v>
                </c:pt>
                <c:pt idx="169">
                  <c:v>0.3739121605718454</c:v>
                </c:pt>
                <c:pt idx="170">
                  <c:v>0.38143924235472781</c:v>
                </c:pt>
                <c:pt idx="171">
                  <c:v>0.38890584880320228</c:v>
                </c:pt>
                <c:pt idx="172">
                  <c:v>0.39631079612317627</c:v>
                </c:pt>
                <c:pt idx="173">
                  <c:v>0.40365291029631101</c:v>
                </c:pt>
                <c:pt idx="174">
                  <c:v>0.41093102726615788</c:v>
                </c:pt>
                <c:pt idx="175">
                  <c:v>0.41814399312271339</c:v>
                </c:pt>
                <c:pt idx="176">
                  <c:v>0.42529066428536499</c:v>
                </c:pt>
                <c:pt idx="177">
                  <c:v>0.43236990768420158</c:v>
                </c:pt>
                <c:pt idx="178">
                  <c:v>0.43938060093965592</c:v>
                </c:pt>
                <c:pt idx="179">
                  <c:v>0.44632163254045126</c:v>
                </c:pt>
                <c:pt idx="180">
                  <c:v>0.4531919020198279</c:v>
                </c:pt>
                <c:pt idx="181">
                  <c:v>0.45999032013001567</c:v>
                </c:pt>
                <c:pt idx="182">
                  <c:v>0.46671580901492854</c:v>
                </c:pt>
                <c:pt idx="183">
                  <c:v>0.47336730238105462</c:v>
                </c:pt>
                <c:pt idx="184">
                  <c:v>0.47994374566651132</c:v>
                </c:pt>
                <c:pt idx="185">
                  <c:v>0.48644409620824008</c:v>
                </c:pt>
                <c:pt idx="186">
                  <c:v>0.49286732340731709</c:v>
                </c:pt>
                <c:pt idx="187">
                  <c:v>0.49921240889234869</c:v>
                </c:pt>
                <c:pt idx="188">
                  <c:v>0.50547834668092928</c:v>
                </c:pt>
                <c:pt idx="189">
                  <c:v>0.51166414333913524</c:v>
                </c:pt>
                <c:pt idx="190">
                  <c:v>0.5177688181390292</c:v>
                </c:pt>
                <c:pt idx="191">
                  <c:v>0.52379140321414885</c:v>
                </c:pt>
                <c:pt idx="192">
                  <c:v>0.52973094371295837</c:v>
                </c:pt>
                <c:pt idx="193">
                  <c:v>0.53558649795023527</c:v>
                </c:pt>
                <c:pt idx="194">
                  <c:v>0.54135713755636927</c:v>
                </c:pt>
                <c:pt idx="195">
                  <c:v>0.54704194762455194</c:v>
                </c:pt>
                <c:pt idx="196">
                  <c:v>0.55264002685582958</c:v>
                </c:pt>
                <c:pt idx="197">
                  <c:v>0.55815048770200082</c:v>
                </c:pt>
                <c:pt idx="198">
                  <c:v>0.56357245650633259</c:v>
                </c:pt>
                <c:pt idx="199">
                  <c:v>0.56890507364207354</c:v>
                </c:pt>
                <c:pt idx="200">
                  <c:v>0.57414749364874484</c:v>
                </c:pt>
                <c:pt idx="201">
                  <c:v>0.57929888536618335</c:v>
                </c:pt>
                <c:pt idx="202">
                  <c:v>0.58435843206631721</c:v>
                </c:pt>
                <c:pt idx="203">
                  <c:v>0.58932533158265532</c:v>
                </c:pt>
                <c:pt idx="204">
                  <c:v>0.59419879643746654</c:v>
                </c:pt>
                <c:pt idx="205">
                  <c:v>0.59897805396662984</c:v>
                </c:pt>
                <c:pt idx="206">
                  <c:v>0.60366234644213723</c:v>
                </c:pt>
                <c:pt idx="207">
                  <c:v>0.60825093119222773</c:v>
                </c:pt>
                <c:pt idx="208">
                  <c:v>0.61274308071913364</c:v>
                </c:pt>
                <c:pt idx="209">
                  <c:v>0.61713808281442262</c:v>
                </c:pt>
                <c:pt idx="210">
                  <c:v>0.62143524067191469</c:v>
                </c:pt>
                <c:pt idx="211">
                  <c:v>0.62563387299815676</c:v>
                </c:pt>
                <c:pt idx="212">
                  <c:v>0.62973331412043954</c:v>
                </c:pt>
                <c:pt idx="213">
                  <c:v>0.63373291409233579</c:v>
                </c:pt>
                <c:pt idx="214">
                  <c:v>0.63763203879674646</c:v>
                </c:pt>
                <c:pt idx="215">
                  <c:v>0.64143007004643704</c:v>
                </c:pt>
                <c:pt idx="216">
                  <c:v>0.64512640568204793</c:v>
                </c:pt>
                <c:pt idx="217">
                  <c:v>0.64872045966756375</c:v>
                </c:pt>
                <c:pt idx="218">
                  <c:v>0.65221166218322679</c:v>
                </c:pt>
                <c:pt idx="219">
                  <c:v>0.65559945971587941</c:v>
                </c:pt>
                <c:pt idx="220">
                  <c:v>0.65888331514671961</c:v>
                </c:pt>
                <c:pt idx="221">
                  <c:v>0.66206270783646026</c:v>
                </c:pt>
                <c:pt idx="222">
                  <c:v>0.66513713370787286</c:v>
                </c:pt>
                <c:pt idx="223">
                  <c:v>0.66810610532570669</c:v>
                </c:pt>
                <c:pt idx="224">
                  <c:v>0.67096915197396967</c:v>
                </c:pt>
                <c:pt idx="225">
                  <c:v>0.67372581973055778</c:v>
                </c:pt>
                <c:pt idx="226">
                  <c:v>0.67637567153922185</c:v>
                </c:pt>
                <c:pt idx="227">
                  <c:v>0.67891828727886161</c:v>
                </c:pt>
                <c:pt idx="228">
                  <c:v>0.68135326383013317</c:v>
                </c:pt>
                <c:pt idx="229">
                  <c:v>0.68368021513936161</c:v>
                </c:pt>
                <c:pt idx="230">
                  <c:v>0.68589877227974827</c:v>
                </c:pt>
                <c:pt idx="231">
                  <c:v>0.68800858350986227</c:v>
                </c:pt>
                <c:pt idx="232">
                  <c:v>0.69000931432940693</c:v>
                </c:pt>
                <c:pt idx="233">
                  <c:v>0.69190064753225344</c:v>
                </c:pt>
                <c:pt idx="234">
                  <c:v>0.69368228325673309</c:v>
                </c:pt>
                <c:pt idx="235">
                  <c:v>0.69535393903317722</c:v>
                </c:pt>
                <c:pt idx="236">
                  <c:v>0.69691534982870285</c:v>
                </c:pt>
                <c:pt idx="237">
                  <c:v>0.69836626808923197</c:v>
                </c:pt>
                <c:pt idx="238">
                  <c:v>0.69970646377873991</c:v>
                </c:pt>
                <c:pt idx="239">
                  <c:v>0.70093572441572605</c:v>
                </c:pt>
                <c:pt idx="240">
                  <c:v>0.70205385510690277</c:v>
                </c:pt>
                <c:pt idx="241">
                  <c:v>0.70306067857809362</c:v>
                </c:pt>
                <c:pt idx="242">
                  <c:v>0.70395603520234018</c:v>
                </c:pt>
                <c:pt idx="243">
                  <c:v>0.70473978302520979</c:v>
                </c:pt>
                <c:pt idx="244">
                  <c:v>0.70541179778730156</c:v>
                </c:pt>
                <c:pt idx="245">
                  <c:v>0.70597197294394753</c:v>
                </c:pt>
                <c:pt idx="246">
                  <c:v>0.70642021968210444</c:v>
                </c:pt>
                <c:pt idx="247">
                  <c:v>0.70675646693443472</c:v>
                </c:pt>
                <c:pt idx="248">
                  <c:v>0.70698066139057403</c:v>
                </c:pt>
                <c:pt idx="249">
                  <c:v>0.70709276750558292</c:v>
                </c:pt>
                <c:pt idx="250">
                  <c:v>0.70709276750558281</c:v>
                </c:pt>
                <c:pt idx="251">
                  <c:v>0.70698066139057381</c:v>
                </c:pt>
                <c:pt idx="252">
                  <c:v>0.70675646693443439</c:v>
                </c:pt>
                <c:pt idx="253">
                  <c:v>0.70642021968210389</c:v>
                </c:pt>
                <c:pt idx="254">
                  <c:v>0.70597197294394687</c:v>
                </c:pt>
                <c:pt idx="255">
                  <c:v>0.70541179778730068</c:v>
                </c:pt>
                <c:pt idx="256">
                  <c:v>0.70473978302520879</c:v>
                </c:pt>
                <c:pt idx="257">
                  <c:v>0.70395603520233907</c:v>
                </c:pt>
                <c:pt idx="258">
                  <c:v>0.70306067857809229</c:v>
                </c:pt>
                <c:pt idx="259">
                  <c:v>0.70205385510690133</c:v>
                </c:pt>
                <c:pt idx="260">
                  <c:v>0.70093572441572449</c:v>
                </c:pt>
                <c:pt idx="261">
                  <c:v>0.69970646377873802</c:v>
                </c:pt>
                <c:pt idx="262">
                  <c:v>0.69836626808923008</c:v>
                </c:pt>
                <c:pt idx="263">
                  <c:v>0.69691534982870074</c:v>
                </c:pt>
                <c:pt idx="264">
                  <c:v>0.69535393903317488</c:v>
                </c:pt>
                <c:pt idx="265">
                  <c:v>0.69368228325673065</c:v>
                </c:pt>
                <c:pt idx="266">
                  <c:v>0.691900647532251</c:v>
                </c:pt>
                <c:pt idx="267">
                  <c:v>0.69000931432940427</c:v>
                </c:pt>
                <c:pt idx="268">
                  <c:v>0.68800858350985949</c:v>
                </c:pt>
                <c:pt idx="269">
                  <c:v>0.68589877227974538</c:v>
                </c:pt>
                <c:pt idx="270">
                  <c:v>0.6836802151393585</c:v>
                </c:pt>
                <c:pt idx="271">
                  <c:v>0.68135326383012984</c:v>
                </c:pt>
                <c:pt idx="272">
                  <c:v>0.67891828727885828</c:v>
                </c:pt>
                <c:pt idx="273">
                  <c:v>0.67637567153921829</c:v>
                </c:pt>
                <c:pt idx="274">
                  <c:v>0.67372581973055401</c:v>
                </c:pt>
                <c:pt idx="275">
                  <c:v>0.67096915197396589</c:v>
                </c:pt>
                <c:pt idx="276">
                  <c:v>0.66810610532570269</c:v>
                </c:pt>
                <c:pt idx="277">
                  <c:v>0.66513713370786864</c:v>
                </c:pt>
                <c:pt idx="278">
                  <c:v>0.66206270783645604</c:v>
                </c:pt>
                <c:pt idx="279">
                  <c:v>0.65888331514671516</c:v>
                </c:pt>
                <c:pt idx="280">
                  <c:v>0.65559945971587474</c:v>
                </c:pt>
                <c:pt idx="281">
                  <c:v>0.65221166218322224</c:v>
                </c:pt>
                <c:pt idx="282">
                  <c:v>0.64872045966755887</c:v>
                </c:pt>
                <c:pt idx="283">
                  <c:v>0.64512640568204294</c:v>
                </c:pt>
                <c:pt idx="284">
                  <c:v>0.64143007004643204</c:v>
                </c:pt>
                <c:pt idx="285">
                  <c:v>0.63763203879674124</c:v>
                </c:pt>
                <c:pt idx="286">
                  <c:v>0.63373291409233035</c:v>
                </c:pt>
                <c:pt idx="287">
                  <c:v>0.6297333141204341</c:v>
                </c:pt>
                <c:pt idx="288">
                  <c:v>0.6256338729981511</c:v>
                </c:pt>
                <c:pt idx="289">
                  <c:v>0.62143524067190881</c:v>
                </c:pt>
                <c:pt idx="290">
                  <c:v>0.61713808281441673</c:v>
                </c:pt>
                <c:pt idx="291">
                  <c:v>0.61274308071912753</c:v>
                </c:pt>
                <c:pt idx="292">
                  <c:v>0.60825093119222151</c:v>
                </c:pt>
                <c:pt idx="293">
                  <c:v>0.60366234644213101</c:v>
                </c:pt>
                <c:pt idx="294">
                  <c:v>0.59897805396662329</c:v>
                </c:pt>
                <c:pt idx="295">
                  <c:v>0.59419879643745988</c:v>
                </c:pt>
                <c:pt idx="296">
                  <c:v>0.58932533158264866</c:v>
                </c:pt>
                <c:pt idx="297">
                  <c:v>0.58435843206631033</c:v>
                </c:pt>
                <c:pt idx="298">
                  <c:v>0.57929888536617635</c:v>
                </c:pt>
                <c:pt idx="299">
                  <c:v>0.57414749364873796</c:v>
                </c:pt>
                <c:pt idx="300">
                  <c:v>0.56890507364206633</c:v>
                </c:pt>
                <c:pt idx="301">
                  <c:v>0.56357245650632526</c:v>
                </c:pt>
                <c:pt idx="302">
                  <c:v>0.55815048770199349</c:v>
                </c:pt>
                <c:pt idx="303">
                  <c:v>0.55264002685582203</c:v>
                </c:pt>
                <c:pt idx="304">
                  <c:v>0.54704194762454417</c:v>
                </c:pt>
                <c:pt idx="305">
                  <c:v>0.54135713755636161</c:v>
                </c:pt>
                <c:pt idx="306">
                  <c:v>0.53558649795022728</c:v>
                </c:pt>
                <c:pt idx="307">
                  <c:v>0.52973094371295049</c:v>
                </c:pt>
                <c:pt idx="308">
                  <c:v>0.52379140321414086</c:v>
                </c:pt>
                <c:pt idx="309">
                  <c:v>0.51776881813902087</c:v>
                </c:pt>
                <c:pt idx="310">
                  <c:v>0.51166414333912702</c:v>
                </c:pt>
                <c:pt idx="311">
                  <c:v>0.50547834668092084</c:v>
                </c:pt>
                <c:pt idx="312">
                  <c:v>0.49921240889234003</c:v>
                </c:pt>
                <c:pt idx="313">
                  <c:v>0.49286732340730854</c:v>
                </c:pt>
                <c:pt idx="314">
                  <c:v>0.48644409620823142</c:v>
                </c:pt>
                <c:pt idx="315">
                  <c:v>0.47994374566650233</c:v>
                </c:pt>
                <c:pt idx="316">
                  <c:v>0.47336730238104574</c:v>
                </c:pt>
                <c:pt idx="317">
                  <c:v>0.4667158090149196</c:v>
                </c:pt>
                <c:pt idx="318">
                  <c:v>0.45999032013000657</c:v>
                </c:pt>
                <c:pt idx="319">
                  <c:v>0.45319190201981874</c:v>
                </c:pt>
                <c:pt idx="320">
                  <c:v>0.44632163254044177</c:v>
                </c:pt>
                <c:pt idx="321">
                  <c:v>0.43938060093964654</c:v>
                </c:pt>
                <c:pt idx="322">
                  <c:v>0.43236990768419215</c:v>
                </c:pt>
                <c:pt idx="323">
                  <c:v>0.42529066428535522</c:v>
                </c:pt>
                <c:pt idx="324">
                  <c:v>0.41814399312270384</c:v>
                </c:pt>
                <c:pt idx="325">
                  <c:v>0.41093102726614816</c:v>
                </c:pt>
                <c:pt idx="326">
                  <c:v>0.4036529102963009</c:v>
                </c:pt>
                <c:pt idx="327">
                  <c:v>0.39631079612316639</c:v>
                </c:pt>
                <c:pt idx="328">
                  <c:v>0.38890584880319229</c:v>
                </c:pt>
                <c:pt idx="329">
                  <c:v>0.38143924235471754</c:v>
                </c:pt>
                <c:pt idx="330">
                  <c:v>0.37391216057183529</c:v>
                </c:pt>
                <c:pt idx="331">
                  <c:v>0.36632579683670707</c:v>
                </c:pt>
                <c:pt idx="332">
                  <c:v>0.35868135393036099</c:v>
                </c:pt>
                <c:pt idx="333">
                  <c:v>0.35098004384199466</c:v>
                </c:pt>
                <c:pt idx="334">
                  <c:v>0.34322308757681907</c:v>
                </c:pt>
                <c:pt idx="335">
                  <c:v>0.33541171496247707</c:v>
                </c:pt>
                <c:pt idx="336">
                  <c:v>0.32754716445405874</c:v>
                </c:pt>
                <c:pt idx="337">
                  <c:v>0.31963068293774866</c:v>
                </c:pt>
                <c:pt idx="338">
                  <c:v>0.31166352553314147</c:v>
                </c:pt>
                <c:pt idx="339">
                  <c:v>0.30364695539424708</c:v>
                </c:pt>
                <c:pt idx="340">
                  <c:v>0.2955822435092223</c:v>
                </c:pt>
                <c:pt idx="341">
                  <c:v>0.28747066849886477</c:v>
                </c:pt>
                <c:pt idx="342">
                  <c:v>0.27931351641389263</c:v>
                </c:pt>
                <c:pt idx="343">
                  <c:v>0.27111208053104563</c:v>
                </c:pt>
                <c:pt idx="344">
                  <c:v>0.26286766114804544</c:v>
                </c:pt>
                <c:pt idx="345">
                  <c:v>0.2545815653774387</c:v>
                </c:pt>
                <c:pt idx="346">
                  <c:v>0.24625510693935837</c:v>
                </c:pt>
                <c:pt idx="347">
                  <c:v>0.23788960595324365</c:v>
                </c:pt>
                <c:pt idx="348">
                  <c:v>0.22948638872853969</c:v>
                </c:pt>
                <c:pt idx="349">
                  <c:v>0.22104678755441567</c:v>
                </c:pt>
                <c:pt idx="350">
                  <c:v>0.21257214048854059</c:v>
                </c:pt>
                <c:pt idx="351">
                  <c:v>0.204063791144939</c:v>
                </c:pt>
                <c:pt idx="352">
                  <c:v>0.19552308848096561</c:v>
                </c:pt>
                <c:pt idx="353">
                  <c:v>0.18695138658343835</c:v>
                </c:pt>
                <c:pt idx="354">
                  <c:v>0.17835004445395269</c:v>
                </c:pt>
                <c:pt idx="355">
                  <c:v>0.16972042579341667</c:v>
                </c:pt>
                <c:pt idx="356">
                  <c:v>0.16106389878584654</c:v>
                </c:pt>
                <c:pt idx="357">
                  <c:v>0.15238183588144588</c:v>
                </c:pt>
                <c:pt idx="358">
                  <c:v>0.14367561357900852</c:v>
                </c:pt>
                <c:pt idx="359">
                  <c:v>0.13494661220768503</c:v>
                </c:pt>
                <c:pt idx="360">
                  <c:v>0.12619621570813652</c:v>
                </c:pt>
                <c:pt idx="361">
                  <c:v>0.11742581141311553</c:v>
                </c:pt>
                <c:pt idx="362">
                  <c:v>0.10863678982751505</c:v>
                </c:pt>
                <c:pt idx="363">
                  <c:v>9.9830544407908853E-2</c:v>
                </c:pt>
                <c:pt idx="364">
                  <c:v>9.100847134162382E-2</c:v>
                </c:pt>
                <c:pt idx="365">
                  <c:v>8.2171969325385022E-2</c:v>
                </c:pt>
                <c:pt idx="366">
                  <c:v>7.3322439343557255E-2</c:v>
                </c:pt>
                <c:pt idx="367">
                  <c:v>6.4461284446023975E-2</c:v>
                </c:pt>
                <c:pt idx="368">
                  <c:v>5.5589909525744281E-2</c:v>
                </c:pt>
                <c:pt idx="369">
                  <c:v>4.6709721096012118E-2</c:v>
                </c:pt>
                <c:pt idx="370">
                  <c:v>3.7822127067458529E-2</c:v>
                </c:pt>
                <c:pt idx="371">
                  <c:v>2.8928536524838112E-2</c:v>
                </c:pt>
                <c:pt idx="372">
                  <c:v>2.0030359503623529E-2</c:v>
                </c:pt>
                <c:pt idx="373">
                  <c:v>1.1129006766449427E-2</c:v>
                </c:pt>
                <c:pt idx="374">
                  <c:v>2.2258895794466309E-3</c:v>
                </c:pt>
                <c:pt idx="375">
                  <c:v>-6.6775805115091022E-3</c:v>
                </c:pt>
                <c:pt idx="376">
                  <c:v>-1.5579991904592699E-2</c:v>
                </c:pt>
                <c:pt idx="377">
                  <c:v>-2.4479933165828593E-2</c:v>
                </c:pt>
                <c:pt idx="378">
                  <c:v>-3.3375993252868601E-2</c:v>
                </c:pt>
                <c:pt idx="379">
                  <c:v>-4.2266761738707671E-2</c:v>
                </c:pt>
                <c:pt idx="380">
                  <c:v>-5.1150829035296504E-2</c:v>
                </c:pt>
                <c:pt idx="381">
                  <c:v>-6.0026786617026692E-2</c:v>
                </c:pt>
                <c:pt idx="382">
                  <c:v>-6.889322724404752E-2</c:v>
                </c:pt>
                <c:pt idx="383">
                  <c:v>-7.7748745185373225E-2</c:v>
                </c:pt>
                <c:pt idx="384">
                  <c:v>-8.6591936441756653E-2</c:v>
                </c:pt>
                <c:pt idx="385">
                  <c:v>-9.542139896828844E-2</c:v>
                </c:pt>
                <c:pt idx="386">
                  <c:v>-0.10423573289668055</c:v>
                </c:pt>
                <c:pt idx="387">
                  <c:v>-0.11303354075721118</c:v>
                </c:pt>
                <c:pt idx="388">
                  <c:v>-0.12181342770028548</c:v>
                </c:pt>
                <c:pt idx="389">
                  <c:v>-0.13057400171758465</c:v>
                </c:pt>
                <c:pt idx="390">
                  <c:v>-0.13931387386275837</c:v>
                </c:pt>
                <c:pt idx="391">
                  <c:v>-0.14803165847163732</c:v>
                </c:pt>
                <c:pt idx="392">
                  <c:v>-0.1567259733819254</c:v>
                </c:pt>
                <c:pt idx="393">
                  <c:v>-0.16539544015233101</c:v>
                </c:pt>
                <c:pt idx="394">
                  <c:v>-0.17403868428111424</c:v>
                </c:pt>
                <c:pt idx="395">
                  <c:v>-0.18265433542400902</c:v>
                </c:pt>
                <c:pt idx="396">
                  <c:v>-0.19124102761148101</c:v>
                </c:pt>
                <c:pt idx="397">
                  <c:v>-0.19979739946529743</c:v>
                </c:pt>
                <c:pt idx="398">
                  <c:v>-0.20832209441436825</c:v>
                </c:pt>
                <c:pt idx="399">
                  <c:v>-0.21681376090982088</c:v>
                </c:pt>
                <c:pt idx="400">
                  <c:v>-0.22527105263928315</c:v>
                </c:pt>
                <c:pt idx="401">
                  <c:v>-0.23369262874033636</c:v>
                </c:pt>
                <c:pt idx="402">
                  <c:v>-0.24207715401309907</c:v>
                </c:pt>
                <c:pt idx="403">
                  <c:v>-0.25042329913191819</c:v>
                </c:pt>
                <c:pt idx="404">
                  <c:v>-0.25872974085612899</c:v>
                </c:pt>
                <c:pt idx="405">
                  <c:v>-0.26699516223984465</c:v>
                </c:pt>
                <c:pt idx="406">
                  <c:v>-0.27521825284075391</c:v>
                </c:pt>
                <c:pt idx="407">
                  <c:v>-0.28339770892788652</c:v>
                </c:pt>
                <c:pt idx="408">
                  <c:v>-0.29153223368831005</c:v>
                </c:pt>
                <c:pt idx="409">
                  <c:v>-0.29962053743273548</c:v>
                </c:pt>
                <c:pt idx="410">
                  <c:v>-0.30766133779999216</c:v>
                </c:pt>
                <c:pt idx="411">
                  <c:v>-0.315653359960337</c:v>
                </c:pt>
                <c:pt idx="412">
                  <c:v>-0.32359533681757419</c:v>
                </c:pt>
                <c:pt idx="413">
                  <c:v>-0.33148600920994858</c:v>
                </c:pt>
                <c:pt idx="414">
                  <c:v>-0.33932412610977641</c:v>
                </c:pt>
                <c:pt idx="415">
                  <c:v>-0.34710844482179143</c:v>
                </c:pt>
                <c:pt idx="416">
                  <c:v>-0.35483773118016965</c:v>
                </c:pt>
                <c:pt idx="417">
                  <c:v>-0.36251075974419711</c:v>
                </c:pt>
                <c:pt idx="418">
                  <c:v>-0.3701263139925593</c:v>
                </c:pt>
                <c:pt idx="419">
                  <c:v>-0.37768318651621613</c:v>
                </c:pt>
                <c:pt idx="420">
                  <c:v>-0.38518017920982767</c:v>
                </c:pt>
                <c:pt idx="421">
                  <c:v>-0.39261610346170928</c:v>
                </c:pt>
                <c:pt idx="422">
                  <c:v>-0.39998978034228205</c:v>
                </c:pt>
                <c:pt idx="423">
                  <c:v>-0.4073000407909832</c:v>
                </c:pt>
                <c:pt idx="424">
                  <c:v>-0.41454572580161625</c:v>
                </c:pt>
                <c:pt idx="425">
                  <c:v>-0.42172568660610765</c:v>
                </c:pt>
                <c:pt idx="426">
                  <c:v>-0.42883878485663507</c:v>
                </c:pt>
                <c:pt idx="427">
                  <c:v>-0.43588389280610845</c:v>
                </c:pt>
                <c:pt idx="428">
                  <c:v>-0.44285989348697052</c:v>
                </c:pt>
                <c:pt idx="429">
                  <c:v>-0.44976568088828345</c:v>
                </c:pt>
                <c:pt idx="430">
                  <c:v>-0.45660016013108262</c:v>
                </c:pt>
                <c:pt idx="431">
                  <c:v>-0.46336224764196676</c:v>
                </c:pt>
                <c:pt idx="432">
                  <c:v>-0.47005087132488926</c:v>
                </c:pt>
                <c:pt idx="433">
                  <c:v>-0.47666497073113573</c:v>
                </c:pt>
                <c:pt idx="434">
                  <c:v>-0.48320349722745459</c:v>
                </c:pt>
                <c:pt idx="435">
                  <c:v>-0.48966541416230952</c:v>
                </c:pt>
                <c:pt idx="436">
                  <c:v>-0.49604969703023716</c:v>
                </c:pt>
                <c:pt idx="437">
                  <c:v>-0.50235533363427887</c:v>
                </c:pt>
                <c:pt idx="438">
                  <c:v>-0.50858132424645663</c:v>
                </c:pt>
                <c:pt idx="439">
                  <c:v>-0.51472668176627667</c:v>
                </c:pt>
                <c:pt idx="440">
                  <c:v>-0.52079043187723095</c:v>
                </c:pt>
                <c:pt idx="441">
                  <c:v>-0.52677161320126686</c:v>
                </c:pt>
                <c:pt idx="442">
                  <c:v>-0.5326692774512114</c:v>
                </c:pt>
                <c:pt idx="443">
                  <c:v>-0.53848248958111788</c:v>
                </c:pt>
                <c:pt idx="444">
                  <c:v>-0.54421032793451096</c:v>
                </c:pt>
                <c:pt idx="445">
                  <c:v>-0.54985188439051169</c:v>
                </c:pt>
                <c:pt idx="446">
                  <c:v>-0.55540626450781705</c:v>
                </c:pt>
                <c:pt idx="447">
                  <c:v>-0.56087258766650683</c:v>
                </c:pt>
                <c:pt idx="448">
                  <c:v>-0.56624998720766284</c:v>
                </c:pt>
                <c:pt idx="449">
                  <c:v>-0.57153761057077446</c:v>
                </c:pt>
                <c:pt idx="450">
                  <c:v>-0.57673461942890591</c:v>
                </c:pt>
                <c:pt idx="451">
                  <c:v>-0.58184018982160979</c:v>
                </c:pt>
                <c:pt idx="452">
                  <c:v>-0.58685351228556337</c:v>
                </c:pt>
                <c:pt idx="453">
                  <c:v>-0.59177379198290259</c:v>
                </c:pt>
                <c:pt idx="454">
                  <c:v>-0.59660024882724116</c:v>
                </c:pt>
                <c:pt idx="455">
                  <c:v>-0.60133211760734995</c:v>
                </c:pt>
                <c:pt idx="456">
                  <c:v>-0.60596864810847617</c:v>
                </c:pt>
                <c:pt idx="457">
                  <c:v>-0.61050910523128654</c:v>
                </c:pt>
                <c:pt idx="458">
                  <c:v>-0.61495276910841534</c:v>
                </c:pt>
                <c:pt idx="459">
                  <c:v>-0.61929893521859336</c:v>
                </c:pt>
                <c:pt idx="460">
                  <c:v>-0.62354691449834798</c:v>
                </c:pt>
                <c:pt idx="461">
                  <c:v>-0.62769603345125102</c:v>
                </c:pt>
                <c:pt idx="462">
                  <c:v>-0.63174563425469676</c:v>
                </c:pt>
                <c:pt idx="463">
                  <c:v>-0.63569507486419763</c:v>
                </c:pt>
                <c:pt idx="464">
                  <c:v>-0.63954372911517787</c:v>
                </c:pt>
                <c:pt idx="465">
                  <c:v>-0.64329098682224728</c:v>
                </c:pt>
                <c:pt idx="466">
                  <c:v>-0.64693625387594378</c:v>
                </c:pt>
                <c:pt idx="467">
                  <c:v>-0.65047895233692776</c:v>
                </c:pt>
                <c:pt idx="468">
                  <c:v>-0.65391852052760935</c:v>
                </c:pt>
                <c:pt idx="469">
                  <c:v>-0.65725441312120148</c:v>
                </c:pt>
                <c:pt idx="470">
                  <c:v>-0.66048610122817819</c:v>
                </c:pt>
                <c:pt idx="471">
                  <c:v>-0.66361307248012702</c:v>
                </c:pt>
                <c:pt idx="472">
                  <c:v>-0.66663483111098298</c:v>
                </c:pt>
                <c:pt idx="473">
                  <c:v>-0.6695508980356305</c:v>
                </c:pt>
                <c:pt idx="474">
                  <c:v>-0.67236081092585853</c:v>
                </c:pt>
                <c:pt idx="475">
                  <c:v>-0.67506412428366136</c:v>
                </c:pt>
                <c:pt idx="476">
                  <c:v>-0.67766040951187068</c:v>
                </c:pt>
                <c:pt idx="477">
                  <c:v>-0.68014925498210621</c:v>
                </c:pt>
                <c:pt idx="478">
                  <c:v>-0.68253026610003842</c:v>
                </c:pt>
                <c:pt idx="479">
                  <c:v>-0.68480306536794944</c:v>
                </c:pt>
                <c:pt idx="480">
                  <c:v>-0.68696729244458277</c:v>
                </c:pt>
                <c:pt idx="481">
                  <c:v>-0.68902260420227435</c:v>
                </c:pt>
                <c:pt idx="482">
                  <c:v>-0.69096867478135393</c:v>
                </c:pt>
                <c:pt idx="483">
                  <c:v>-0.69280519564180754</c:v>
                </c:pt>
                <c:pt idx="484">
                  <c:v>-0.69453187561219598</c:v>
                </c:pt>
                <c:pt idx="485">
                  <c:v>-0.69614844093581829</c:v>
                </c:pt>
                <c:pt idx="486">
                  <c:v>-0.69765463531411454</c:v>
                </c:pt>
                <c:pt idx="487">
                  <c:v>-0.69905021994730043</c:v>
                </c:pt>
                <c:pt idx="488">
                  <c:v>-0.70033497357222863</c:v>
                </c:pt>
                <c:pt idx="489">
                  <c:v>-0.70150869249746806</c:v>
                </c:pt>
                <c:pt idx="490">
                  <c:v>-0.7025711906355987</c:v>
                </c:pt>
                <c:pt idx="491">
                  <c:v>-0.70352229953271461</c:v>
                </c:pt>
                <c:pt idx="492">
                  <c:v>-0.70436186839513193</c:v>
                </c:pt>
                <c:pt idx="493">
                  <c:v>-0.7050897641132956</c:v>
                </c:pt>
                <c:pt idx="494">
                  <c:v>-0.70570587128288442</c:v>
                </c:pt>
                <c:pt idx="495">
                  <c:v>-0.70621009222310671</c:v>
                </c:pt>
                <c:pt idx="496">
                  <c:v>-0.70660234699218771</c:v>
                </c:pt>
                <c:pt idx="497">
                  <c:v>-0.70688257340004401</c:v>
                </c:pt>
                <c:pt idx="498">
                  <c:v>-0.7070507270181432</c:v>
                </c:pt>
                <c:pt idx="499">
                  <c:v>-0.70710678118654802</c:v>
                </c:pt>
              </c:numCache>
            </c:numRef>
          </c:xVal>
          <c:yVal>
            <c:numRef>
              <c:f>XLSTAT_20210923_105258_1_HID!ycircle126696521</c:f>
              <c:numCache>
                <c:formatCode>General</c:formatCode>
                <c:ptCount val="500"/>
                <c:pt idx="0">
                  <c:v>-2.2847605201998973E-15</c:v>
                </c:pt>
                <c:pt idx="1">
                  <c:v>-8.9033377514293362E-3</c:v>
                </c:pt>
                <c:pt idx="2">
                  <c:v>-1.7805263922012159E-2</c:v>
                </c:pt>
                <c:pt idx="3">
                  <c:v>-2.6704367154704853E-2</c:v>
                </c:pt>
                <c:pt idx="4">
                  <c:v>-3.5599236540025517E-2</c:v>
                </c:pt>
                <c:pt idx="5">
                  <c:v>-4.4488461839748118E-2</c:v>
                </c:pt>
                <c:pt idx="6">
                  <c:v>-5.3370633710488002E-2</c:v>
                </c:pt>
                <c:pt idx="7">
                  <c:v>-6.2244343927148241E-2</c:v>
                </c:pt>
                <c:pt idx="8">
                  <c:v>-7.1108185606185967E-2</c:v>
                </c:pt>
                <c:pt idx="9">
                  <c:v>-7.9960753428665973E-2</c:v>
                </c:pt>
                <c:pt idx="10">
                  <c:v>-8.8800643863069004E-2</c:v>
                </c:pt>
                <c:pt idx="11">
                  <c:v>-9.7626455387814018E-2</c:v>
                </c:pt>
                <c:pt idx="12">
                  <c:v>-0.10643678871346153</c:v>
                </c:pt>
                <c:pt idx="13">
                  <c:v>-0.11523024700456615</c:v>
                </c:pt>
                <c:pt idx="14">
                  <c:v>-0.12400543610113698</c:v>
                </c:pt>
                <c:pt idx="15">
                  <c:v>-0.13276096473967405</c:v>
                </c:pt>
                <c:pt idx="16">
                  <c:v>-0.14149544477374826</c:v>
                </c:pt>
                <c:pt idx="17">
                  <c:v>-0.1502074913940841</c:v>
                </c:pt>
                <c:pt idx="18">
                  <c:v>-0.15889572334811378</c:v>
                </c:pt>
                <c:pt idx="19">
                  <c:v>-0.16755876315896975</c:v>
                </c:pt>
                <c:pt idx="20">
                  <c:v>-0.1761952373438761</c:v>
                </c:pt>
                <c:pt idx="21">
                  <c:v>-0.18480377663190661</c:v>
                </c:pt>
                <c:pt idx="22">
                  <c:v>-0.19338301618107784</c:v>
                </c:pt>
                <c:pt idx="23">
                  <c:v>-0.2019315957947373</c:v>
                </c:pt>
                <c:pt idx="24">
                  <c:v>-0.21044816013721507</c:v>
                </c:pt>
                <c:pt idx="25">
                  <c:v>-0.21893135894870738</c:v>
                </c:pt>
                <c:pt idx="26">
                  <c:v>-0.22737984725935309</c:v>
                </c:pt>
                <c:pt idx="27">
                  <c:v>-0.23579228560247087</c:v>
                </c:pt>
                <c:pt idx="28">
                  <c:v>-0.24416734022692721</c:v>
                </c:pt>
                <c:pt idx="29">
                  <c:v>-0.25250368330859507</c:v>
                </c:pt>
                <c:pt idx="30">
                  <c:v>-0.26079999316087321</c:v>
                </c:pt>
                <c:pt idx="31">
                  <c:v>-0.26905495444423472</c:v>
                </c:pt>
                <c:pt idx="32">
                  <c:v>-0.27726725837476707</c:v>
                </c:pt>
                <c:pt idx="33">
                  <c:v>-0.28543560293167236</c:v>
                </c:pt>
                <c:pt idx="34">
                  <c:v>-0.29355869306369808</c:v>
                </c:pt>
                <c:pt idx="35">
                  <c:v>-0.30163524089446064</c:v>
                </c:pt>
                <c:pt idx="36">
                  <c:v>-0.30966396592663065</c:v>
                </c:pt>
                <c:pt idx="37">
                  <c:v>-0.31764359524495145</c:v>
                </c:pt>
                <c:pt idx="38">
                  <c:v>-0.32557286371805272</c:v>
                </c:pt>
                <c:pt idx="39">
                  <c:v>-0.3334505141990301</c:v>
                </c:pt>
                <c:pt idx="40">
                  <c:v>-0.34127529772476128</c:v>
                </c:pt>
                <c:pt idx="41">
                  <c:v>-0.34904597371392243</c:v>
                </c:pt>
                <c:pt idx="42">
                  <c:v>-0.35676131016367513</c:v>
                </c:pt>
                <c:pt idx="43">
                  <c:v>-0.36442008384499641</c:v>
                </c:pt>
                <c:pt idx="44">
                  <c:v>-0.37202108049661475</c:v>
                </c:pt>
                <c:pt idx="45">
                  <c:v>-0.3795630950175245</c:v>
                </c:pt>
                <c:pt idx="46">
                  <c:v>-0.38704493165805037</c:v>
                </c:pt>
                <c:pt idx="47">
                  <c:v>-0.39446540420942727</c:v>
                </c:pt>
                <c:pt idx="48">
                  <c:v>-0.40182333619186639</c:v>
                </c:pt>
                <c:pt idx="49">
                  <c:v>-0.40911756104108266</c:v>
                </c:pt>
                <c:pt idx="50">
                  <c:v>-0.41634692229324655</c:v>
                </c:pt>
                <c:pt idx="51">
                  <c:v>-0.4235102737683355</c:v>
                </c:pt>
                <c:pt idx="52">
                  <c:v>-0.43060647975185612</c:v>
                </c:pt>
                <c:pt idx="53">
                  <c:v>-0.43763441517490587</c:v>
                </c:pt>
                <c:pt idx="54">
                  <c:v>-0.44459296579254637</c:v>
                </c:pt>
                <c:pt idx="55">
                  <c:v>-0.45148102836046305</c:v>
                </c:pt>
                <c:pt idx="56">
                  <c:v>-0.45829751080987829</c:v>
                </c:pt>
                <c:pt idx="57">
                  <c:v>-0.4650413324206929</c:v>
                </c:pt>
                <c:pt idx="58">
                  <c:v>-0.47171142399283078</c:v>
                </c:pt>
                <c:pt idx="59">
                  <c:v>-0.47830672801575413</c:v>
                </c:pt>
                <c:pt idx="60">
                  <c:v>-0.48482619883612643</c:v>
                </c:pt>
                <c:pt idx="61">
                  <c:v>-0.4912688028235967</c:v>
                </c:pt>
                <c:pt idx="62">
                  <c:v>-0.49763351853467608</c:v>
                </c:pt>
                <c:pt idx="63">
                  <c:v>-0.50391933687468182</c:v>
                </c:pt>
                <c:pt idx="64">
                  <c:v>-0.51012526125772606</c:v>
                </c:pt>
                <c:pt idx="65">
                  <c:v>-0.51625030776471847</c:v>
                </c:pt>
                <c:pt idx="66">
                  <c:v>-0.52229350529936192</c:v>
                </c:pt>
                <c:pt idx="67">
                  <c:v>-0.52825389574211545</c:v>
                </c:pt>
                <c:pt idx="68">
                  <c:v>-0.53413053410209932</c:v>
                </c:pt>
                <c:pt idx="69">
                  <c:v>-0.5399224886669185</c:v>
                </c:pt>
                <c:pt idx="70">
                  <c:v>-0.54562884115038124</c:v>
                </c:pt>
                <c:pt idx="71">
                  <c:v>-0.5512486868380897</c:v>
                </c:pt>
                <c:pt idx="72">
                  <c:v>-0.55678113473087598</c:v>
                </c:pt>
                <c:pt idx="73">
                  <c:v>-0.56222530768606793</c:v>
                </c:pt>
                <c:pt idx="74">
                  <c:v>-0.56758034255655476</c:v>
                </c:pt>
                <c:pt idx="75">
                  <c:v>-0.57284539032763448</c:v>
                </c:pt>
                <c:pt idx="76">
                  <c:v>-0.5780196162516219</c:v>
                </c:pt>
                <c:pt idx="77">
                  <c:v>-0.58310219998019364</c:v>
                </c:pt>
                <c:pt idx="78">
                  <c:v>-0.5880923356944493</c:v>
                </c:pt>
                <c:pt idx="79">
                  <c:v>-0.59298923223267186</c:v>
                </c:pt>
                <c:pt idx="80">
                  <c:v>-0.59779211321576131</c:v>
                </c:pt>
                <c:pt idx="81">
                  <c:v>-0.60250021717032576</c:v>
                </c:pt>
                <c:pt idx="82">
                  <c:v>-0.60711279764940995</c:v>
                </c:pt>
                <c:pt idx="83">
                  <c:v>-0.61162912335084063</c:v>
                </c:pt>
                <c:pt idx="84">
                  <c:v>-0.61604847823317066</c:v>
                </c:pt>
                <c:pt idx="85">
                  <c:v>-0.62037016162920389</c:v>
                </c:pt>
                <c:pt idx="86">
                  <c:v>-0.62459348835708306</c:v>
                </c:pt>
                <c:pt idx="87">
                  <c:v>-0.62871778882892149</c:v>
                </c:pt>
                <c:pt idx="88">
                  <c:v>-0.632742409156963</c:v>
                </c:pt>
                <c:pt idx="89">
                  <c:v>-0.63666671125725327</c:v>
                </c:pt>
                <c:pt idx="90">
                  <c:v>-0.64049007295080373</c:v>
                </c:pt>
                <c:pt idx="91">
                  <c:v>-0.64421188806223673</c:v>
                </c:pt>
                <c:pt idx="92">
                  <c:v>-0.64783156651589002</c:v>
                </c:pt>
                <c:pt idx="93">
                  <c:v>-0.65134853442937102</c:v>
                </c:pt>
                <c:pt idx="94">
                  <c:v>-0.65476223420454382</c:v>
                </c:pt>
                <c:pt idx="95">
                  <c:v>-0.65807212461593212</c:v>
                </c:pt>
                <c:pt idx="96">
                  <c:v>-0.66127768089652939</c:v>
                </c:pt>
                <c:pt idx="97">
                  <c:v>-0.66437839482099703</c:v>
                </c:pt>
                <c:pt idx="98">
                  <c:v>-0.66737377478624182</c:v>
                </c:pt>
                <c:pt idx="99">
                  <c:v>-0.67026334588935654</c:v>
                </c:pt>
                <c:pt idx="100">
                  <c:v>-0.67304665000291386</c:v>
                </c:pt>
                <c:pt idx="101">
                  <c:v>-0.67572324584760035</c:v>
                </c:pt>
                <c:pt idx="102">
                  <c:v>-0.67829270906217898</c:v>
                </c:pt>
                <c:pt idx="103">
                  <c:v>-0.68075463227076904</c:v>
                </c:pt>
                <c:pt idx="104">
                  <c:v>-0.68310862514743487</c:v>
                </c:pt>
                <c:pt idx="105">
                  <c:v>-0.68535431447806872</c:v>
                </c:pt>
                <c:pt idx="106">
                  <c:v>-0.68749134421956282</c:v>
                </c:pt>
                <c:pt idx="107">
                  <c:v>-0.68951937555625831</c:v>
                </c:pt>
                <c:pt idx="108">
                  <c:v>-0.6914380869536626</c:v>
                </c:pt>
                <c:pt idx="109">
                  <c:v>-0.69324717420942694</c:v>
                </c:pt>
                <c:pt idx="110">
                  <c:v>-0.69494635050157649</c:v>
                </c:pt>
                <c:pt idx="111">
                  <c:v>-0.69653534643398463</c:v>
                </c:pt>
                <c:pt idx="112">
                  <c:v>-0.69801391007908387</c:v>
                </c:pt>
                <c:pt idx="113">
                  <c:v>-0.6993818070178085</c:v>
                </c:pt>
                <c:pt idx="114">
                  <c:v>-0.70063882037675995</c:v>
                </c:pt>
                <c:pt idx="115">
                  <c:v>-0.7017847508625914</c:v>
                </c:pt>
                <c:pt idx="116">
                  <c:v>-0.7028194167936046</c:v>
                </c:pt>
                <c:pt idx="117">
                  <c:v>-0.70374265412855452</c:v>
                </c:pt>
                <c:pt idx="118">
                  <c:v>-0.70455431649265776</c:v>
                </c:pt>
                <c:pt idx="119">
                  <c:v>-0.70525427520079864</c:v>
                </c:pt>
                <c:pt idx="120">
                  <c:v>-0.70584241927793279</c:v>
                </c:pt>
                <c:pt idx="121">
                  <c:v>-0.70631865547668071</c:v>
                </c:pt>
                <c:pt idx="122">
                  <c:v>-0.70668290829211211</c:v>
                </c:pt>
                <c:pt idx="123">
                  <c:v>-0.70693511997371716</c:v>
                </c:pt>
                <c:pt idx="124">
                  <c:v>-0.70707525053456166</c:v>
                </c:pt>
                <c:pt idx="125">
                  <c:v>-0.70710327775762771</c:v>
                </c:pt>
                <c:pt idx="126">
                  <c:v>-0.70701919719933537</c:v>
                </c:pt>
                <c:pt idx="127">
                  <c:v>-0.70682302219024795</c:v>
                </c:pt>
                <c:pt idx="128">
                  <c:v>-0.70651478383295785</c:v>
                </c:pt>
                <c:pt idx="129">
                  <c:v>-0.70609453099715536</c:v>
                </c:pt>
                <c:pt idx="130">
                  <c:v>-0.70556233031188131</c:v>
                </c:pt>
                <c:pt idx="131">
                  <c:v>-0.70491826615496278</c:v>
                </c:pt>
                <c:pt idx="132">
                  <c:v>-0.70416244063963529</c:v>
                </c:pt>
                <c:pt idx="133">
                  <c:v>-0.70329497359835391</c:v>
                </c:pt>
                <c:pt idx="134">
                  <c:v>-0.70231600256379367</c:v>
                </c:pt>
                <c:pt idx="135">
                  <c:v>-0.701225682747045</c:v>
                </c:pt>
                <c:pt idx="136">
                  <c:v>-0.70002418701300517</c:v>
                </c:pt>
                <c:pt idx="137">
                  <c:v>-0.69871170585297226</c:v>
                </c:pt>
                <c:pt idx="138">
                  <c:v>-0.69728844735444262</c:v>
                </c:pt>
                <c:pt idx="139">
                  <c:v>-0.69575463716812069</c:v>
                </c:pt>
                <c:pt idx="140">
                  <c:v>-0.69411051847214222</c:v>
                </c:pt>
                <c:pt idx="141">
                  <c:v>-0.69235635193352041</c:v>
                </c:pt>
                <c:pt idx="142">
                  <c:v>-0.69049241566681763</c:v>
                </c:pt>
                <c:pt idx="143">
                  <c:v>-0.68851900519005249</c:v>
                </c:pt>
                <c:pt idx="144">
                  <c:v>-0.6864364333778461</c:v>
                </c:pt>
                <c:pt idx="145">
                  <c:v>-0.68424503041181794</c:v>
                </c:pt>
                <c:pt idx="146">
                  <c:v>-0.68194514372823722</c:v>
                </c:pt>
                <c:pt idx="147">
                  <c:v>-0.67953713796293769</c:v>
                </c:pt>
                <c:pt idx="148">
                  <c:v>-0.67702139489350766</c:v>
                </c:pt>
                <c:pt idx="149">
                  <c:v>-0.67439831337875977</c:v>
                </c:pt>
                <c:pt idx="150">
                  <c:v>-0.67166830929549493</c:v>
                </c:pt>
                <c:pt idx="151">
                  <c:v>-0.66883181547256643</c:v>
                </c:pt>
                <c:pt idx="152">
                  <c:v>-0.66588928162225713</c:v>
                </c:pt>
                <c:pt idx="153">
                  <c:v>-0.66284117426897993</c:v>
                </c:pt>
                <c:pt idx="154">
                  <c:v>-0.65968797667531287</c:v>
                </c:pt>
                <c:pt idx="155">
                  <c:v>-0.65643018876537895</c:v>
                </c:pt>
                <c:pt idx="156">
                  <c:v>-0.65306832704558748</c:v>
                </c:pt>
                <c:pt idx="157">
                  <c:v>-0.64960292452274326</c:v>
                </c:pt>
                <c:pt idx="158">
                  <c:v>-0.64603453061954053</c:v>
                </c:pt>
                <c:pt idx="159">
                  <c:v>-0.64236371108745638</c:v>
                </c:pt>
                <c:pt idx="160">
                  <c:v>-0.63859104791705179</c:v>
                </c:pt>
                <c:pt idx="161">
                  <c:v>-0.63471713924570106</c:v>
                </c:pt>
                <c:pt idx="162">
                  <c:v>-0.63074259926275966</c:v>
                </c:pt>
                <c:pt idx="163">
                  <c:v>-0.62666805811218718</c:v>
                </c:pt>
                <c:pt idx="164">
                  <c:v>-0.62249416179264161</c:v>
                </c:pt>
                <c:pt idx="165">
                  <c:v>-0.61822157205505923</c:v>
                </c:pt>
                <c:pt idx="166">
                  <c:v>-0.61385096629773661</c:v>
                </c:pt>
                <c:pt idx="167">
                  <c:v>-0.60938303745893374</c:v>
                </c:pt>
                <c:pt idx="168">
                  <c:v>-0.60481849390701081</c:v>
                </c:pt>
                <c:pt idx="169">
                  <c:v>-0.60015805932812005</c:v>
                </c:pt>
                <c:pt idx="170">
                  <c:v>-0.59540247261146972</c:v>
                </c:pt>
                <c:pt idx="171">
                  <c:v>-0.59055248773217561</c:v>
                </c:pt>
                <c:pt idx="172">
                  <c:v>-0.58560887363172265</c:v>
                </c:pt>
                <c:pt idx="173">
                  <c:v>-0.58057241409605309</c:v>
                </c:pt>
                <c:pt idx="174">
                  <c:v>-0.5754439076313006</c:v>
                </c:pt>
                <c:pt idx="175">
                  <c:v>-0.57022416733719106</c:v>
                </c:pt>
                <c:pt idx="176">
                  <c:v>-0.56491402077813013</c:v>
                </c:pt>
                <c:pt idx="177">
                  <c:v>-0.55951430985199624</c:v>
                </c:pt>
                <c:pt idx="178">
                  <c:v>-0.55402589065666197</c:v>
                </c:pt>
                <c:pt idx="179">
                  <c:v>-0.54844963335426444</c:v>
                </c:pt>
                <c:pt idx="180">
                  <c:v>-0.54278642203324456</c:v>
                </c:pt>
                <c:pt idx="181">
                  <c:v>-0.53703715456817913</c:v>
                </c:pt>
                <c:pt idx="182">
                  <c:v>-0.53120274247742871</c:v>
                </c:pt>
                <c:pt idx="183">
                  <c:v>-0.52528411077861836</c:v>
                </c:pt>
                <c:pt idx="184">
                  <c:v>-0.51928219784198237</c:v>
                </c:pt>
                <c:pt idx="185">
                  <c:v>-0.51319795524159018</c:v>
                </c:pt>
                <c:pt idx="186">
                  <c:v>-0.50703234760447768</c:v>
                </c:pt>
                <c:pt idx="187">
                  <c:v>-0.50078635245771141</c:v>
                </c:pt>
                <c:pt idx="188">
                  <c:v>-0.49446096007340662</c:v>
                </c:pt>
                <c:pt idx="189">
                  <c:v>-0.48805717331172338</c:v>
                </c:pt>
                <c:pt idx="190">
                  <c:v>-0.48157600746186846</c:v>
                </c:pt>
                <c:pt idx="191">
                  <c:v>-0.47501849008112684</c:v>
                </c:pt>
                <c:pt idx="192">
                  <c:v>-0.46838566083194649</c:v>
                </c:pt>
                <c:pt idx="193">
                  <c:v>-0.46167857131710505</c:v>
                </c:pt>
                <c:pt idx="194">
                  <c:v>-0.45489828491298467</c:v>
                </c:pt>
                <c:pt idx="195">
                  <c:v>-0.44804587660097667</c:v>
                </c:pt>
                <c:pt idx="196">
                  <c:v>-0.44112243279705088</c:v>
                </c:pt>
                <c:pt idx="197">
                  <c:v>-0.43412905117950734</c:v>
                </c:pt>
                <c:pt idx="198">
                  <c:v>-0.42706684051494626</c:v>
                </c:pt>
                <c:pt idx="199">
                  <c:v>-0.41993692048247855</c:v>
                </c:pt>
                <c:pt idx="200">
                  <c:v>-0.41274042149620516</c:v>
                </c:pt>
                <c:pt idx="201">
                  <c:v>-0.40547848452599583</c:v>
                </c:pt>
                <c:pt idx="202">
                  <c:v>-0.39815226091659472</c:v>
                </c:pt>
                <c:pt idx="203">
                  <c:v>-0.39076291220507869</c:v>
                </c:pt>
                <c:pt idx="204">
                  <c:v>-0.38331160993670266</c:v>
                </c:pt>
                <c:pt idx="205">
                  <c:v>-0.37579953547915651</c:v>
                </c:pt>
                <c:pt idx="206">
                  <c:v>-0.36822787983526417</c:v>
                </c:pt>
                <c:pt idx="207">
                  <c:v>-0.36059784345415663</c:v>
                </c:pt>
                <c:pt idx="208">
                  <c:v>-0.3529106360409473</c:v>
                </c:pt>
                <c:pt idx="209">
                  <c:v>-0.34516747636493733</c:v>
                </c:pt>
                <c:pt idx="210">
                  <c:v>-0.33736959206638673</c:v>
                </c:pt>
                <c:pt idx="211">
                  <c:v>-0.32951821946187887</c:v>
                </c:pt>
                <c:pt idx="212">
                  <c:v>-0.3216146033483066</c:v>
                </c:pt>
                <c:pt idx="213">
                  <c:v>-0.31365999680551682</c:v>
                </c:pt>
                <c:pt idx="214">
                  <c:v>-0.30565566099764141</c:v>
                </c:pt>
                <c:pt idx="215">
                  <c:v>-0.29760286497314437</c:v>
                </c:pt>
                <c:pt idx="216">
                  <c:v>-0.28950288546362091</c:v>
                </c:pt>
                <c:pt idx="217">
                  <c:v>-0.28135700668137892</c:v>
                </c:pt>
                <c:pt idx="218">
                  <c:v>-0.27316652011583176</c:v>
                </c:pt>
                <c:pt idx="219">
                  <c:v>-0.26493272432873932</c:v>
                </c:pt>
                <c:pt idx="220">
                  <c:v>-0.2566569247483288</c:v>
                </c:pt>
                <c:pt idx="221">
                  <c:v>-0.24834043346232332</c:v>
                </c:pt>
                <c:pt idx="222">
                  <c:v>-0.23998456900991766</c:v>
                </c:pt>
                <c:pt idx="223">
                  <c:v>-0.2315906561727315</c:v>
                </c:pt>
                <c:pt idx="224">
                  <c:v>-0.22316002576476962</c:v>
                </c:pt>
                <c:pt idx="225">
                  <c:v>-0.2146940144214288</c:v>
                </c:pt>
                <c:pt idx="226">
                  <c:v>-0.20619396438758186</c:v>
                </c:pt>
                <c:pt idx="227">
                  <c:v>-0.19766122330476929</c:v>
                </c:pt>
                <c:pt idx="228">
                  <c:v>-0.18909714399753813</c:v>
                </c:pt>
                <c:pt idx="229">
                  <c:v>-0.18050308425895928</c:v>
                </c:pt>
                <c:pt idx="230">
                  <c:v>-0.17188040663535414</c:v>
                </c:pt>
                <c:pt idx="231">
                  <c:v>-0.16323047821027037</c:v>
                </c:pt>
                <c:pt idx="232">
                  <c:v>-0.15455467038773846</c:v>
                </c:pt>
                <c:pt idx="233">
                  <c:v>-0.14585435867484037</c:v>
                </c:pt>
                <c:pt idx="234">
                  <c:v>-0.13713092246363062</c:v>
                </c:pt>
                <c:pt idx="235">
                  <c:v>-0.12838574481244119</c:v>
                </c:pt>
                <c:pt idx="236">
                  <c:v>-0.11962021222660266</c:v>
                </c:pt>
                <c:pt idx="237">
                  <c:v>-0.11083571443862125</c:v>
                </c:pt>
                <c:pt idx="238">
                  <c:v>-0.10203364418784465</c:v>
                </c:pt>
                <c:pt idx="239">
                  <c:v>-9.3215396999648023E-2</c:v>
                </c:pt>
                <c:pt idx="240">
                  <c:v>-8.4382370964181122E-2</c:v>
                </c:pt>
                <c:pt idx="241">
                  <c:v>-7.5535966514708952E-2</c:v>
                </c:pt>
                <c:pt idx="242">
                  <c:v>-6.6677586205577982E-2</c:v>
                </c:pt>
                <c:pt idx="243">
                  <c:v>-5.780863448984886E-2</c:v>
                </c:pt>
                <c:pt idx="244">
                  <c:v>-4.8930517496628266E-2</c:v>
                </c:pt>
                <c:pt idx="245">
                  <c:v>-4.0044642808132018E-2</c:v>
                </c:pt>
                <c:pt idx="246">
                  <c:v>-3.1152419236520752E-2</c:v>
                </c:pt>
                <c:pt idx="247">
                  <c:v>-2.2255256600540559E-2</c:v>
                </c:pt>
                <c:pt idx="248">
                  <c:v>-1.3354565502001184E-2</c:v>
                </c:pt>
                <c:pt idx="249">
                  <c:v>-4.4517571021329208E-3</c:v>
                </c:pt>
                <c:pt idx="250">
                  <c:v>4.4517571021451671E-3</c:v>
                </c:pt>
                <c:pt idx="251">
                  <c:v>1.3354565502013114E-2</c:v>
                </c:pt>
                <c:pt idx="252">
                  <c:v>2.2255256600552803E-2</c:v>
                </c:pt>
                <c:pt idx="253">
                  <c:v>3.1152419236532988E-2</c:v>
                </c:pt>
                <c:pt idx="254">
                  <c:v>4.0044642808143932E-2</c:v>
                </c:pt>
                <c:pt idx="255">
                  <c:v>4.8930517496640485E-2</c:v>
                </c:pt>
                <c:pt idx="256">
                  <c:v>5.7808634489861066E-2</c:v>
                </c:pt>
                <c:pt idx="257">
                  <c:v>6.6677586205589862E-2</c:v>
                </c:pt>
                <c:pt idx="258">
                  <c:v>7.5535966514721137E-2</c:v>
                </c:pt>
                <c:pt idx="259">
                  <c:v>8.4382370964193293E-2</c:v>
                </c:pt>
                <c:pt idx="260">
                  <c:v>9.3215396999659847E-2</c:v>
                </c:pt>
                <c:pt idx="261">
                  <c:v>0.10203364418785678</c:v>
                </c:pt>
                <c:pt idx="262">
                  <c:v>0.11083571443863334</c:v>
                </c:pt>
                <c:pt idx="263">
                  <c:v>0.11962021222661441</c:v>
                </c:pt>
                <c:pt idx="264">
                  <c:v>0.12838574481245327</c:v>
                </c:pt>
                <c:pt idx="265">
                  <c:v>0.13713092246364264</c:v>
                </c:pt>
                <c:pt idx="266">
                  <c:v>0.14585435867485205</c:v>
                </c:pt>
                <c:pt idx="267">
                  <c:v>0.15455467038775039</c:v>
                </c:pt>
                <c:pt idx="268">
                  <c:v>0.1632304782102823</c:v>
                </c:pt>
                <c:pt idx="269">
                  <c:v>0.17188040663536572</c:v>
                </c:pt>
                <c:pt idx="270">
                  <c:v>0.18050308425897113</c:v>
                </c:pt>
                <c:pt idx="271">
                  <c:v>0.1890971439975499</c:v>
                </c:pt>
                <c:pt idx="272">
                  <c:v>0.19766122330478073</c:v>
                </c:pt>
                <c:pt idx="273">
                  <c:v>0.2061939643875936</c:v>
                </c:pt>
                <c:pt idx="274">
                  <c:v>0.21469401442144051</c:v>
                </c:pt>
                <c:pt idx="275">
                  <c:v>0.22316002576478094</c:v>
                </c:pt>
                <c:pt idx="276">
                  <c:v>0.2315906561727431</c:v>
                </c:pt>
                <c:pt idx="277">
                  <c:v>0.23998456900992921</c:v>
                </c:pt>
                <c:pt idx="278">
                  <c:v>0.24834043346233445</c:v>
                </c:pt>
                <c:pt idx="279">
                  <c:v>0.25665692474834023</c:v>
                </c:pt>
                <c:pt idx="280">
                  <c:v>0.2649327243287507</c:v>
                </c:pt>
                <c:pt idx="281">
                  <c:v>0.27316652011584275</c:v>
                </c:pt>
                <c:pt idx="282">
                  <c:v>0.28135700668139019</c:v>
                </c:pt>
                <c:pt idx="283">
                  <c:v>0.28950288546363206</c:v>
                </c:pt>
                <c:pt idx="284">
                  <c:v>0.29760286497315519</c:v>
                </c:pt>
                <c:pt idx="285">
                  <c:v>0.30565566099765251</c:v>
                </c:pt>
                <c:pt idx="286">
                  <c:v>0.31365999680552781</c:v>
                </c:pt>
                <c:pt idx="287">
                  <c:v>0.32161460334831726</c:v>
                </c:pt>
                <c:pt idx="288">
                  <c:v>0.32951821946188969</c:v>
                </c:pt>
                <c:pt idx="289">
                  <c:v>0.33736959206639749</c:v>
                </c:pt>
                <c:pt idx="290">
                  <c:v>0.34516747636494771</c:v>
                </c:pt>
                <c:pt idx="291">
                  <c:v>0.35291063604095796</c:v>
                </c:pt>
                <c:pt idx="292">
                  <c:v>0.36059784345416723</c:v>
                </c:pt>
                <c:pt idx="293">
                  <c:v>0.36822787983527433</c:v>
                </c:pt>
                <c:pt idx="294">
                  <c:v>0.37579953547916689</c:v>
                </c:pt>
                <c:pt idx="295">
                  <c:v>0.38331160993671298</c:v>
                </c:pt>
                <c:pt idx="296">
                  <c:v>0.39076291220508869</c:v>
                </c:pt>
                <c:pt idx="297">
                  <c:v>0.39815226091660477</c:v>
                </c:pt>
                <c:pt idx="298">
                  <c:v>0.40547848452600588</c:v>
                </c:pt>
                <c:pt idx="299">
                  <c:v>0.41274042149621487</c:v>
                </c:pt>
                <c:pt idx="300">
                  <c:v>0.41993692048248843</c:v>
                </c:pt>
                <c:pt idx="301">
                  <c:v>0.42706684051495603</c:v>
                </c:pt>
                <c:pt idx="302">
                  <c:v>0.43412905117951678</c:v>
                </c:pt>
                <c:pt idx="303">
                  <c:v>0.44112243279706043</c:v>
                </c:pt>
                <c:pt idx="304">
                  <c:v>0.44804587660098621</c:v>
                </c:pt>
                <c:pt idx="305">
                  <c:v>0.45489828491299378</c:v>
                </c:pt>
                <c:pt idx="306">
                  <c:v>0.46167857131711432</c:v>
                </c:pt>
                <c:pt idx="307">
                  <c:v>0.46838566083195543</c:v>
                </c:pt>
                <c:pt idx="308">
                  <c:v>0.47501849008113572</c:v>
                </c:pt>
                <c:pt idx="309">
                  <c:v>0.4815760074618774</c:v>
                </c:pt>
                <c:pt idx="310">
                  <c:v>0.48805717331173204</c:v>
                </c:pt>
                <c:pt idx="311">
                  <c:v>0.49446096007341517</c:v>
                </c:pt>
                <c:pt idx="312">
                  <c:v>0.50078635245772007</c:v>
                </c:pt>
                <c:pt idx="313">
                  <c:v>0.50703234760448601</c:v>
                </c:pt>
                <c:pt idx="314">
                  <c:v>0.51319795524159828</c:v>
                </c:pt>
                <c:pt idx="315">
                  <c:v>0.5192821978419907</c:v>
                </c:pt>
                <c:pt idx="316">
                  <c:v>0.52528411077862647</c:v>
                </c:pt>
                <c:pt idx="317">
                  <c:v>0.5312027424774366</c:v>
                </c:pt>
                <c:pt idx="318">
                  <c:v>0.5370371545681869</c:v>
                </c:pt>
                <c:pt idx="319">
                  <c:v>0.54278642203325211</c:v>
                </c:pt>
                <c:pt idx="320">
                  <c:v>0.5484496333542721</c:v>
                </c:pt>
                <c:pt idx="321">
                  <c:v>0.5540258906566693</c:v>
                </c:pt>
                <c:pt idx="322">
                  <c:v>0.55951430985200357</c:v>
                </c:pt>
                <c:pt idx="323">
                  <c:v>0.56491402077813757</c:v>
                </c:pt>
                <c:pt idx="324">
                  <c:v>0.57022416733719805</c:v>
                </c:pt>
                <c:pt idx="325">
                  <c:v>0.57544390763130759</c:v>
                </c:pt>
                <c:pt idx="326">
                  <c:v>0.58057241409606009</c:v>
                </c:pt>
                <c:pt idx="327">
                  <c:v>0.58560887363172931</c:v>
                </c:pt>
                <c:pt idx="328">
                  <c:v>0.59055248773218216</c:v>
                </c:pt>
                <c:pt idx="329">
                  <c:v>0.59540247261147627</c:v>
                </c:pt>
                <c:pt idx="330">
                  <c:v>0.60015805932812627</c:v>
                </c:pt>
                <c:pt idx="331">
                  <c:v>0.60481849390701692</c:v>
                </c:pt>
                <c:pt idx="332">
                  <c:v>0.60938303745893996</c:v>
                </c:pt>
                <c:pt idx="333">
                  <c:v>0.6138509662977425</c:v>
                </c:pt>
                <c:pt idx="334">
                  <c:v>0.61822157205506489</c:v>
                </c:pt>
                <c:pt idx="335">
                  <c:v>0.62249416179264749</c:v>
                </c:pt>
                <c:pt idx="336">
                  <c:v>0.62666805811219273</c:v>
                </c:pt>
                <c:pt idx="337">
                  <c:v>0.6307425992627651</c:v>
                </c:pt>
                <c:pt idx="338">
                  <c:v>0.6347171392457065</c:v>
                </c:pt>
                <c:pt idx="339">
                  <c:v>0.6385910479170569</c:v>
                </c:pt>
                <c:pt idx="340">
                  <c:v>0.64236371108746138</c:v>
                </c:pt>
                <c:pt idx="341">
                  <c:v>0.64603453061954552</c:v>
                </c:pt>
                <c:pt idx="342">
                  <c:v>0.64960292452274782</c:v>
                </c:pt>
                <c:pt idx="343">
                  <c:v>0.65306832704559215</c:v>
                </c:pt>
                <c:pt idx="344">
                  <c:v>0.6564301887653835</c:v>
                </c:pt>
                <c:pt idx="345">
                  <c:v>0.65968797667531709</c:v>
                </c:pt>
                <c:pt idx="346">
                  <c:v>0.66284117426898426</c:v>
                </c:pt>
                <c:pt idx="347">
                  <c:v>0.66588928162226124</c:v>
                </c:pt>
                <c:pt idx="348">
                  <c:v>0.6688318154725702</c:v>
                </c:pt>
                <c:pt idx="349">
                  <c:v>0.6716683092954987</c:v>
                </c:pt>
                <c:pt idx="350">
                  <c:v>0.67439831337876344</c:v>
                </c:pt>
                <c:pt idx="351">
                  <c:v>0.67702139489351099</c:v>
                </c:pt>
                <c:pt idx="352">
                  <c:v>0.67953713796294113</c:v>
                </c:pt>
                <c:pt idx="353">
                  <c:v>0.68194514372824044</c:v>
                </c:pt>
                <c:pt idx="354">
                  <c:v>0.68424503041182094</c:v>
                </c:pt>
                <c:pt idx="355">
                  <c:v>0.68643643337784899</c:v>
                </c:pt>
                <c:pt idx="356">
                  <c:v>0.68851900519005516</c:v>
                </c:pt>
                <c:pt idx="357">
                  <c:v>0.69049241566682018</c:v>
                </c:pt>
                <c:pt idx="358">
                  <c:v>0.69235635193352285</c:v>
                </c:pt>
                <c:pt idx="359">
                  <c:v>0.69411051847214456</c:v>
                </c:pt>
                <c:pt idx="360">
                  <c:v>0.6957546371681228</c:v>
                </c:pt>
                <c:pt idx="361">
                  <c:v>0.69728844735444462</c:v>
                </c:pt>
                <c:pt idx="362">
                  <c:v>0.69871170585297415</c:v>
                </c:pt>
                <c:pt idx="363">
                  <c:v>0.70002418701300684</c:v>
                </c:pt>
                <c:pt idx="364">
                  <c:v>0.70122568274704655</c:v>
                </c:pt>
                <c:pt idx="365">
                  <c:v>0.70231600256379512</c:v>
                </c:pt>
                <c:pt idx="366">
                  <c:v>0.70329497359835513</c:v>
                </c:pt>
                <c:pt idx="367">
                  <c:v>0.70416244063963651</c:v>
                </c:pt>
                <c:pt idx="368">
                  <c:v>0.70491826615496367</c:v>
                </c:pt>
                <c:pt idx="369">
                  <c:v>0.7055623303118822</c:v>
                </c:pt>
                <c:pt idx="370">
                  <c:v>0.70609453099715602</c:v>
                </c:pt>
                <c:pt idx="371">
                  <c:v>0.70651478383295829</c:v>
                </c:pt>
                <c:pt idx="372">
                  <c:v>0.7068230221902484</c:v>
                </c:pt>
                <c:pt idx="373">
                  <c:v>0.70701919719933559</c:v>
                </c:pt>
                <c:pt idx="374">
                  <c:v>0.70710327775762771</c:v>
                </c:pt>
                <c:pt idx="375">
                  <c:v>0.70707525053456155</c:v>
                </c:pt>
                <c:pt idx="376">
                  <c:v>0.70693511997371683</c:v>
                </c:pt>
                <c:pt idx="377">
                  <c:v>0.70668290829211178</c:v>
                </c:pt>
                <c:pt idx="378">
                  <c:v>0.70631865547668016</c:v>
                </c:pt>
                <c:pt idx="379">
                  <c:v>0.70584241927793201</c:v>
                </c:pt>
                <c:pt idx="380">
                  <c:v>0.70525427520079775</c:v>
                </c:pt>
                <c:pt idx="381">
                  <c:v>0.70455431649265665</c:v>
                </c:pt>
                <c:pt idx="382">
                  <c:v>0.70374265412855341</c:v>
                </c:pt>
                <c:pt idx="383">
                  <c:v>0.70281941679360327</c:v>
                </c:pt>
                <c:pt idx="384">
                  <c:v>0.70178475086258996</c:v>
                </c:pt>
                <c:pt idx="385">
                  <c:v>0.7006388203767584</c:v>
                </c:pt>
                <c:pt idx="386">
                  <c:v>0.69938180701780661</c:v>
                </c:pt>
                <c:pt idx="387">
                  <c:v>0.69801391007908187</c:v>
                </c:pt>
                <c:pt idx="388">
                  <c:v>0.69653534643398252</c:v>
                </c:pt>
                <c:pt idx="389">
                  <c:v>0.69494635050157427</c:v>
                </c:pt>
                <c:pt idx="390">
                  <c:v>0.6932471742094245</c:v>
                </c:pt>
                <c:pt idx="391">
                  <c:v>0.69143808695366016</c:v>
                </c:pt>
                <c:pt idx="392">
                  <c:v>0.68951937555625564</c:v>
                </c:pt>
                <c:pt idx="393">
                  <c:v>0.68749134421955993</c:v>
                </c:pt>
                <c:pt idx="394">
                  <c:v>0.68535431447806572</c:v>
                </c:pt>
                <c:pt idx="395">
                  <c:v>0.68310862514743165</c:v>
                </c:pt>
                <c:pt idx="396">
                  <c:v>0.68075463227076571</c:v>
                </c:pt>
                <c:pt idx="397">
                  <c:v>0.67829270906217554</c:v>
                </c:pt>
                <c:pt idx="398">
                  <c:v>0.6757232458475968</c:v>
                </c:pt>
                <c:pt idx="399">
                  <c:v>0.67304665000291009</c:v>
                </c:pt>
                <c:pt idx="400">
                  <c:v>0.67026334588935266</c:v>
                </c:pt>
                <c:pt idx="401">
                  <c:v>0.66737377478623783</c:v>
                </c:pt>
                <c:pt idx="402">
                  <c:v>0.66437839482099281</c:v>
                </c:pt>
                <c:pt idx="403">
                  <c:v>0.66127768089652517</c:v>
                </c:pt>
                <c:pt idx="404">
                  <c:v>0.65807212461592768</c:v>
                </c:pt>
                <c:pt idx="405">
                  <c:v>0.65476223420453905</c:v>
                </c:pt>
                <c:pt idx="406">
                  <c:v>0.65134853442936635</c:v>
                </c:pt>
                <c:pt idx="407">
                  <c:v>0.64783156651588503</c:v>
                </c:pt>
                <c:pt idx="408">
                  <c:v>0.64421188806223162</c:v>
                </c:pt>
                <c:pt idx="409">
                  <c:v>0.64049007295079874</c:v>
                </c:pt>
                <c:pt idx="410">
                  <c:v>0.63666671125724794</c:v>
                </c:pt>
                <c:pt idx="411">
                  <c:v>0.63274240915695745</c:v>
                </c:pt>
                <c:pt idx="412">
                  <c:v>0.62871778882891594</c:v>
                </c:pt>
                <c:pt idx="413">
                  <c:v>0.6245934883570774</c:v>
                </c:pt>
                <c:pt idx="414">
                  <c:v>0.620370161629198</c:v>
                </c:pt>
                <c:pt idx="415">
                  <c:v>0.61604847823316478</c:v>
                </c:pt>
                <c:pt idx="416">
                  <c:v>0.61162912335083452</c:v>
                </c:pt>
                <c:pt idx="417">
                  <c:v>0.60711279764940362</c:v>
                </c:pt>
                <c:pt idx="418">
                  <c:v>0.60250021717031943</c:v>
                </c:pt>
                <c:pt idx="419">
                  <c:v>0.59779211321575476</c:v>
                </c:pt>
                <c:pt idx="420">
                  <c:v>0.5929892322326652</c:v>
                </c:pt>
                <c:pt idx="421">
                  <c:v>0.58809233569444275</c:v>
                </c:pt>
                <c:pt idx="422">
                  <c:v>0.58310219998018664</c:v>
                </c:pt>
                <c:pt idx="423">
                  <c:v>0.57801961625161491</c:v>
                </c:pt>
                <c:pt idx="424">
                  <c:v>0.57284539032762749</c:v>
                </c:pt>
                <c:pt idx="425">
                  <c:v>0.56758034255654743</c:v>
                </c:pt>
                <c:pt idx="426">
                  <c:v>0.56222530768606049</c:v>
                </c:pt>
                <c:pt idx="427">
                  <c:v>0.55678113473086865</c:v>
                </c:pt>
                <c:pt idx="428">
                  <c:v>0.55124868683808204</c:v>
                </c:pt>
                <c:pt idx="429">
                  <c:v>0.54562884115037347</c:v>
                </c:pt>
                <c:pt idx="430">
                  <c:v>0.53992248866691073</c:v>
                </c:pt>
                <c:pt idx="431">
                  <c:v>0.53413053410209133</c:v>
                </c:pt>
                <c:pt idx="432">
                  <c:v>0.52825389574210724</c:v>
                </c:pt>
                <c:pt idx="433">
                  <c:v>0.52229350529935392</c:v>
                </c:pt>
                <c:pt idx="434">
                  <c:v>0.51625030776471015</c:v>
                </c:pt>
                <c:pt idx="435">
                  <c:v>0.51012526125771762</c:v>
                </c:pt>
                <c:pt idx="436">
                  <c:v>0.5039193368746735</c:v>
                </c:pt>
                <c:pt idx="437">
                  <c:v>0.49763351853466736</c:v>
                </c:pt>
                <c:pt idx="438">
                  <c:v>0.49126880282358792</c:v>
                </c:pt>
                <c:pt idx="439">
                  <c:v>0.48482619883611777</c:v>
                </c:pt>
                <c:pt idx="440">
                  <c:v>0.47830672801574509</c:v>
                </c:pt>
                <c:pt idx="441">
                  <c:v>0.47171142399282168</c:v>
                </c:pt>
                <c:pt idx="442">
                  <c:v>0.46504133242068391</c:v>
                </c:pt>
                <c:pt idx="443">
                  <c:v>0.45829751080986891</c:v>
                </c:pt>
                <c:pt idx="444">
                  <c:v>0.45148102836045362</c:v>
                </c:pt>
                <c:pt idx="445">
                  <c:v>0.4445929657925371</c:v>
                </c:pt>
                <c:pt idx="446">
                  <c:v>0.43763441517489626</c:v>
                </c:pt>
                <c:pt idx="447">
                  <c:v>0.4306064797518464</c:v>
                </c:pt>
                <c:pt idx="448">
                  <c:v>0.42351027376832595</c:v>
                </c:pt>
                <c:pt idx="449">
                  <c:v>0.41634692229323667</c:v>
                </c:pt>
                <c:pt idx="450">
                  <c:v>0.40911756104107266</c:v>
                </c:pt>
                <c:pt idx="451">
                  <c:v>0.40182333619185656</c:v>
                </c:pt>
                <c:pt idx="452">
                  <c:v>0.39446540420941706</c:v>
                </c:pt>
                <c:pt idx="453">
                  <c:v>0.38704493165804021</c:v>
                </c:pt>
                <c:pt idx="454">
                  <c:v>0.3795630950175144</c:v>
                </c:pt>
                <c:pt idx="455">
                  <c:v>0.37202108049660432</c:v>
                </c:pt>
                <c:pt idx="456">
                  <c:v>0.36442008384498586</c:v>
                </c:pt>
                <c:pt idx="457">
                  <c:v>0.35676131016366486</c:v>
                </c:pt>
                <c:pt idx="458">
                  <c:v>0.34904597371391177</c:v>
                </c:pt>
                <c:pt idx="459">
                  <c:v>0.34127529772475057</c:v>
                </c:pt>
                <c:pt idx="460">
                  <c:v>0.33345051419901955</c:v>
                </c:pt>
                <c:pt idx="461">
                  <c:v>0.32557286371804184</c:v>
                </c:pt>
                <c:pt idx="462">
                  <c:v>0.31764359524494051</c:v>
                </c:pt>
                <c:pt idx="463">
                  <c:v>0.30966396592661993</c:v>
                </c:pt>
                <c:pt idx="464">
                  <c:v>0.3016352408944496</c:v>
                </c:pt>
                <c:pt idx="465">
                  <c:v>0.29355869306368693</c:v>
                </c:pt>
                <c:pt idx="466">
                  <c:v>0.28543560293166137</c:v>
                </c:pt>
                <c:pt idx="467">
                  <c:v>0.2772672583747558</c:v>
                </c:pt>
                <c:pt idx="468">
                  <c:v>0.26905495444422339</c:v>
                </c:pt>
                <c:pt idx="469">
                  <c:v>0.26079999316086211</c:v>
                </c:pt>
                <c:pt idx="470">
                  <c:v>0.25250368330858364</c:v>
                </c:pt>
                <c:pt idx="471">
                  <c:v>0.24416734022691572</c:v>
                </c:pt>
                <c:pt idx="472">
                  <c:v>0.2357922856024596</c:v>
                </c:pt>
                <c:pt idx="473">
                  <c:v>0.22737984725934146</c:v>
                </c:pt>
                <c:pt idx="474">
                  <c:v>0.21893135894869575</c:v>
                </c:pt>
                <c:pt idx="475">
                  <c:v>0.21044816013720369</c:v>
                </c:pt>
                <c:pt idx="476">
                  <c:v>0.20193159579472558</c:v>
                </c:pt>
                <c:pt idx="477">
                  <c:v>0.19338301618106607</c:v>
                </c:pt>
                <c:pt idx="478">
                  <c:v>0.18480377663189507</c:v>
                </c:pt>
                <c:pt idx="479">
                  <c:v>0.17619523734386422</c:v>
                </c:pt>
                <c:pt idx="480">
                  <c:v>0.16755876315895787</c:v>
                </c:pt>
                <c:pt idx="481">
                  <c:v>0.15889572334810215</c:v>
                </c:pt>
                <c:pt idx="482">
                  <c:v>0.15020749139407213</c:v>
                </c:pt>
                <c:pt idx="483">
                  <c:v>0.14149544477373624</c:v>
                </c:pt>
                <c:pt idx="484">
                  <c:v>0.13276096473966234</c:v>
                </c:pt>
                <c:pt idx="485">
                  <c:v>0.12400543610112492</c:v>
                </c:pt>
                <c:pt idx="486">
                  <c:v>0.11523024700455406</c:v>
                </c:pt>
                <c:pt idx="487">
                  <c:v>0.10643678871344975</c:v>
                </c:pt>
                <c:pt idx="488">
                  <c:v>9.7626455387801889E-2</c:v>
                </c:pt>
                <c:pt idx="489">
                  <c:v>8.8800643863056861E-2</c:v>
                </c:pt>
                <c:pt idx="490">
                  <c:v>7.9960753428654108E-2</c:v>
                </c:pt>
                <c:pt idx="491">
                  <c:v>7.1108185606173782E-2</c:v>
                </c:pt>
                <c:pt idx="492">
                  <c:v>6.2244343927136042E-2</c:v>
                </c:pt>
                <c:pt idx="493">
                  <c:v>5.3370633710476109E-2</c:v>
                </c:pt>
                <c:pt idx="494">
                  <c:v>4.4488461839735899E-2</c:v>
                </c:pt>
                <c:pt idx="495">
                  <c:v>3.5599236540013283E-2</c:v>
                </c:pt>
                <c:pt idx="496">
                  <c:v>2.6704367154692928E-2</c:v>
                </c:pt>
                <c:pt idx="497">
                  <c:v>1.7805263921999916E-2</c:v>
                </c:pt>
                <c:pt idx="498">
                  <c:v>8.9033377514170908E-3</c:v>
                </c:pt>
                <c:pt idx="499">
                  <c:v>-9.6479421657968007E-15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6BBF-48A7-B16E-F14E53E91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46959"/>
        <c:axId val="528743631"/>
      </c:scatterChart>
      <c:valAx>
        <c:axId val="528746959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ru-RU"/>
          </a:p>
        </c:txPr>
        <c:crossAx val="528743631"/>
        <c:crosses val="autoZero"/>
        <c:crossBetween val="midCat"/>
        <c:majorUnit val="0.25"/>
      </c:valAx>
      <c:valAx>
        <c:axId val="528743631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ru-RU"/>
          </a:p>
        </c:txPr>
        <c:crossAx val="528746959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6097189395064899"/>
          <c:y val="0.44007602497963616"/>
          <c:w val="0.13216704258451401"/>
          <c:h val="0.19396687483030139"/>
        </c:manualLayout>
      </c:layout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Observations on axes u~1 and u~2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8941"/>
              </a:solidFill>
              <a:ln>
                <a:solidFill>
                  <a:srgbClr val="008941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Obs1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E70-4FB6-9D68-7B6B7BB2F9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Obs2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E70-4FB6-9D68-7B6B7BB2F9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Obs3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E70-4FB6-9D68-7B6B7BB2F9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Obs4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E70-4FB6-9D68-7B6B7BB2F9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Obs5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E70-4FB6-9D68-7B6B7BB2F9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Obs6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E70-4FB6-9D68-7B6B7BB2F9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Obs7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E70-4FB6-9D68-7B6B7BB2F9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Obs8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E70-4FB6-9D68-7B6B7BB2F9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Obs9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E70-4FB6-9D68-7B6B7BB2F9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Obs10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E70-4FB6-9D68-7B6B7BB2F9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Obs11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E70-4FB6-9D68-7B6B7BB2F9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Obs12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E70-4FB6-9D68-7B6B7BB2F9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Obs13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E70-4FB6-9D68-7B6B7BB2F9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Obs14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E70-4FB6-9D68-7B6B7BB2F9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Obs15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E70-4FB6-9D68-7B6B7BB2F9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Obs16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E70-4FB6-9D68-7B6B7BB2F9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Obs17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E70-4FB6-9D68-7B6B7BB2F9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Obs18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4E70-4FB6-9D68-7B6B7BB2F9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Obs19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E70-4FB6-9D68-7B6B7BB2F9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Obs20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E70-4FB6-9D68-7B6B7BB2F9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Obs21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4E70-4FB6-9D68-7B6B7BB2F9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Obs22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E70-4FB6-9D68-7B6B7BB2F9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Obs23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E70-4FB6-9D68-7B6B7BB2F9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Obs24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4E70-4FB6-9D68-7B6B7BB2F9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Obs25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E70-4FB6-9D68-7B6B7BB2F9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Obs26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E70-4FB6-9D68-7B6B7BB2F9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Obs27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4E70-4FB6-9D68-7B6B7BB2F9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Obs28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E70-4FB6-9D68-7B6B7BB2F9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Obs29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E70-4FB6-9D68-7B6B7BB2F9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Obs30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E70-4FB6-9D68-7B6B7BB2F9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Obs31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4E70-4FB6-9D68-7B6B7BB2F9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Obs32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4E70-4FB6-9D68-7B6B7BB2F9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Obs33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4E70-4FB6-9D68-7B6B7BB2F9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Obs34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4E70-4FB6-9D68-7B6B7BB2F9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Obs35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4E70-4FB6-9D68-7B6B7BB2F9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Obs36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E70-4FB6-9D68-7B6B7BB2F9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Obs37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E70-4FB6-9D68-7B6B7BB2F9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Obs38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4E70-4FB6-9D68-7B6B7BB2F9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Obs39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4E70-4FB6-9D68-7B6B7BB2F9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Obs40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4E70-4FB6-9D68-7B6B7BB2F9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Obs41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4E70-4FB6-9D68-7B6B7BB2F9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Obs42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4E70-4FB6-9D68-7B6B7BB2F9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Obs43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E70-4FB6-9D68-7B6B7BB2F9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Obs44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4E70-4FB6-9D68-7B6B7BB2F9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Obs45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4E70-4FB6-9D68-7B6B7BB2F9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Obs46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4E70-4FB6-9D68-7B6B7BB2F9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Obs47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4E70-4FB6-9D68-7B6B7BB2F9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Obs48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4E70-4FB6-9D68-7B6B7BB2F9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Obs49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4E70-4FB6-9D68-7B6B7BB2F9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Obs50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4E70-4FB6-9D68-7B6B7BB2F9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Obs51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4E70-4FB6-9D68-7B6B7BB2F9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Obs52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4E70-4FB6-9D68-7B6B7BB2F9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Obs53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4E70-4FB6-9D68-7B6B7BB2F9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Obs54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4E70-4FB6-9D68-7B6B7BB2F9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Obs55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4E70-4FB6-9D68-7B6B7BB2F9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Obs56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4E70-4FB6-9D68-7B6B7BB2F9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Obs57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4E70-4FB6-9D68-7B6B7BB2F9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Obs58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4E70-4FB6-9D68-7B6B7BB2F9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Obs59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4E70-4FB6-9D68-7B6B7BB2F9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Obs60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4E70-4FB6-9D68-7B6B7BB2F9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Obs61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4E70-4FB6-9D68-7B6B7BB2F9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Obs62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4E70-4FB6-9D68-7B6B7BB2F9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Obs63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4E70-4FB6-9D68-7B6B7BB2F9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Obs64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4E70-4FB6-9D68-7B6B7BB2F9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Obs65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4E70-4FB6-9D68-7B6B7BB2F9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Obs66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4E70-4FB6-9D68-7B6B7BB2F9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Obs67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4E70-4FB6-9D68-7B6B7BB2F9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Obs68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4E70-4FB6-9D68-7B6B7BB2F9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Obs69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4E70-4FB6-9D68-7B6B7BB2F9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Obs70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4E70-4FB6-9D68-7B6B7BB2F9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Obs71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4E70-4FB6-9D68-7B6B7BB2F9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Obs72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4E70-4FB6-9D68-7B6B7BB2F9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Obs73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4E70-4FB6-9D68-7B6B7BB2F9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Obs74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4E70-4FB6-9D68-7B6B7BB2F9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Obs75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4E70-4FB6-9D68-7B6B7BB2F9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Obs76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4E70-4FB6-9D68-7B6B7BB2F9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Obs77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4E70-4FB6-9D68-7B6B7BB2F9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Obs78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4E70-4FB6-9D68-7B6B7BB2F9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Obs79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4E70-4FB6-9D68-7B6B7BB2F9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Obs80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4E70-4FB6-9D68-7B6B7BB2F9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Obs81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4E70-4FB6-9D68-7B6B7BB2F9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Obs82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4E70-4FB6-9D68-7B6B7BB2F9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Obs83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4E70-4FB6-9D68-7B6B7BB2F9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Obs84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4E70-4FB6-9D68-7B6B7BB2F9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Obs85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4E70-4FB6-9D68-7B6B7BB2F9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Obs86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4E70-4FB6-9D68-7B6B7BB2F9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Obs87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4E70-4FB6-9D68-7B6B7BB2F9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Obs88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4E70-4FB6-9D68-7B6B7BB2F9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Obs89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4E70-4FB6-9D68-7B6B7BB2F9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Obs90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4E70-4FB6-9D68-7B6B7BB2F9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Obs91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4E70-4FB6-9D68-7B6B7BB2F9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Obs92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4E70-4FB6-9D68-7B6B7BB2F9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Obs93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4E70-4FB6-9D68-7B6B7BB2F9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Obs94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4E70-4FB6-9D68-7B6B7BB2F9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Obs95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4E70-4FB6-9D68-7B6B7BB2F9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Obs96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4E70-4FB6-9D68-7B6B7BB2F9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Obs97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4E70-4FB6-9D68-7B6B7BB2F9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Obs98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4E70-4FB6-9D68-7B6B7BB2F9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Obs99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4E70-4FB6-9D68-7B6B7BB2F9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Obs100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4E70-4FB6-9D68-7B6B7BB2F9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XLSTAT_20210923_105258_1_HID3!$B$2:$B$101</c:f>
              <c:numCache>
                <c:formatCode>General</c:formatCode>
                <c:ptCount val="100"/>
                <c:pt idx="0">
                  <c:v>3.597611606399731</c:v>
                </c:pt>
                <c:pt idx="1">
                  <c:v>-0.9082279507348836</c:v>
                </c:pt>
                <c:pt idx="2">
                  <c:v>-0.21351185453036203</c:v>
                </c:pt>
                <c:pt idx="3">
                  <c:v>4.232626861129889</c:v>
                </c:pt>
                <c:pt idx="4">
                  <c:v>5.5683554489987745</c:v>
                </c:pt>
                <c:pt idx="5">
                  <c:v>4.5050086859740102</c:v>
                </c:pt>
                <c:pt idx="6">
                  <c:v>3.5492542859702096</c:v>
                </c:pt>
                <c:pt idx="7">
                  <c:v>5.8333059262802056</c:v>
                </c:pt>
                <c:pt idx="8">
                  <c:v>4.1367005134341541</c:v>
                </c:pt>
                <c:pt idx="9">
                  <c:v>-2.093161931180632</c:v>
                </c:pt>
                <c:pt idx="10">
                  <c:v>3.5828201668189195</c:v>
                </c:pt>
                <c:pt idx="11">
                  <c:v>8.342005472558137</c:v>
                </c:pt>
                <c:pt idx="12">
                  <c:v>5.0884693438188782</c:v>
                </c:pt>
                <c:pt idx="13">
                  <c:v>7.1650354387080215</c:v>
                </c:pt>
                <c:pt idx="14">
                  <c:v>3.4148027445107889</c:v>
                </c:pt>
                <c:pt idx="15">
                  <c:v>-4.1402658292489125</c:v>
                </c:pt>
                <c:pt idx="16">
                  <c:v>4.2089481088769185</c:v>
                </c:pt>
                <c:pt idx="17">
                  <c:v>3.4304956059410614</c:v>
                </c:pt>
                <c:pt idx="18">
                  <c:v>3.1726268002330889</c:v>
                </c:pt>
                <c:pt idx="19">
                  <c:v>7.9019088678847362</c:v>
                </c:pt>
                <c:pt idx="20">
                  <c:v>5.0884693438188782</c:v>
                </c:pt>
                <c:pt idx="21">
                  <c:v>3.6776120372756513</c:v>
                </c:pt>
                <c:pt idx="22">
                  <c:v>6.0817239533644267</c:v>
                </c:pt>
                <c:pt idx="23">
                  <c:v>4.3453083332744766</c:v>
                </c:pt>
                <c:pt idx="24">
                  <c:v>7.2617611821466506</c:v>
                </c:pt>
                <c:pt idx="25">
                  <c:v>2.3247060815816547</c:v>
                </c:pt>
                <c:pt idx="26">
                  <c:v>-5.7826331681815768</c:v>
                </c:pt>
                <c:pt idx="27">
                  <c:v>3.2695117058528873</c:v>
                </c:pt>
                <c:pt idx="28">
                  <c:v>3.9508409735518257</c:v>
                </c:pt>
                <c:pt idx="29">
                  <c:v>-1.1836342323440248</c:v>
                </c:pt>
                <c:pt idx="30">
                  <c:v>5.2141918976520207</c:v>
                </c:pt>
                <c:pt idx="31">
                  <c:v>-6.1036428166081897</c:v>
                </c:pt>
                <c:pt idx="32">
                  <c:v>-2.9542460936338273</c:v>
                </c:pt>
                <c:pt idx="33">
                  <c:v>5.4900309866015018</c:v>
                </c:pt>
                <c:pt idx="34">
                  <c:v>1.8609599302870299</c:v>
                </c:pt>
                <c:pt idx="35">
                  <c:v>-0.4651310858310822</c:v>
                </c:pt>
                <c:pt idx="36">
                  <c:v>5.6459399681104847E-2</c:v>
                </c:pt>
                <c:pt idx="37">
                  <c:v>5.8946154311678276</c:v>
                </c:pt>
                <c:pt idx="38">
                  <c:v>1.9082265328951025</c:v>
                </c:pt>
                <c:pt idx="39">
                  <c:v>-10.662463004413034</c:v>
                </c:pt>
                <c:pt idx="40">
                  <c:v>-6.1036428166081897</c:v>
                </c:pt>
                <c:pt idx="41">
                  <c:v>6.9305472687734598E-2</c:v>
                </c:pt>
                <c:pt idx="42">
                  <c:v>-1.3478862850448698</c:v>
                </c:pt>
                <c:pt idx="43">
                  <c:v>5.0709843855633219</c:v>
                </c:pt>
                <c:pt idx="44">
                  <c:v>-1.9069175876782374</c:v>
                </c:pt>
                <c:pt idx="45">
                  <c:v>5.0555960049127417</c:v>
                </c:pt>
                <c:pt idx="46">
                  <c:v>-6.3092032405192482</c:v>
                </c:pt>
                <c:pt idx="47">
                  <c:v>-4.9176230809931036</c:v>
                </c:pt>
                <c:pt idx="48">
                  <c:v>-8.9975253927311858</c:v>
                </c:pt>
                <c:pt idx="49">
                  <c:v>1.4118089681014749</c:v>
                </c:pt>
                <c:pt idx="50">
                  <c:v>-0.43434214961581047</c:v>
                </c:pt>
                <c:pt idx="51">
                  <c:v>-4.1974910935824585</c:v>
                </c:pt>
                <c:pt idx="52">
                  <c:v>-2.8089550549759239</c:v>
                </c:pt>
                <c:pt idx="53">
                  <c:v>3.3910992233995541</c:v>
                </c:pt>
                <c:pt idx="54">
                  <c:v>-3.3538588757396854</c:v>
                </c:pt>
                <c:pt idx="55">
                  <c:v>-0.79295944784128958</c:v>
                </c:pt>
                <c:pt idx="56">
                  <c:v>2.0198363870403804</c:v>
                </c:pt>
                <c:pt idx="57">
                  <c:v>-5.5872071173104283</c:v>
                </c:pt>
                <c:pt idx="58">
                  <c:v>-5.8856464929878278</c:v>
                </c:pt>
                <c:pt idx="59">
                  <c:v>-5.5872071173104283</c:v>
                </c:pt>
                <c:pt idx="60">
                  <c:v>-3.4901290333876154</c:v>
                </c:pt>
                <c:pt idx="61">
                  <c:v>-1.0473338512739159</c:v>
                </c:pt>
                <c:pt idx="62">
                  <c:v>-9.3667823130525711</c:v>
                </c:pt>
                <c:pt idx="63">
                  <c:v>-2.7390118904108158</c:v>
                </c:pt>
                <c:pt idx="64">
                  <c:v>2.3247060815816547</c:v>
                </c:pt>
                <c:pt idx="65">
                  <c:v>0.55135465872353806</c:v>
                </c:pt>
                <c:pt idx="66">
                  <c:v>-4.7723320423351989</c:v>
                </c:pt>
                <c:pt idx="67">
                  <c:v>-2.2984266659382051</c:v>
                </c:pt>
                <c:pt idx="68">
                  <c:v>1.1177989197426921</c:v>
                </c:pt>
                <c:pt idx="69">
                  <c:v>1.7498651328289132</c:v>
                </c:pt>
                <c:pt idx="70">
                  <c:v>-3.0297853500613088</c:v>
                </c:pt>
                <c:pt idx="71">
                  <c:v>1.2895214495026084</c:v>
                </c:pt>
                <c:pt idx="72">
                  <c:v>-5.0707714180126011</c:v>
                </c:pt>
                <c:pt idx="73">
                  <c:v>-3.7198581139963367</c:v>
                </c:pt>
                <c:pt idx="74">
                  <c:v>-5.7826331681815768</c:v>
                </c:pt>
                <c:pt idx="75">
                  <c:v>-1.4337278313452357</c:v>
                </c:pt>
                <c:pt idx="76">
                  <c:v>-0.28522591896118732</c:v>
                </c:pt>
                <c:pt idx="77">
                  <c:v>-2.7046774792033257</c:v>
                </c:pt>
                <c:pt idx="78">
                  <c:v>-2.5389838007644587</c:v>
                </c:pt>
                <c:pt idx="79">
                  <c:v>3.0723103153791778</c:v>
                </c:pt>
                <c:pt idx="80">
                  <c:v>-3.975215986303946</c:v>
                </c:pt>
                <c:pt idx="81">
                  <c:v>-7.3677752427807643</c:v>
                </c:pt>
                <c:pt idx="82">
                  <c:v>-1.0095659018346264</c:v>
                </c:pt>
                <c:pt idx="83">
                  <c:v>-0.84557806761664711</c:v>
                </c:pt>
                <c:pt idx="84">
                  <c:v>0.60490170215810846</c:v>
                </c:pt>
                <c:pt idx="85">
                  <c:v>-3.7691211686090553</c:v>
                </c:pt>
                <c:pt idx="86">
                  <c:v>-0.60797921425301304</c:v>
                </c:pt>
                <c:pt idx="87">
                  <c:v>-0.84557806761664711</c:v>
                </c:pt>
                <c:pt idx="88">
                  <c:v>-0.4651310858310822</c:v>
                </c:pt>
                <c:pt idx="89">
                  <c:v>1.9744107177324621</c:v>
                </c:pt>
                <c:pt idx="90">
                  <c:v>-7.1960527130207819</c:v>
                </c:pt>
                <c:pt idx="91">
                  <c:v>-4.1402658292489125</c:v>
                </c:pt>
                <c:pt idx="92">
                  <c:v>-7.6859537522979497</c:v>
                </c:pt>
                <c:pt idx="93">
                  <c:v>-2.5069771975852806</c:v>
                </c:pt>
                <c:pt idx="94">
                  <c:v>-1.2238129803767399</c:v>
                </c:pt>
                <c:pt idx="95">
                  <c:v>1.7498651328289132</c:v>
                </c:pt>
                <c:pt idx="96">
                  <c:v>-6.219273330396649</c:v>
                </c:pt>
                <c:pt idx="97">
                  <c:v>-0.84557806761664711</c:v>
                </c:pt>
                <c:pt idx="98">
                  <c:v>-2.9917639168648642</c:v>
                </c:pt>
                <c:pt idx="99">
                  <c:v>-2.1768888418896375</c:v>
                </c:pt>
              </c:numCache>
            </c:numRef>
          </c:xVal>
          <c:yVal>
            <c:numRef>
              <c:f>XLSTAT_20210923_105258_1_HID3!$C$2:$C$101</c:f>
              <c:numCache>
                <c:formatCode>General</c:formatCode>
                <c:ptCount val="100"/>
                <c:pt idx="0">
                  <c:v>3.0456566753448389</c:v>
                </c:pt>
                <c:pt idx="1">
                  <c:v>-0.24559832827604902</c:v>
                </c:pt>
                <c:pt idx="2">
                  <c:v>2.2958392815751272</c:v>
                </c:pt>
                <c:pt idx="3">
                  <c:v>3.8041656082299808</c:v>
                </c:pt>
                <c:pt idx="4">
                  <c:v>5.3509186694276236</c:v>
                </c:pt>
                <c:pt idx="5">
                  <c:v>3.1138618051676201</c:v>
                </c:pt>
                <c:pt idx="6">
                  <c:v>1.6889267742827405</c:v>
                </c:pt>
                <c:pt idx="7">
                  <c:v>4.6970560177281886</c:v>
                </c:pt>
                <c:pt idx="8">
                  <c:v>3.1148818428822875</c:v>
                </c:pt>
                <c:pt idx="9">
                  <c:v>-1.5930739286200712</c:v>
                </c:pt>
                <c:pt idx="10">
                  <c:v>1.2977794918249084</c:v>
                </c:pt>
                <c:pt idx="11">
                  <c:v>5.8501227417758077</c:v>
                </c:pt>
                <c:pt idx="12">
                  <c:v>2.8175154601247692</c:v>
                </c:pt>
                <c:pt idx="13">
                  <c:v>3.2695815130915911</c:v>
                </c:pt>
                <c:pt idx="14">
                  <c:v>2.6673596093657612</c:v>
                </c:pt>
                <c:pt idx="15">
                  <c:v>-1.5004169948448616</c:v>
                </c:pt>
                <c:pt idx="16">
                  <c:v>4.1426475771911182</c:v>
                </c:pt>
                <c:pt idx="17">
                  <c:v>1.4321265893269526</c:v>
                </c:pt>
                <c:pt idx="18">
                  <c:v>1.4693476830092698</c:v>
                </c:pt>
                <c:pt idx="19">
                  <c:v>4.1017323967588517</c:v>
                </c:pt>
                <c:pt idx="20">
                  <c:v>2.962751528721387</c:v>
                </c:pt>
                <c:pt idx="21">
                  <c:v>1.1368371245815103</c:v>
                </c:pt>
                <c:pt idx="22">
                  <c:v>3.639149229889298</c:v>
                </c:pt>
                <c:pt idx="23">
                  <c:v>4.2710525830651918</c:v>
                </c:pt>
                <c:pt idx="24">
                  <c:v>4.048574221286656</c:v>
                </c:pt>
                <c:pt idx="25">
                  <c:v>9.2726125733078785E-2</c:v>
                </c:pt>
                <c:pt idx="26">
                  <c:v>-1.6169822935159506</c:v>
                </c:pt>
                <c:pt idx="27">
                  <c:v>1.202712884562839</c:v>
                </c:pt>
                <c:pt idx="28">
                  <c:v>3.0619192077108197</c:v>
                </c:pt>
                <c:pt idx="29">
                  <c:v>0.92025064291031866</c:v>
                </c:pt>
                <c:pt idx="30">
                  <c:v>2.3401121387415631</c:v>
                </c:pt>
                <c:pt idx="31">
                  <c:v>-1.6528774267298345</c:v>
                </c:pt>
                <c:pt idx="32">
                  <c:v>-1.1387431668402552</c:v>
                </c:pt>
                <c:pt idx="33">
                  <c:v>2.8271449743230956</c:v>
                </c:pt>
                <c:pt idx="34">
                  <c:v>4.165021358707107</c:v>
                </c:pt>
                <c:pt idx="35">
                  <c:v>-1.9227013456443418</c:v>
                </c:pt>
                <c:pt idx="36">
                  <c:v>2.7831012985045418</c:v>
                </c:pt>
                <c:pt idx="37">
                  <c:v>0.94754314768975478</c:v>
                </c:pt>
                <c:pt idx="38">
                  <c:v>-0.78537859982380154</c:v>
                </c:pt>
                <c:pt idx="39">
                  <c:v>-5.4045975643965356</c:v>
                </c:pt>
                <c:pt idx="40">
                  <c:v>-3.6124705678656963</c:v>
                </c:pt>
                <c:pt idx="41">
                  <c:v>-0.53176821002904573</c:v>
                </c:pt>
                <c:pt idx="42">
                  <c:v>-3.8007079225252625</c:v>
                </c:pt>
                <c:pt idx="43">
                  <c:v>1.912039581359251</c:v>
                </c:pt>
                <c:pt idx="44">
                  <c:v>6.7515478961417671E-2</c:v>
                </c:pt>
                <c:pt idx="45">
                  <c:v>3.8673885600408728</c:v>
                </c:pt>
                <c:pt idx="46">
                  <c:v>-2.8737540317134602</c:v>
                </c:pt>
                <c:pt idx="47">
                  <c:v>-2.1179236649933202</c:v>
                </c:pt>
                <c:pt idx="48">
                  <c:v>-6.5707197075858739</c:v>
                </c:pt>
                <c:pt idx="49">
                  <c:v>-0.87717873412007874</c:v>
                </c:pt>
                <c:pt idx="50">
                  <c:v>-1.9210108754177537</c:v>
                </c:pt>
                <c:pt idx="51">
                  <c:v>-1.5146380004808702</c:v>
                </c:pt>
                <c:pt idx="52">
                  <c:v>-0.78791376558985804</c:v>
                </c:pt>
                <c:pt idx="53">
                  <c:v>0.16626015802893521</c:v>
                </c:pt>
                <c:pt idx="54">
                  <c:v>-0.57861056016805612</c:v>
                </c:pt>
                <c:pt idx="55">
                  <c:v>-3.3534537333500083</c:v>
                </c:pt>
                <c:pt idx="56">
                  <c:v>-0.48110411263797959</c:v>
                </c:pt>
                <c:pt idx="57">
                  <c:v>-2.6748468456854666</c:v>
                </c:pt>
                <c:pt idx="58">
                  <c:v>-3.4865086336847027</c:v>
                </c:pt>
                <c:pt idx="59">
                  <c:v>-2.5942957929916561</c:v>
                </c:pt>
                <c:pt idx="60">
                  <c:v>-1.909225722888211</c:v>
                </c:pt>
                <c:pt idx="61">
                  <c:v>-0.82394396554761262</c:v>
                </c:pt>
                <c:pt idx="62">
                  <c:v>-5.595409071150149</c:v>
                </c:pt>
                <c:pt idx="63">
                  <c:v>-2.4641491626581415</c:v>
                </c:pt>
                <c:pt idx="64">
                  <c:v>2.4801654877968682</c:v>
                </c:pt>
                <c:pt idx="65">
                  <c:v>-2.3851219787524869</c:v>
                </c:pt>
                <c:pt idx="66">
                  <c:v>-3.1879452091157536</c:v>
                </c:pt>
                <c:pt idx="67">
                  <c:v>-0.87253956850344505</c:v>
                </c:pt>
                <c:pt idx="68">
                  <c:v>-1.7336022232975252</c:v>
                </c:pt>
                <c:pt idx="69">
                  <c:v>-0.73201976503432997</c:v>
                </c:pt>
                <c:pt idx="70">
                  <c:v>0.13263983526311388</c:v>
                </c:pt>
                <c:pt idx="71">
                  <c:v>2.6387763003982347</c:v>
                </c:pt>
                <c:pt idx="72">
                  <c:v>-3.2104314599233157</c:v>
                </c:pt>
                <c:pt idx="73">
                  <c:v>-1.4741154913159018</c:v>
                </c:pt>
                <c:pt idx="74">
                  <c:v>-3.1030818217619038</c:v>
                </c:pt>
                <c:pt idx="75">
                  <c:v>-2.7562067318186712</c:v>
                </c:pt>
                <c:pt idx="76">
                  <c:v>-2.8670642127213513</c:v>
                </c:pt>
                <c:pt idx="77">
                  <c:v>-0.55901444739572526</c:v>
                </c:pt>
                <c:pt idx="78">
                  <c:v>-2.4699401246664365</c:v>
                </c:pt>
                <c:pt idx="79">
                  <c:v>-0.1654545491988586</c:v>
                </c:pt>
                <c:pt idx="80">
                  <c:v>-2.0371665505334162</c:v>
                </c:pt>
                <c:pt idx="81">
                  <c:v>-4.4123648092390422</c:v>
                </c:pt>
                <c:pt idx="82">
                  <c:v>-1.716934422513116</c:v>
                </c:pt>
                <c:pt idx="83">
                  <c:v>-2.2979006601034011</c:v>
                </c:pt>
                <c:pt idx="84">
                  <c:v>1.1784639305182325</c:v>
                </c:pt>
                <c:pt idx="85">
                  <c:v>-1.3036104440095029</c:v>
                </c:pt>
                <c:pt idx="86">
                  <c:v>-2.4988596965234562</c:v>
                </c:pt>
                <c:pt idx="87">
                  <c:v>-0.3413597805768569</c:v>
                </c:pt>
                <c:pt idx="88">
                  <c:v>-7.8612126057789347E-2</c:v>
                </c:pt>
                <c:pt idx="89">
                  <c:v>-0.28070558235002346</c:v>
                </c:pt>
                <c:pt idx="90">
                  <c:v>-4.7150473113627545</c:v>
                </c:pt>
                <c:pt idx="91">
                  <c:v>-1.4039710160450594</c:v>
                </c:pt>
                <c:pt idx="92">
                  <c:v>-4.5828118723698212</c:v>
                </c:pt>
                <c:pt idx="93">
                  <c:v>-0.72723111548831409</c:v>
                </c:pt>
                <c:pt idx="94">
                  <c:v>-0.16736314403081246</c:v>
                </c:pt>
                <c:pt idx="95">
                  <c:v>-1.3531527829657506</c:v>
                </c:pt>
                <c:pt idx="96">
                  <c:v>-2.4269489695605939</c:v>
                </c:pt>
                <c:pt idx="97">
                  <c:v>-2.2496376429822611</c:v>
                </c:pt>
                <c:pt idx="98">
                  <c:v>-0.60689845945550935</c:v>
                </c:pt>
                <c:pt idx="99">
                  <c:v>-1.2702511152285196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70-4FB6-9D68-7B6B7BB2F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45871"/>
        <c:axId val="681569247"/>
      </c:scatterChart>
      <c:valAx>
        <c:axId val="382145871"/>
        <c:scaling>
          <c:orientation val="minMax"/>
          <c:max val="10"/>
          <c:min val="-15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u~1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681569247"/>
        <c:crosses val="autoZero"/>
        <c:crossBetween val="midCat"/>
        <c:majorUnit val="5"/>
      </c:valAx>
      <c:valAx>
        <c:axId val="681569247"/>
        <c:scaling>
          <c:orientation val="minMax"/>
          <c:max val="10"/>
          <c:min val="-1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u~2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2145871"/>
        <c:crosses val="autoZero"/>
        <c:crossBetween val="midCat"/>
        <c:majorUnit val="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VIPs (1 Comp / 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VIP(1)</c:v>
          </c:tx>
          <c:spPr>
            <a:solidFill>
              <a:srgbClr val="2A7498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'PLS-R'!$B$1302:$B$1320</c:f>
              <c:strCache>
                <c:ptCount val="19"/>
                <c:pt idx="0">
                  <c:v>PGA</c:v>
                </c:pt>
                <c:pt idx="1">
                  <c:v>HAND</c:v>
                </c:pt>
                <c:pt idx="2">
                  <c:v>BARREN</c:v>
                </c:pt>
                <c:pt idx="3">
                  <c:v>KSN</c:v>
                </c:pt>
                <c:pt idx="4">
                  <c:v>Q</c:v>
                </c:pt>
                <c:pt idx="5">
                  <c:v>ALTITUDE</c:v>
                </c:pt>
                <c:pt idx="6">
                  <c:v>CWR</c:v>
                </c:pt>
                <c:pt idx="7">
                  <c:v>SAND</c:v>
                </c:pt>
                <c:pt idx="8">
                  <c:v>P</c:v>
                </c:pt>
                <c:pt idx="9">
                  <c:v>DEM</c:v>
                </c:pt>
                <c:pt idx="10">
                  <c:v>CROPLAND</c:v>
                </c:pt>
                <c:pt idx="11">
                  <c:v>SRAD</c:v>
                </c:pt>
                <c:pt idx="12">
                  <c:v>POP</c:v>
                </c:pt>
                <c:pt idx="13">
                  <c:v>CANOPY</c:v>
                </c:pt>
                <c:pt idx="14">
                  <c:v>A</c:v>
                </c:pt>
                <c:pt idx="15">
                  <c:v>GLACIER</c:v>
                </c:pt>
                <c:pt idx="16">
                  <c:v>AET</c:v>
                </c:pt>
                <c:pt idx="17">
                  <c:v>FOREST</c:v>
                </c:pt>
                <c:pt idx="18">
                  <c:v>GLORED</c:v>
                </c:pt>
              </c:strCache>
            </c:strRef>
          </c:cat>
          <c:val>
            <c:numRef>
              <c:f>'PLS-R'!$C$1302:$C$1320</c:f>
              <c:numCache>
                <c:formatCode>0.000</c:formatCode>
                <c:ptCount val="19"/>
                <c:pt idx="0">
                  <c:v>1.7738902379668837</c:v>
                </c:pt>
                <c:pt idx="1">
                  <c:v>1.8742557667611877</c:v>
                </c:pt>
                <c:pt idx="2">
                  <c:v>1.7731384072007428</c:v>
                </c:pt>
                <c:pt idx="3">
                  <c:v>1.641533707670771</c:v>
                </c:pt>
                <c:pt idx="4">
                  <c:v>0.85259714974312351</c:v>
                </c:pt>
                <c:pt idx="5">
                  <c:v>4.1931609869836402E-3</c:v>
                </c:pt>
                <c:pt idx="6">
                  <c:v>1.3027982388720456</c:v>
                </c:pt>
                <c:pt idx="7">
                  <c:v>1.1721907263245783</c:v>
                </c:pt>
                <c:pt idx="8">
                  <c:v>0.72486612103779213</c:v>
                </c:pt>
                <c:pt idx="9">
                  <c:v>7.2587291148079089E-2</c:v>
                </c:pt>
                <c:pt idx="10">
                  <c:v>1.1100321812063536</c:v>
                </c:pt>
                <c:pt idx="11">
                  <c:v>0.35819703072358106</c:v>
                </c:pt>
                <c:pt idx="12">
                  <c:v>0.36273068592504204</c:v>
                </c:pt>
                <c:pt idx="13">
                  <c:v>0.62217605702294931</c:v>
                </c:pt>
                <c:pt idx="14">
                  <c:v>0.16582871338644928</c:v>
                </c:pt>
                <c:pt idx="15">
                  <c:v>0.36232749398543745</c:v>
                </c:pt>
                <c:pt idx="16">
                  <c:v>5.7376684788590003E-2</c:v>
                </c:pt>
                <c:pt idx="17">
                  <c:v>0.28367431516127656</c:v>
                </c:pt>
                <c:pt idx="18">
                  <c:v>0.22622035827346224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B-4241-940C-A9B18224C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681567999"/>
        <c:axId val="681567167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19</c:v>
              </c:pt>
            </c:numLit>
          </c:xVal>
          <c:yVal>
            <c:numLit>
              <c:formatCode>General</c:formatCode>
              <c:ptCount val="2"/>
              <c:pt idx="0">
                <c:v>0.8</c:v>
              </c:pt>
              <c:pt idx="1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43B-4241-940C-A9B18224C40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19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43B-4241-940C-A9B18224C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568415"/>
        <c:axId val="681573823"/>
      </c:scatterChart>
      <c:catAx>
        <c:axId val="681567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681567167"/>
        <c:crosses val="autoZero"/>
        <c:auto val="1"/>
        <c:lblAlgn val="ctr"/>
        <c:lblOffset val="100"/>
        <c:noMultiLvlLbl val="0"/>
      </c:catAx>
      <c:valAx>
        <c:axId val="6815671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681567999"/>
        <c:crosses val="autoZero"/>
        <c:crossBetween val="between"/>
      </c:valAx>
      <c:valAx>
        <c:axId val="681573823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one"/>
        <c:crossAx val="681568415"/>
        <c:crosses val="max"/>
        <c:crossBetween val="midCat"/>
      </c:valAx>
      <c:valAx>
        <c:axId val="681568415"/>
        <c:scaling>
          <c:orientation val="minMax"/>
          <c:max val="19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681573823"/>
        <c:crosses val="max"/>
        <c:crossBetween val="midCat"/>
        <c:majorUnit val="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VIPs (2 Comp / 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VIP(2)</c:v>
          </c:tx>
          <c:spPr>
            <a:solidFill>
              <a:srgbClr val="2A7498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'PLS-R'!$B$1302:$B$1320</c:f>
              <c:strCache>
                <c:ptCount val="19"/>
                <c:pt idx="0">
                  <c:v>PGA</c:v>
                </c:pt>
                <c:pt idx="1">
                  <c:v>HAND</c:v>
                </c:pt>
                <c:pt idx="2">
                  <c:v>BARREN</c:v>
                </c:pt>
                <c:pt idx="3">
                  <c:v>KSN</c:v>
                </c:pt>
                <c:pt idx="4">
                  <c:v>Q</c:v>
                </c:pt>
                <c:pt idx="5">
                  <c:v>ALTITUDE</c:v>
                </c:pt>
                <c:pt idx="6">
                  <c:v>CWR</c:v>
                </c:pt>
                <c:pt idx="7">
                  <c:v>SAND</c:v>
                </c:pt>
                <c:pt idx="8">
                  <c:v>P</c:v>
                </c:pt>
                <c:pt idx="9">
                  <c:v>DEM</c:v>
                </c:pt>
                <c:pt idx="10">
                  <c:v>CROPLAND</c:v>
                </c:pt>
                <c:pt idx="11">
                  <c:v>SRAD</c:v>
                </c:pt>
                <c:pt idx="12">
                  <c:v>POP</c:v>
                </c:pt>
                <c:pt idx="13">
                  <c:v>CANOPY</c:v>
                </c:pt>
                <c:pt idx="14">
                  <c:v>A</c:v>
                </c:pt>
                <c:pt idx="15">
                  <c:v>GLACIER</c:v>
                </c:pt>
                <c:pt idx="16">
                  <c:v>AET</c:v>
                </c:pt>
                <c:pt idx="17">
                  <c:v>FOREST</c:v>
                </c:pt>
                <c:pt idx="18">
                  <c:v>GLORED</c:v>
                </c:pt>
              </c:strCache>
            </c:strRef>
          </c:cat>
          <c:val>
            <c:numRef>
              <c:f>'PLS-R'!$G$1302:$G$1320</c:f>
              <c:numCache>
                <c:formatCode>0.000</c:formatCode>
                <c:ptCount val="19"/>
                <c:pt idx="0">
                  <c:v>1.7161952355859238</c:v>
                </c:pt>
                <c:pt idx="1">
                  <c:v>1.5562483460127909</c:v>
                </c:pt>
                <c:pt idx="2">
                  <c:v>1.5364662051705085</c:v>
                </c:pt>
                <c:pt idx="3">
                  <c:v>1.379261866771494</c:v>
                </c:pt>
                <c:pt idx="4">
                  <c:v>1.213903842751469</c:v>
                </c:pt>
                <c:pt idx="5">
                  <c:v>1.1234901706673459</c:v>
                </c:pt>
                <c:pt idx="6">
                  <c:v>1.0939409116542695</c:v>
                </c:pt>
                <c:pt idx="7">
                  <c:v>1.0415077930725678</c:v>
                </c:pt>
                <c:pt idx="8">
                  <c:v>0.97607892042589428</c:v>
                </c:pt>
                <c:pt idx="9">
                  <c:v>0.87389091050694556</c:v>
                </c:pt>
                <c:pt idx="10">
                  <c:v>0.92024915348052128</c:v>
                </c:pt>
                <c:pt idx="11">
                  <c:v>0.72297793518420572</c:v>
                </c:pt>
                <c:pt idx="12">
                  <c:v>0.70257724702110813</c:v>
                </c:pt>
                <c:pt idx="13">
                  <c:v>0.60564787629994032</c:v>
                </c:pt>
                <c:pt idx="14">
                  <c:v>0.32626289492354721</c:v>
                </c:pt>
                <c:pt idx="15">
                  <c:v>0.3000667865821342</c:v>
                </c:pt>
                <c:pt idx="16">
                  <c:v>0.33005552918165959</c:v>
                </c:pt>
                <c:pt idx="17">
                  <c:v>0.23582179878456855</c:v>
                </c:pt>
                <c:pt idx="18">
                  <c:v>0.21214182053554248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7-40AB-80D5-5FF5CB519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681570911"/>
        <c:axId val="681571743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19</c:v>
              </c:pt>
            </c:numLit>
          </c:xVal>
          <c:yVal>
            <c:numLit>
              <c:formatCode>General</c:formatCode>
              <c:ptCount val="2"/>
              <c:pt idx="0">
                <c:v>0.8</c:v>
              </c:pt>
              <c:pt idx="1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07-40AB-80D5-5FF5CB5199CC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19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07-40AB-80D5-5FF5CB519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568831"/>
        <c:axId val="681570495"/>
      </c:scatterChart>
      <c:catAx>
        <c:axId val="681570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681571743"/>
        <c:crosses val="autoZero"/>
        <c:auto val="1"/>
        <c:lblAlgn val="ctr"/>
        <c:lblOffset val="100"/>
        <c:noMultiLvlLbl val="0"/>
      </c:catAx>
      <c:valAx>
        <c:axId val="68157174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681570911"/>
        <c:crosses val="autoZero"/>
        <c:crossBetween val="between"/>
      </c:valAx>
      <c:valAx>
        <c:axId val="681570495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one"/>
        <c:crossAx val="681568831"/>
        <c:crosses val="max"/>
        <c:crossBetween val="midCat"/>
      </c:valAx>
      <c:valAx>
        <c:axId val="681568831"/>
        <c:scaling>
          <c:orientation val="minMax"/>
          <c:max val="19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681570495"/>
        <c:crosses val="max"/>
        <c:crossBetween val="midCat"/>
        <c:majorUnit val="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VIPs (3 Comp / 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VIP(3)</c:v>
          </c:tx>
          <c:spPr>
            <a:solidFill>
              <a:srgbClr val="2A7498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'PLS-R'!$B$1302:$B$1320</c:f>
              <c:strCache>
                <c:ptCount val="19"/>
                <c:pt idx="0">
                  <c:v>PGA</c:v>
                </c:pt>
                <c:pt idx="1">
                  <c:v>HAND</c:v>
                </c:pt>
                <c:pt idx="2">
                  <c:v>BARREN</c:v>
                </c:pt>
                <c:pt idx="3">
                  <c:v>KSN</c:v>
                </c:pt>
                <c:pt idx="4">
                  <c:v>Q</c:v>
                </c:pt>
                <c:pt idx="5">
                  <c:v>ALTITUDE</c:v>
                </c:pt>
                <c:pt idx="6">
                  <c:v>CWR</c:v>
                </c:pt>
                <c:pt idx="7">
                  <c:v>SAND</c:v>
                </c:pt>
                <c:pt idx="8">
                  <c:v>P</c:v>
                </c:pt>
                <c:pt idx="9">
                  <c:v>DEM</c:v>
                </c:pt>
                <c:pt idx="10">
                  <c:v>CROPLAND</c:v>
                </c:pt>
                <c:pt idx="11">
                  <c:v>SRAD</c:v>
                </c:pt>
                <c:pt idx="12">
                  <c:v>POP</c:v>
                </c:pt>
                <c:pt idx="13">
                  <c:v>CANOPY</c:v>
                </c:pt>
                <c:pt idx="14">
                  <c:v>A</c:v>
                </c:pt>
                <c:pt idx="15">
                  <c:v>GLACIER</c:v>
                </c:pt>
                <c:pt idx="16">
                  <c:v>AET</c:v>
                </c:pt>
                <c:pt idx="17">
                  <c:v>FOREST</c:v>
                </c:pt>
                <c:pt idx="18">
                  <c:v>GLORED</c:v>
                </c:pt>
              </c:strCache>
            </c:strRef>
          </c:cat>
          <c:val>
            <c:numRef>
              <c:f>'PLS-R'!$K$1302:$K$1320</c:f>
              <c:numCache>
                <c:formatCode>0.000</c:formatCode>
                <c:ptCount val="19"/>
                <c:pt idx="0">
                  <c:v>1.6844892255716968</c:v>
                </c:pt>
                <c:pt idx="1">
                  <c:v>1.5043497049331271</c:v>
                </c:pt>
                <c:pt idx="2">
                  <c:v>1.4865696076269734</c:v>
                </c:pt>
                <c:pt idx="3">
                  <c:v>1.3329149326837217</c:v>
                </c:pt>
                <c:pt idx="4">
                  <c:v>1.2211604023729845</c:v>
                </c:pt>
                <c:pt idx="5">
                  <c:v>1.0884656207476537</c:v>
                </c:pt>
                <c:pt idx="6">
                  <c:v>1.0851099349874396</c:v>
                </c:pt>
                <c:pt idx="7">
                  <c:v>1.064745259017682</c:v>
                </c:pt>
                <c:pt idx="8">
                  <c:v>0.97414227821014765</c:v>
                </c:pt>
                <c:pt idx="9">
                  <c:v>0.9254234831519107</c:v>
                </c:pt>
                <c:pt idx="10">
                  <c:v>0.88944232702328652</c:v>
                </c:pt>
                <c:pt idx="11">
                  <c:v>0.73622802513949237</c:v>
                </c:pt>
                <c:pt idx="12">
                  <c:v>0.68186568805063086</c:v>
                </c:pt>
                <c:pt idx="13">
                  <c:v>0.60494722489598773</c:v>
                </c:pt>
                <c:pt idx="14">
                  <c:v>0.6137807403062544</c:v>
                </c:pt>
                <c:pt idx="15">
                  <c:v>0.56769413902759924</c:v>
                </c:pt>
                <c:pt idx="16">
                  <c:v>0.37119485942794905</c:v>
                </c:pt>
                <c:pt idx="17">
                  <c:v>0.22955397168779582</c:v>
                </c:pt>
                <c:pt idx="18">
                  <c:v>0.25855989918986078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C-4352-B6B4-11790EB1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681572159"/>
        <c:axId val="681566335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19</c:v>
              </c:pt>
            </c:numLit>
          </c:xVal>
          <c:yVal>
            <c:numLit>
              <c:formatCode>General</c:formatCode>
              <c:ptCount val="2"/>
              <c:pt idx="0">
                <c:v>0.8</c:v>
              </c:pt>
              <c:pt idx="1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C2C-4352-B6B4-11790EB111AE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19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C2C-4352-B6B4-11790EB1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572991"/>
        <c:axId val="681572575"/>
      </c:scatterChart>
      <c:catAx>
        <c:axId val="681572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681566335"/>
        <c:crosses val="autoZero"/>
        <c:auto val="1"/>
        <c:lblAlgn val="ctr"/>
        <c:lblOffset val="100"/>
        <c:noMultiLvlLbl val="0"/>
      </c:catAx>
      <c:valAx>
        <c:axId val="6815663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681572159"/>
        <c:crosses val="autoZero"/>
        <c:crossBetween val="between"/>
      </c:valAx>
      <c:valAx>
        <c:axId val="681572575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one"/>
        <c:crossAx val="681572991"/>
        <c:crosses val="max"/>
        <c:crossBetween val="midCat"/>
      </c:valAx>
      <c:valAx>
        <c:axId val="681572991"/>
        <c:scaling>
          <c:orientation val="minMax"/>
          <c:max val="19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681572575"/>
        <c:crosses val="max"/>
        <c:crossBetween val="midCat"/>
        <c:majorUnit val="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VIPs (4 Comp / 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VIP(4)</c:v>
          </c:tx>
          <c:spPr>
            <a:solidFill>
              <a:srgbClr val="2A7498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'PLS-R'!$B$1302:$B$1320</c:f>
              <c:strCache>
                <c:ptCount val="19"/>
                <c:pt idx="0">
                  <c:v>PGA</c:v>
                </c:pt>
                <c:pt idx="1">
                  <c:v>HAND</c:v>
                </c:pt>
                <c:pt idx="2">
                  <c:v>BARREN</c:v>
                </c:pt>
                <c:pt idx="3">
                  <c:v>KSN</c:v>
                </c:pt>
                <c:pt idx="4">
                  <c:v>Q</c:v>
                </c:pt>
                <c:pt idx="5">
                  <c:v>ALTITUDE</c:v>
                </c:pt>
                <c:pt idx="6">
                  <c:v>CWR</c:v>
                </c:pt>
                <c:pt idx="7">
                  <c:v>SAND</c:v>
                </c:pt>
                <c:pt idx="8">
                  <c:v>P</c:v>
                </c:pt>
                <c:pt idx="9">
                  <c:v>DEM</c:v>
                </c:pt>
                <c:pt idx="10">
                  <c:v>CROPLAND</c:v>
                </c:pt>
                <c:pt idx="11">
                  <c:v>SRAD</c:v>
                </c:pt>
                <c:pt idx="12">
                  <c:v>POP</c:v>
                </c:pt>
                <c:pt idx="13">
                  <c:v>CANOPY</c:v>
                </c:pt>
                <c:pt idx="14">
                  <c:v>A</c:v>
                </c:pt>
                <c:pt idx="15">
                  <c:v>GLACIER</c:v>
                </c:pt>
                <c:pt idx="16">
                  <c:v>AET</c:v>
                </c:pt>
                <c:pt idx="17">
                  <c:v>FOREST</c:v>
                </c:pt>
                <c:pt idx="18">
                  <c:v>GLORED</c:v>
                </c:pt>
              </c:strCache>
            </c:strRef>
          </c:cat>
          <c:val>
            <c:numRef>
              <c:f>'PLS-R'!$O$1302:$O$1320</c:f>
              <c:numCache>
                <c:formatCode>0.000</c:formatCode>
                <c:ptCount val="19"/>
                <c:pt idx="0">
                  <c:v>1.6651265665030575</c:v>
                </c:pt>
                <c:pt idx="1">
                  <c:v>1.4861107730821081</c:v>
                </c:pt>
                <c:pt idx="2">
                  <c:v>1.469455120763719</c:v>
                </c:pt>
                <c:pt idx="3">
                  <c:v>1.3245097034842763</c:v>
                </c:pt>
                <c:pt idx="4">
                  <c:v>1.2061651659971651</c:v>
                </c:pt>
                <c:pt idx="5">
                  <c:v>1.094493943473603</c:v>
                </c:pt>
                <c:pt idx="6">
                  <c:v>1.0713444185844214</c:v>
                </c:pt>
                <c:pt idx="7">
                  <c:v>1.0658368113794239</c:v>
                </c:pt>
                <c:pt idx="8">
                  <c:v>0.97416335853058356</c:v>
                </c:pt>
                <c:pt idx="9">
                  <c:v>0.91446260435282478</c:v>
                </c:pt>
                <c:pt idx="10">
                  <c:v>0.90393132102266993</c:v>
                </c:pt>
                <c:pt idx="11">
                  <c:v>0.73989455082225186</c:v>
                </c:pt>
                <c:pt idx="12">
                  <c:v>0.6746191950378051</c:v>
                </c:pt>
                <c:pt idx="13">
                  <c:v>0.62028413683450934</c:v>
                </c:pt>
                <c:pt idx="14">
                  <c:v>0.61226953146796514</c:v>
                </c:pt>
                <c:pt idx="15">
                  <c:v>0.56364736858019338</c:v>
                </c:pt>
                <c:pt idx="16">
                  <c:v>0.51891029362822272</c:v>
                </c:pt>
                <c:pt idx="17">
                  <c:v>0.34337034903650288</c:v>
                </c:pt>
                <c:pt idx="18">
                  <c:v>0.31509813178399465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B-4C3B-8133-8E829B55A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82145871"/>
        <c:axId val="681566751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19</c:v>
              </c:pt>
            </c:numLit>
          </c:xVal>
          <c:yVal>
            <c:numLit>
              <c:formatCode>General</c:formatCode>
              <c:ptCount val="2"/>
              <c:pt idx="0">
                <c:v>0.8</c:v>
              </c:pt>
              <c:pt idx="1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ABB-4C3B-8133-8E829B55A52A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19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ABB-4C3B-8133-8E829B55A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614511"/>
        <c:axId val="389612847"/>
      </c:scatterChart>
      <c:catAx>
        <c:axId val="382145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681566751"/>
        <c:crosses val="autoZero"/>
        <c:auto val="1"/>
        <c:lblAlgn val="ctr"/>
        <c:lblOffset val="100"/>
        <c:noMultiLvlLbl val="0"/>
      </c:catAx>
      <c:valAx>
        <c:axId val="6815667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2145871"/>
        <c:crosses val="autoZero"/>
        <c:crossBetween val="between"/>
      </c:valAx>
      <c:valAx>
        <c:axId val="389612847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one"/>
        <c:crossAx val="389614511"/>
        <c:crosses val="max"/>
        <c:crossBetween val="midCat"/>
      </c:valAx>
      <c:valAx>
        <c:axId val="389614511"/>
        <c:scaling>
          <c:orientation val="minMax"/>
          <c:max val="19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389612847"/>
        <c:crosses val="max"/>
        <c:crossBetween val="midCat"/>
        <c:majorUnit val="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SY / Standardized coefficients(95%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3B8-462C-AF41-4C63B27CB7CE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03B8-462C-AF41-4C63B27CB7CE}"/>
              </c:ext>
            </c:extLst>
          </c:dPt>
          <c:dPt>
            <c:idx val="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3B8-462C-AF41-4C63B27CB7CE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03B8-462C-AF41-4C63B27CB7CE}"/>
              </c:ext>
            </c:extLst>
          </c:dPt>
          <c:dPt>
            <c:idx val="4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3B8-462C-AF41-4C63B27CB7CE}"/>
              </c:ext>
            </c:extLst>
          </c:dPt>
          <c:dPt>
            <c:idx val="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03B8-462C-AF41-4C63B27CB7CE}"/>
              </c:ext>
            </c:extLst>
          </c:dPt>
          <c:dPt>
            <c:idx val="6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3B8-462C-AF41-4C63B27CB7CE}"/>
              </c:ext>
            </c:extLst>
          </c:dPt>
          <c:dPt>
            <c:idx val="7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03B8-462C-AF41-4C63B27CB7CE}"/>
              </c:ext>
            </c:extLst>
          </c:dPt>
          <c:dPt>
            <c:idx val="8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3B8-462C-AF41-4C63B27CB7CE}"/>
              </c:ext>
            </c:extLst>
          </c:dPt>
          <c:dPt>
            <c:idx val="9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03B8-462C-AF41-4C63B27CB7CE}"/>
              </c:ext>
            </c:extLst>
          </c:dPt>
          <c:dPt>
            <c:idx val="1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3B8-462C-AF41-4C63B27CB7CE}"/>
              </c:ext>
            </c:extLst>
          </c:dPt>
          <c:dPt>
            <c:idx val="1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03B8-462C-AF41-4C63B27CB7CE}"/>
              </c:ext>
            </c:extLst>
          </c:dPt>
          <c:dPt>
            <c:idx val="1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3B8-462C-AF41-4C63B27CB7CE}"/>
              </c:ext>
            </c:extLst>
          </c:dPt>
          <c:dPt>
            <c:idx val="1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03B8-462C-AF41-4C63B27CB7CE}"/>
              </c:ext>
            </c:extLst>
          </c:dPt>
          <c:dPt>
            <c:idx val="1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03B8-462C-AF41-4C63B27CB7CE}"/>
              </c:ext>
            </c:extLst>
          </c:dPt>
          <c:dPt>
            <c:idx val="1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03B8-462C-AF41-4C63B27CB7CE}"/>
              </c:ext>
            </c:extLst>
          </c:dPt>
          <c:dPt>
            <c:idx val="16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03B8-462C-AF41-4C63B27CB7CE}"/>
              </c:ext>
            </c:extLst>
          </c:dPt>
          <c:dPt>
            <c:idx val="17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03B8-462C-AF41-4C63B27CB7CE}"/>
              </c:ext>
            </c:extLst>
          </c:dPt>
          <c:dPt>
            <c:idx val="18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03B8-462C-AF41-4C63B27CB7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19"/>
                <c:pt idx="0">
                  <c:v>0.16529209650116716</c:v>
                </c:pt>
                <c:pt idx="1">
                  <c:v>0.15191987885411445</c:v>
                </c:pt>
                <c:pt idx="2">
                  <c:v>0.16349825408544785</c:v>
                </c:pt>
                <c:pt idx="3">
                  <c:v>0.19983348949751883</c:v>
                </c:pt>
                <c:pt idx="4">
                  <c:v>0.13482762785731578</c:v>
                </c:pt>
                <c:pt idx="5">
                  <c:v>0.15481965976736178</c:v>
                </c:pt>
                <c:pt idx="6">
                  <c:v>0.10574627123395941</c:v>
                </c:pt>
                <c:pt idx="7">
                  <c:v>0.15332166997476171</c:v>
                </c:pt>
                <c:pt idx="8">
                  <c:v>8.7929894802429714E-2</c:v>
                </c:pt>
                <c:pt idx="9">
                  <c:v>0.11681837145817639</c:v>
                </c:pt>
                <c:pt idx="10">
                  <c:v>0.1556294129224349</c:v>
                </c:pt>
                <c:pt idx="11">
                  <c:v>0.15236593294612738</c:v>
                </c:pt>
                <c:pt idx="12">
                  <c:v>0.19702678011611122</c:v>
                </c:pt>
                <c:pt idx="13">
                  <c:v>0.12942365097228031</c:v>
                </c:pt>
                <c:pt idx="14">
                  <c:v>0.1684677853452812</c:v>
                </c:pt>
                <c:pt idx="15">
                  <c:v>0.18653021615547113</c:v>
                </c:pt>
                <c:pt idx="16">
                  <c:v>6.035922071625513E-2</c:v>
                </c:pt>
                <c:pt idx="17">
                  <c:v>0.17559045287432007</c:v>
                </c:pt>
                <c:pt idx="18">
                  <c:v>0.19605867982803485</c:v>
                </c:pt>
              </c:numLit>
            </c:plus>
            <c:minus>
              <c:numLit>
                <c:formatCode>General</c:formatCode>
                <c:ptCount val="19"/>
                <c:pt idx="0">
                  <c:v>0.16529209650116716</c:v>
                </c:pt>
                <c:pt idx="1">
                  <c:v>0.15191987885411445</c:v>
                </c:pt>
                <c:pt idx="2">
                  <c:v>0.16349825408544783</c:v>
                </c:pt>
                <c:pt idx="3">
                  <c:v>0.19983348949751883</c:v>
                </c:pt>
                <c:pt idx="4">
                  <c:v>0.13482762785731578</c:v>
                </c:pt>
                <c:pt idx="5">
                  <c:v>0.15481965976736178</c:v>
                </c:pt>
                <c:pt idx="6">
                  <c:v>0.10574627123395941</c:v>
                </c:pt>
                <c:pt idx="7">
                  <c:v>0.15332166997476168</c:v>
                </c:pt>
                <c:pt idx="8">
                  <c:v>8.7929894802429701E-2</c:v>
                </c:pt>
                <c:pt idx="9">
                  <c:v>0.11681837145817639</c:v>
                </c:pt>
                <c:pt idx="10">
                  <c:v>0.1556294129224349</c:v>
                </c:pt>
                <c:pt idx="11">
                  <c:v>0.15236593294612738</c:v>
                </c:pt>
                <c:pt idx="12">
                  <c:v>0.19702678011611119</c:v>
                </c:pt>
                <c:pt idx="13">
                  <c:v>0.12942365097228031</c:v>
                </c:pt>
                <c:pt idx="14">
                  <c:v>0.1684677853452812</c:v>
                </c:pt>
                <c:pt idx="15">
                  <c:v>0.18653021615547116</c:v>
                </c:pt>
                <c:pt idx="16">
                  <c:v>6.035922071625513E-2</c:v>
                </c:pt>
                <c:pt idx="17">
                  <c:v>0.1755904528743201</c:v>
                </c:pt>
                <c:pt idx="18">
                  <c:v>0.19605867982803482</c:v>
                </c:pt>
              </c:numLit>
            </c:minus>
          </c:errBars>
          <c:cat>
            <c:strRef>
              <c:f>'PLS-R'!$B$1438:$B$1456</c:f>
              <c:strCache>
                <c:ptCount val="19"/>
                <c:pt idx="0">
                  <c:v>A</c:v>
                </c:pt>
                <c:pt idx="1">
                  <c:v>ALTITUDE</c:v>
                </c:pt>
                <c:pt idx="2">
                  <c:v>DEM</c:v>
                </c:pt>
                <c:pt idx="3">
                  <c:v>BARREN</c:v>
                </c:pt>
                <c:pt idx="4">
                  <c:v>CROPLAND</c:v>
                </c:pt>
                <c:pt idx="5">
                  <c:v>FOREST</c:v>
                </c:pt>
                <c:pt idx="6">
                  <c:v>KSN</c:v>
                </c:pt>
                <c:pt idx="7">
                  <c:v>POP</c:v>
                </c:pt>
                <c:pt idx="8">
                  <c:v>GLACIER</c:v>
                </c:pt>
                <c:pt idx="9">
                  <c:v>GLORED</c:v>
                </c:pt>
                <c:pt idx="10">
                  <c:v>Q</c:v>
                </c:pt>
                <c:pt idx="11">
                  <c:v>P</c:v>
                </c:pt>
                <c:pt idx="12">
                  <c:v>SRAD</c:v>
                </c:pt>
                <c:pt idx="13">
                  <c:v>AET</c:v>
                </c:pt>
                <c:pt idx="14">
                  <c:v>CANOPY</c:v>
                </c:pt>
                <c:pt idx="15">
                  <c:v>SAND</c:v>
                </c:pt>
                <c:pt idx="16">
                  <c:v>HAND</c:v>
                </c:pt>
                <c:pt idx="17">
                  <c:v>PGA</c:v>
                </c:pt>
                <c:pt idx="18">
                  <c:v>CWR</c:v>
                </c:pt>
              </c:strCache>
            </c:strRef>
          </c:cat>
          <c:val>
            <c:numRef>
              <c:f>'PLS-R'!$C$1438:$C$1456</c:f>
              <c:numCache>
                <c:formatCode>0.000</c:formatCode>
                <c:ptCount val="19"/>
                <c:pt idx="0">
                  <c:v>-5.7373512480359781E-2</c:v>
                </c:pt>
                <c:pt idx="1">
                  <c:v>-0.2329232566838853</c:v>
                </c:pt>
                <c:pt idx="2">
                  <c:v>0.12330007997667244</c:v>
                </c:pt>
                <c:pt idx="3">
                  <c:v>0.28128848789761884</c:v>
                </c:pt>
                <c:pt idx="4">
                  <c:v>-0.14283796338525578</c:v>
                </c:pt>
                <c:pt idx="5">
                  <c:v>5.3762364757822423E-2</c:v>
                </c:pt>
                <c:pt idx="6">
                  <c:v>0.10994302310738749</c:v>
                </c:pt>
                <c:pt idx="7">
                  <c:v>7.3938349238796455E-2</c:v>
                </c:pt>
                <c:pt idx="8">
                  <c:v>-5.2981348232944522E-2</c:v>
                </c:pt>
                <c:pt idx="9">
                  <c:v>-6.8378954279784375E-3</c:v>
                </c:pt>
                <c:pt idx="10">
                  <c:v>-0.16162361924604732</c:v>
                </c:pt>
                <c:pt idx="11">
                  <c:v>-0.10629968269347299</c:v>
                </c:pt>
                <c:pt idx="12">
                  <c:v>-0.14337335423549469</c:v>
                </c:pt>
                <c:pt idx="13">
                  <c:v>0.12582671750333863</c:v>
                </c:pt>
                <c:pt idx="14">
                  <c:v>-9.7771702731529846E-3</c:v>
                </c:pt>
                <c:pt idx="15">
                  <c:v>0.12417299301594345</c:v>
                </c:pt>
                <c:pt idx="16">
                  <c:v>0.17258741774602468</c:v>
                </c:pt>
                <c:pt idx="17">
                  <c:v>0.4063384423146349</c:v>
                </c:pt>
                <c:pt idx="18">
                  <c:v>-0.12651308206534373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B8-462C-AF41-4C63B27CB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89611599"/>
        <c:axId val="389609103"/>
      </c:barChart>
      <c:catAx>
        <c:axId val="389611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ru-RU"/>
          </a:p>
        </c:txPr>
        <c:crossAx val="389609103"/>
        <c:crosses val="autoZero"/>
        <c:auto val="1"/>
        <c:lblAlgn val="ctr"/>
        <c:lblOffset val="100"/>
        <c:noMultiLvlLbl val="0"/>
      </c:catAx>
      <c:valAx>
        <c:axId val="38960910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961159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SY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'PLS-R'!$D$1482:$D$1723</c:f>
              <c:numCache>
                <c:formatCode>0.000</c:formatCode>
                <c:ptCount val="242"/>
                <c:pt idx="0">
                  <c:v>2.88536122003151</c:v>
                </c:pt>
                <c:pt idx="1">
                  <c:v>2.1945143418824702</c:v>
                </c:pt>
                <c:pt idx="2">
                  <c:v>2.3010299956639799</c:v>
                </c:pt>
                <c:pt idx="3">
                  <c:v>2.9827233876685502</c:v>
                </c:pt>
                <c:pt idx="4">
                  <c:v>3.18752072083646</c:v>
                </c:pt>
                <c:pt idx="5">
                  <c:v>3.02448566769917</c:v>
                </c:pt>
                <c:pt idx="6">
                  <c:v>2.8779469516291898</c:v>
                </c:pt>
                <c:pt idx="7">
                  <c:v>3.2281436075977399</c:v>
                </c:pt>
                <c:pt idx="8">
                  <c:v>2.9680157139936401</c:v>
                </c:pt>
                <c:pt idx="9">
                  <c:v>2.0128372247051698</c:v>
                </c:pt>
                <c:pt idx="10">
                  <c:v>2.8830933585756902</c:v>
                </c:pt>
                <c:pt idx="11">
                  <c:v>3.6127838567197399</c:v>
                </c:pt>
                <c:pt idx="12">
                  <c:v>3.1139433523068401</c:v>
                </c:pt>
                <c:pt idx="13">
                  <c:v>3.4323277922615998</c:v>
                </c:pt>
                <c:pt idx="14">
                  <c:v>2.8573324964312699</c:v>
                </c:pt>
                <c:pt idx="15">
                  <c:v>1.6989700043360201</c:v>
                </c:pt>
                <c:pt idx="16">
                  <c:v>2.9790929006383302</c:v>
                </c:pt>
                <c:pt idx="17">
                  <c:v>2.8597385661971502</c:v>
                </c:pt>
                <c:pt idx="18">
                  <c:v>2.8202014594856402</c:v>
                </c:pt>
                <c:pt idx="19">
                  <c:v>3.5453071164658199</c:v>
                </c:pt>
                <c:pt idx="20">
                  <c:v>3.1139433523068401</c:v>
                </c:pt>
                <c:pt idx="21">
                  <c:v>2.89762709129044</c:v>
                </c:pt>
                <c:pt idx="22">
                  <c:v>3.2662316966898901</c:v>
                </c:pt>
                <c:pt idx="23">
                  <c:v>3</c:v>
                </c:pt>
                <c:pt idx="24">
                  <c:v>3.4471580313422203</c:v>
                </c:pt>
                <c:pt idx="25">
                  <c:v>2.6901960800285099</c:v>
                </c:pt>
                <c:pt idx="26">
                  <c:v>1.4471580313422201</c:v>
                </c:pt>
                <c:pt idx="27">
                  <c:v>2.8350561017201201</c:v>
                </c:pt>
                <c:pt idx="28">
                  <c:v>2.93951925261862</c:v>
                </c:pt>
                <c:pt idx="29">
                  <c:v>2.1522883443830598</c:v>
                </c:pt>
                <c:pt idx="30">
                  <c:v>3.13321945673249</c:v>
                </c:pt>
                <c:pt idx="31">
                  <c:v>1.3979400086720399</c:v>
                </c:pt>
                <c:pt idx="32">
                  <c:v>1.88081359228079</c:v>
                </c:pt>
                <c:pt idx="33">
                  <c:v>3.1755118133634501</c:v>
                </c:pt>
                <c:pt idx="34">
                  <c:v>2.6190933306267401</c:v>
                </c:pt>
                <c:pt idx="35">
                  <c:v>2.2624510897304302</c:v>
                </c:pt>
                <c:pt idx="36">
                  <c:v>2.3424226808222102</c:v>
                </c:pt>
                <c:pt idx="37">
                  <c:v>3.23754373814287</c:v>
                </c:pt>
                <c:pt idx="38">
                  <c:v>2.6263403673750401</c:v>
                </c:pt>
                <c:pt idx="39">
                  <c:v>0.69897000433601897</c:v>
                </c:pt>
                <c:pt idx="40">
                  <c:v>1.3979400086720399</c:v>
                </c:pt>
                <c:pt idx="41">
                  <c:v>2.3443922736851102</c:v>
                </c:pt>
                <c:pt idx="42">
                  <c:v>2.1271047983648099</c:v>
                </c:pt>
                <c:pt idx="43">
                  <c:v>3.1112625136590699</c:v>
                </c:pt>
                <c:pt idx="44">
                  <c:v>2.04139268515822</c:v>
                </c:pt>
                <c:pt idx="45">
                  <c:v>3.1089031276673098</c:v>
                </c:pt>
                <c:pt idx="46">
                  <c:v>1.3664229572259701</c:v>
                </c:pt>
                <c:pt idx="47">
                  <c:v>1.5797835966168099</c:v>
                </c:pt>
                <c:pt idx="48">
                  <c:v>0.95424250943932498</c:v>
                </c:pt>
                <c:pt idx="49">
                  <c:v>2.5502283530550902</c:v>
                </c:pt>
                <c:pt idx="50">
                  <c:v>2.2671717284030102</c:v>
                </c:pt>
                <c:pt idx="51">
                  <c:v>1.6901960800285103</c:v>
                </c:pt>
                <c:pt idx="52">
                  <c:v>1.90308998699194</c:v>
                </c:pt>
                <c:pt idx="53">
                  <c:v>2.85369821177617</c:v>
                </c:pt>
                <c:pt idx="54">
                  <c:v>1.8195439355418701</c:v>
                </c:pt>
                <c:pt idx="55">
                  <c:v>2.2121876044039599</c:v>
                </c:pt>
                <c:pt idx="56">
                  <c:v>2.6434526764861901</c:v>
                </c:pt>
                <c:pt idx="57">
                  <c:v>1.4771212547196599</c:v>
                </c:pt>
                <c:pt idx="58">
                  <c:v>1.43136376415899</c:v>
                </c:pt>
                <c:pt idx="59">
                  <c:v>1.4771212547196599</c:v>
                </c:pt>
                <c:pt idx="60">
                  <c:v>1.79865064544527</c:v>
                </c:pt>
                <c:pt idx="61">
                  <c:v>2.17318626841227</c:v>
                </c:pt>
                <c:pt idx="62">
                  <c:v>0.89762709129044094</c:v>
                </c:pt>
                <c:pt idx="63">
                  <c:v>1.91381385238372</c:v>
                </c:pt>
                <c:pt idx="64">
                  <c:v>2.6901960800285099</c:v>
                </c:pt>
                <c:pt idx="65">
                  <c:v>2.4183012913197501</c:v>
                </c:pt>
                <c:pt idx="66">
                  <c:v>1.6020599913279601</c:v>
                </c:pt>
                <c:pt idx="67">
                  <c:v>1.98136550907854</c:v>
                </c:pt>
                <c:pt idx="68">
                  <c:v>2.5051499783199098</c:v>
                </c:pt>
                <c:pt idx="69">
                  <c:v>2.6020599913279598</c:v>
                </c:pt>
                <c:pt idx="70">
                  <c:v>1.86923171973098</c:v>
                </c:pt>
                <c:pt idx="71">
                  <c:v>2.53147891704225</c:v>
                </c:pt>
                <c:pt idx="72">
                  <c:v>1.5563025007672899</c:v>
                </c:pt>
                <c:pt idx="73">
                  <c:v>1.76342799356294</c:v>
                </c:pt>
                <c:pt idx="74">
                  <c:v>1.4471580313422201</c:v>
                </c:pt>
                <c:pt idx="75">
                  <c:v>2.1139433523068401</c:v>
                </c:pt>
                <c:pt idx="76">
                  <c:v>2.2900346113625201</c:v>
                </c:pt>
                <c:pt idx="77">
                  <c:v>1.91907809237607</c:v>
                </c:pt>
                <c:pt idx="78">
                  <c:v>1.94448267215017</c:v>
                </c:pt>
                <c:pt idx="79">
                  <c:v>2.80482067872116</c:v>
                </c:pt>
                <c:pt idx="80">
                  <c:v>1.72427586960079</c:v>
                </c:pt>
                <c:pt idx="81">
                  <c:v>1.2041199826559199</c:v>
                </c:pt>
                <c:pt idx="82">
                  <c:v>2.1789769472931702</c:v>
                </c:pt>
                <c:pt idx="83">
                  <c:v>2.2041199826559201</c:v>
                </c:pt>
                <c:pt idx="84">
                  <c:v>2.4265112613645798</c:v>
                </c:pt>
                <c:pt idx="85">
                  <c:v>1.7558748556724899</c:v>
                </c:pt>
                <c:pt idx="86">
                  <c:v>2.2405492482825999</c:v>
                </c:pt>
                <c:pt idx="87">
                  <c:v>2.2041199826559201</c:v>
                </c:pt>
                <c:pt idx="88">
                  <c:v>2.2624510897304302</c:v>
                </c:pt>
                <c:pt idx="89">
                  <c:v>2.63648789635337</c:v>
                </c:pt>
                <c:pt idx="90">
                  <c:v>1.2304489213782701</c:v>
                </c:pt>
                <c:pt idx="91">
                  <c:v>1.6989700043360201</c:v>
                </c:pt>
                <c:pt idx="92">
                  <c:v>1.1553360374650601</c:v>
                </c:pt>
                <c:pt idx="93">
                  <c:v>1.9493900066449099</c:v>
                </c:pt>
                <c:pt idx="94">
                  <c:v>2.14612803567824</c:v>
                </c:pt>
                <c:pt idx="95">
                  <c:v>2.6020599913279598</c:v>
                </c:pt>
                <c:pt idx="96">
                  <c:v>1.3802112417116099</c:v>
                </c:pt>
                <c:pt idx="97">
                  <c:v>2.2041199826559201</c:v>
                </c:pt>
                <c:pt idx="98">
                  <c:v>1.8750612633917001</c:v>
                </c:pt>
                <c:pt idx="99">
                  <c:v>2</c:v>
                </c:pt>
                <c:pt idx="100">
                  <c:v>2.3304137733491901</c:v>
                </c:pt>
                <c:pt idx="101">
                  <c:v>2.2900346113625201</c:v>
                </c:pt>
                <c:pt idx="102">
                  <c:v>2.5797835966168101</c:v>
                </c:pt>
                <c:pt idx="103">
                  <c:v>1.50514997831991</c:v>
                </c:pt>
                <c:pt idx="104">
                  <c:v>2.49136169383427</c:v>
                </c:pt>
                <c:pt idx="105">
                  <c:v>1.82607480270083</c:v>
                </c:pt>
                <c:pt idx="106">
                  <c:v>2.1139433523068401</c:v>
                </c:pt>
                <c:pt idx="107">
                  <c:v>1.9493900066449099</c:v>
                </c:pt>
                <c:pt idx="108">
                  <c:v>2.6127838567197399</c:v>
                </c:pt>
                <c:pt idx="109">
                  <c:v>2.7007037171450201</c:v>
                </c:pt>
                <c:pt idx="110">
                  <c:v>2.2304489213782701</c:v>
                </c:pt>
                <c:pt idx="111">
                  <c:v>1.4771212547196599</c:v>
                </c:pt>
                <c:pt idx="112">
                  <c:v>2.3961993470957399</c:v>
                </c:pt>
                <c:pt idx="113">
                  <c:v>2.7573960287930199</c:v>
                </c:pt>
                <c:pt idx="114">
                  <c:v>1.9731278535997001</c:v>
                </c:pt>
                <c:pt idx="115">
                  <c:v>2.3096301674259001</c:v>
                </c:pt>
                <c:pt idx="116">
                  <c:v>2.2304489213782701</c:v>
                </c:pt>
                <c:pt idx="117">
                  <c:v>2.4814426285022999</c:v>
                </c:pt>
                <c:pt idx="118">
                  <c:v>2.7084209001347102</c:v>
                </c:pt>
                <c:pt idx="119">
                  <c:v>2.1789769472931702</c:v>
                </c:pt>
                <c:pt idx="120">
                  <c:v>2.33645973384853</c:v>
                </c:pt>
                <c:pt idx="121">
                  <c:v>2.4712917110589401</c:v>
                </c:pt>
                <c:pt idx="122">
                  <c:v>2.0086001717619202</c:v>
                </c:pt>
                <c:pt idx="123">
                  <c:v>2.59769518592551</c:v>
                </c:pt>
                <c:pt idx="124">
                  <c:v>2.4623979978989601</c:v>
                </c:pt>
                <c:pt idx="125">
                  <c:v>2.3201462861110498</c:v>
                </c:pt>
                <c:pt idx="126">
                  <c:v>2.5611013836490599</c:v>
                </c:pt>
                <c:pt idx="127">
                  <c:v>3.17609125905568</c:v>
                </c:pt>
                <c:pt idx="128">
                  <c:v>1.8573324964312701</c:v>
                </c:pt>
                <c:pt idx="129">
                  <c:v>2.3324384599156098</c:v>
                </c:pt>
                <c:pt idx="130">
                  <c:v>2.3263358609287499</c:v>
                </c:pt>
                <c:pt idx="131">
                  <c:v>2.1139433523068401</c:v>
                </c:pt>
                <c:pt idx="132">
                  <c:v>2.2148438480477002</c:v>
                </c:pt>
                <c:pt idx="133">
                  <c:v>2.2405492482825999</c:v>
                </c:pt>
                <c:pt idx="134">
                  <c:v>1.86923171973098</c:v>
                </c:pt>
                <c:pt idx="135">
                  <c:v>2.0334237554869499</c:v>
                </c:pt>
                <c:pt idx="136">
                  <c:v>1.77085201164214</c:v>
                </c:pt>
                <c:pt idx="137">
                  <c:v>1.3802112417116099</c:v>
                </c:pt>
                <c:pt idx="138">
                  <c:v>1.8573324964312701</c:v>
                </c:pt>
                <c:pt idx="139">
                  <c:v>2.17609125905568</c:v>
                </c:pt>
                <c:pt idx="140">
                  <c:v>2.2624510897304302</c:v>
                </c:pt>
                <c:pt idx="141">
                  <c:v>2.63648789635337</c:v>
                </c:pt>
                <c:pt idx="142">
                  <c:v>2.3820170425748701</c:v>
                </c:pt>
                <c:pt idx="143">
                  <c:v>2.1492191126553801</c:v>
                </c:pt>
                <c:pt idx="144">
                  <c:v>2.2174839442139098</c:v>
                </c:pt>
                <c:pt idx="145">
                  <c:v>2.3096301674259001</c:v>
                </c:pt>
                <c:pt idx="146">
                  <c:v>2.3729120029701098</c:v>
                </c:pt>
                <c:pt idx="147">
                  <c:v>2.45636603312904</c:v>
                </c:pt>
                <c:pt idx="148">
                  <c:v>2.5352941200427699</c:v>
                </c:pt>
                <c:pt idx="149">
                  <c:v>2.6541765418779599</c:v>
                </c:pt>
                <c:pt idx="150">
                  <c:v>2.9532763366673001</c:v>
                </c:pt>
                <c:pt idx="151">
                  <c:v>2.6720978579357202</c:v>
                </c:pt>
                <c:pt idx="152">
                  <c:v>2.6127838567197399</c:v>
                </c:pt>
                <c:pt idx="153">
                  <c:v>2.7403626894942401</c:v>
                </c:pt>
                <c:pt idx="154">
                  <c:v>2.43136376415899</c:v>
                </c:pt>
                <c:pt idx="155">
                  <c:v>2.93951925261862</c:v>
                </c:pt>
                <c:pt idx="156">
                  <c:v>3.04139268515822</c:v>
                </c:pt>
                <c:pt idx="157">
                  <c:v>2.43136376415899</c:v>
                </c:pt>
                <c:pt idx="158">
                  <c:v>2.6989700043360201</c:v>
                </c:pt>
                <c:pt idx="159">
                  <c:v>2.36172783601759</c:v>
                </c:pt>
                <c:pt idx="160">
                  <c:v>2.6127838567197399</c:v>
                </c:pt>
                <c:pt idx="161">
                  <c:v>2.82607480270083</c:v>
                </c:pt>
                <c:pt idx="162">
                  <c:v>2.8325089127062402</c:v>
                </c:pt>
                <c:pt idx="163">
                  <c:v>2.7993405494535799</c:v>
                </c:pt>
                <c:pt idx="164">
                  <c:v>2.2304489213782701</c:v>
                </c:pt>
                <c:pt idx="165">
                  <c:v>2.6232492903978999</c:v>
                </c:pt>
                <c:pt idx="166">
                  <c:v>2.5563025007672899</c:v>
                </c:pt>
                <c:pt idx="167">
                  <c:v>1.65321251377534</c:v>
                </c:pt>
                <c:pt idx="168">
                  <c:v>1.93951925261862</c:v>
                </c:pt>
                <c:pt idx="169">
                  <c:v>1.90308998699194</c:v>
                </c:pt>
                <c:pt idx="170">
                  <c:v>1.9777236052888501</c:v>
                </c:pt>
                <c:pt idx="171">
                  <c:v>1.8573324964312701</c:v>
                </c:pt>
                <c:pt idx="172">
                  <c:v>1.77085201164214</c:v>
                </c:pt>
                <c:pt idx="173">
                  <c:v>2.17609125905568</c:v>
                </c:pt>
                <c:pt idx="174">
                  <c:v>2</c:v>
                </c:pt>
                <c:pt idx="175">
                  <c:v>2.3010299956639799</c:v>
                </c:pt>
                <c:pt idx="176">
                  <c:v>2.17609125905568</c:v>
                </c:pt>
                <c:pt idx="177">
                  <c:v>2.1613680022349699</c:v>
                </c:pt>
                <c:pt idx="178">
                  <c:v>2.9493900066449101</c:v>
                </c:pt>
                <c:pt idx="179">
                  <c:v>3.17609125905568</c:v>
                </c:pt>
                <c:pt idx="180">
                  <c:v>3.2185355052165301</c:v>
                </c:pt>
                <c:pt idx="181">
                  <c:v>3.0534626049254601</c:v>
                </c:pt>
                <c:pt idx="182">
                  <c:v>3.29402509409532</c:v>
                </c:pt>
                <c:pt idx="183">
                  <c:v>3.4005379893919501</c:v>
                </c:pt>
                <c:pt idx="184">
                  <c:v>2.7641761323903302</c:v>
                </c:pt>
                <c:pt idx="185">
                  <c:v>2.7701152947871002</c:v>
                </c:pt>
                <c:pt idx="186">
                  <c:v>3.0457140589408702</c:v>
                </c:pt>
                <c:pt idx="187">
                  <c:v>3.14488541828714</c:v>
                </c:pt>
                <c:pt idx="188">
                  <c:v>2.9912260756924902</c:v>
                </c:pt>
                <c:pt idx="189">
                  <c:v>2.6170003411209</c:v>
                </c:pt>
                <c:pt idx="190">
                  <c:v>2.6551384348113798</c:v>
                </c:pt>
                <c:pt idx="191">
                  <c:v>2.2810333672477299</c:v>
                </c:pt>
                <c:pt idx="192">
                  <c:v>1.9777236052888501</c:v>
                </c:pt>
                <c:pt idx="193">
                  <c:v>2.2624510897304302</c:v>
                </c:pt>
                <c:pt idx="194">
                  <c:v>1.91381385238372</c:v>
                </c:pt>
                <c:pt idx="195">
                  <c:v>2.0128372247051698</c:v>
                </c:pt>
                <c:pt idx="196">
                  <c:v>2.0293837776852102</c:v>
                </c:pt>
                <c:pt idx="197">
                  <c:v>2.11727129565576</c:v>
                </c:pt>
                <c:pt idx="198">
                  <c:v>2.3802112417116099</c:v>
                </c:pt>
                <c:pt idx="199">
                  <c:v>1.99122607569249</c:v>
                </c:pt>
                <c:pt idx="200">
                  <c:v>2.1139433523068401</c:v>
                </c:pt>
                <c:pt idx="201">
                  <c:v>2.2479732663618099</c:v>
                </c:pt>
                <c:pt idx="202">
                  <c:v>2.0681858617461599</c:v>
                </c:pt>
                <c:pt idx="203">
                  <c:v>2.2304489213782701</c:v>
                </c:pt>
                <c:pt idx="204">
                  <c:v>2.1931245983544598</c:v>
                </c:pt>
                <c:pt idx="205">
                  <c:v>2.47567118832443</c:v>
                </c:pt>
                <c:pt idx="206">
                  <c:v>2.2671717284030102</c:v>
                </c:pt>
                <c:pt idx="207">
                  <c:v>2.02530586526477</c:v>
                </c:pt>
                <c:pt idx="208">
                  <c:v>1.92941892571429</c:v>
                </c:pt>
                <c:pt idx="209">
                  <c:v>2.18184358794477</c:v>
                </c:pt>
                <c:pt idx="210">
                  <c:v>2.1105897102992501</c:v>
                </c:pt>
                <c:pt idx="211">
                  <c:v>2.1003705451175598</c:v>
                </c:pt>
                <c:pt idx="212">
                  <c:v>2.4927603890268402</c:v>
                </c:pt>
                <c:pt idx="213">
                  <c:v>2.5670263661590602</c:v>
                </c:pt>
                <c:pt idx="214">
                  <c:v>2.3729120029701098</c:v>
                </c:pt>
                <c:pt idx="215">
                  <c:v>1.7160033436347999</c:v>
                </c:pt>
                <c:pt idx="216">
                  <c:v>2.0293837776852102</c:v>
                </c:pt>
                <c:pt idx="217">
                  <c:v>2.4065401804339599</c:v>
                </c:pt>
                <c:pt idx="218">
                  <c:v>2.6757783416740901</c:v>
                </c:pt>
                <c:pt idx="219">
                  <c:v>2.5327543789925002</c:v>
                </c:pt>
                <c:pt idx="220">
                  <c:v>2.6627578316815699</c:v>
                </c:pt>
                <c:pt idx="221">
                  <c:v>2.4409090820652199</c:v>
                </c:pt>
                <c:pt idx="222">
                  <c:v>2.7979596437372001</c:v>
                </c:pt>
                <c:pt idx="223">
                  <c:v>2.4265112613645798</c:v>
                </c:pt>
                <c:pt idx="224">
                  <c:v>2.3710678622717398</c:v>
                </c:pt>
                <c:pt idx="225">
                  <c:v>2.4232458739368101</c:v>
                </c:pt>
                <c:pt idx="226">
                  <c:v>2.3483048630481602</c:v>
                </c:pt>
                <c:pt idx="227">
                  <c:v>3.0425755124401901</c:v>
                </c:pt>
                <c:pt idx="228">
                  <c:v>3.1872386198314802</c:v>
                </c:pt>
                <c:pt idx="229">
                  <c:v>2.5092025223310999</c:v>
                </c:pt>
                <c:pt idx="230">
                  <c:v>2.7024305364455299</c:v>
                </c:pt>
                <c:pt idx="231">
                  <c:v>2.5224442335063202</c:v>
                </c:pt>
                <c:pt idx="232">
                  <c:v>2.5921767573958698</c:v>
                </c:pt>
                <c:pt idx="233">
                  <c:v>2.8549130223078598</c:v>
                </c:pt>
                <c:pt idx="234">
                  <c:v>0.95424250943932498</c:v>
                </c:pt>
                <c:pt idx="235">
                  <c:v>1.88081359228079</c:v>
                </c:pt>
                <c:pt idx="236">
                  <c:v>1.53147891704226</c:v>
                </c:pt>
                <c:pt idx="237">
                  <c:v>1.2041199826559199</c:v>
                </c:pt>
                <c:pt idx="238">
                  <c:v>2.17318626841227</c:v>
                </c:pt>
                <c:pt idx="239">
                  <c:v>2.3926969532596698</c:v>
                </c:pt>
                <c:pt idx="240">
                  <c:v>3.14612803567824</c:v>
                </c:pt>
                <c:pt idx="241">
                  <c:v>2.43136376415899</c:v>
                </c:pt>
              </c:numCache>
            </c:numRef>
          </c:xVal>
          <c:yVal>
            <c:numRef>
              <c:f>'PLS-R'!$G$1482:$G$1723</c:f>
              <c:numCache>
                <c:formatCode>0.000</c:formatCode>
                <c:ptCount val="242"/>
                <c:pt idx="0">
                  <c:v>0.3609598023985725</c:v>
                </c:pt>
                <c:pt idx="1">
                  <c:v>-0.49807297614678675</c:v>
                </c:pt>
                <c:pt idx="2">
                  <c:v>0.48400253662978693</c:v>
                </c:pt>
                <c:pt idx="3">
                  <c:v>0.41081829704471978</c:v>
                </c:pt>
                <c:pt idx="4">
                  <c:v>0.97902290284529259</c:v>
                </c:pt>
                <c:pt idx="5">
                  <c:v>0.28218987522088324</c:v>
                </c:pt>
                <c:pt idx="6">
                  <c:v>0.17175204140309028</c:v>
                </c:pt>
                <c:pt idx="7">
                  <c:v>0.74604811630740353</c:v>
                </c:pt>
                <c:pt idx="8">
                  <c:v>0.94067725668392022</c:v>
                </c:pt>
                <c:pt idx="9">
                  <c:v>-1.1660812338070257</c:v>
                </c:pt>
                <c:pt idx="10">
                  <c:v>0.20487121135950448</c:v>
                </c:pt>
                <c:pt idx="11">
                  <c:v>1.5649548221959564</c:v>
                </c:pt>
                <c:pt idx="12">
                  <c:v>0.21318361478790146</c:v>
                </c:pt>
                <c:pt idx="13">
                  <c:v>0.19109105308138147</c:v>
                </c:pt>
                <c:pt idx="14">
                  <c:v>0.4139203390751558</c:v>
                </c:pt>
                <c:pt idx="15">
                  <c:v>-0.94473817173236474</c:v>
                </c:pt>
                <c:pt idx="16">
                  <c:v>0.14306523274697786</c:v>
                </c:pt>
                <c:pt idx="17">
                  <c:v>0.44827652481205332</c:v>
                </c:pt>
                <c:pt idx="18">
                  <c:v>0.17074883045786507</c:v>
                </c:pt>
                <c:pt idx="19">
                  <c:v>0.67471520130409202</c:v>
                </c:pt>
                <c:pt idx="20">
                  <c:v>0.51550963010995488</c:v>
                </c:pt>
                <c:pt idx="21">
                  <c:v>0.41256189988393688</c:v>
                </c:pt>
                <c:pt idx="22">
                  <c:v>1.277332635202123</c:v>
                </c:pt>
                <c:pt idx="23">
                  <c:v>0.62970953939923802</c:v>
                </c:pt>
                <c:pt idx="24">
                  <c:v>0.68367536052168454</c:v>
                </c:pt>
                <c:pt idx="25">
                  <c:v>-0.56770282614449463</c:v>
                </c:pt>
                <c:pt idx="26">
                  <c:v>-0.58066807071225257</c:v>
                </c:pt>
                <c:pt idx="27">
                  <c:v>3.7346737100952682E-2</c:v>
                </c:pt>
                <c:pt idx="28">
                  <c:v>0.22511378333321336</c:v>
                </c:pt>
                <c:pt idx="29">
                  <c:v>-0.57076495488724932</c:v>
                </c:pt>
                <c:pt idx="30">
                  <c:v>0.62569440873003901</c:v>
                </c:pt>
                <c:pt idx="31">
                  <c:v>-0.53150789936356602</c:v>
                </c:pt>
                <c:pt idx="32">
                  <c:v>-1.2371644474104024</c:v>
                </c:pt>
                <c:pt idx="33">
                  <c:v>0.55048042722045121</c:v>
                </c:pt>
                <c:pt idx="34">
                  <c:v>1.4779679935912535</c:v>
                </c:pt>
                <c:pt idx="35">
                  <c:v>-1.2689331708189753</c:v>
                </c:pt>
                <c:pt idx="36">
                  <c:v>1.1504061976516471</c:v>
                </c:pt>
                <c:pt idx="37">
                  <c:v>0.43027143093239745</c:v>
                </c:pt>
                <c:pt idx="38">
                  <c:v>-0.19070189517629937</c:v>
                </c:pt>
                <c:pt idx="39">
                  <c:v>-2.0630340275330981</c:v>
                </c:pt>
                <c:pt idx="40">
                  <c:v>-2.2297799670536511</c:v>
                </c:pt>
                <c:pt idx="41">
                  <c:v>-0.73237662941621828</c:v>
                </c:pt>
                <c:pt idx="42">
                  <c:v>-1.5889165767999462</c:v>
                </c:pt>
                <c:pt idx="43">
                  <c:v>1.1112475850111989</c:v>
                </c:pt>
                <c:pt idx="44">
                  <c:v>-0.26592065644594226</c:v>
                </c:pt>
                <c:pt idx="45">
                  <c:v>1.2569370167619052</c:v>
                </c:pt>
                <c:pt idx="46">
                  <c:v>-0.67123472958963437</c:v>
                </c:pt>
                <c:pt idx="47">
                  <c:v>-0.44236701130034378</c:v>
                </c:pt>
                <c:pt idx="48">
                  <c:v>-2.211875251819353</c:v>
                </c:pt>
                <c:pt idx="49">
                  <c:v>-0.42222959769867013</c:v>
                </c:pt>
                <c:pt idx="50">
                  <c:v>-0.22467486389980798</c:v>
                </c:pt>
                <c:pt idx="51">
                  <c:v>1.1440549996112248E-2</c:v>
                </c:pt>
                <c:pt idx="52">
                  <c:v>-0.25226976830982634</c:v>
                </c:pt>
                <c:pt idx="53">
                  <c:v>0.15270130423505585</c:v>
                </c:pt>
                <c:pt idx="54">
                  <c:v>0.14553902735919569</c:v>
                </c:pt>
                <c:pt idx="55">
                  <c:v>-0.74192409996003972</c:v>
                </c:pt>
                <c:pt idx="56">
                  <c:v>0.26088819372794009</c:v>
                </c:pt>
                <c:pt idx="57">
                  <c:v>-0.53133193888586305</c:v>
                </c:pt>
                <c:pt idx="58">
                  <c:v>-1.0668547310080527</c:v>
                </c:pt>
                <c:pt idx="59">
                  <c:v>-0.6917729360327437</c:v>
                </c:pt>
                <c:pt idx="60">
                  <c:v>-0.6294134332903456</c:v>
                </c:pt>
                <c:pt idx="61">
                  <c:v>6.8923227677686869E-2</c:v>
                </c:pt>
                <c:pt idx="62">
                  <c:v>-1.8947388758265684</c:v>
                </c:pt>
                <c:pt idx="63">
                  <c:v>-0.42656620904710796</c:v>
                </c:pt>
                <c:pt idx="64">
                  <c:v>1.2003275043129142</c:v>
                </c:pt>
                <c:pt idx="65">
                  <c:v>-0.39026842059954647</c:v>
                </c:pt>
                <c:pt idx="66">
                  <c:v>-1.0222797206682452</c:v>
                </c:pt>
                <c:pt idx="67">
                  <c:v>-0.34334082619776335</c:v>
                </c:pt>
                <c:pt idx="68">
                  <c:v>-3.6421477191755432E-2</c:v>
                </c:pt>
                <c:pt idx="69">
                  <c:v>5.8003373370716224E-3</c:v>
                </c:pt>
                <c:pt idx="70">
                  <c:v>0.23426856121420905</c:v>
                </c:pt>
                <c:pt idx="71">
                  <c:v>0.94358478536014823</c:v>
                </c:pt>
                <c:pt idx="72">
                  <c:v>-1.0073280009338599</c:v>
                </c:pt>
                <c:pt idx="73">
                  <c:v>-0.21813485242743005</c:v>
                </c:pt>
                <c:pt idx="74">
                  <c:v>-0.78288942086047864</c:v>
                </c:pt>
                <c:pt idx="75">
                  <c:v>-0.96479133286245089</c:v>
                </c:pt>
                <c:pt idx="76">
                  <c:v>-0.61531635011653507</c:v>
                </c:pt>
                <c:pt idx="77">
                  <c:v>-0.2379364480658408</c:v>
                </c:pt>
                <c:pt idx="78">
                  <c:v>-0.50508783674966373</c:v>
                </c:pt>
                <c:pt idx="79">
                  <c:v>0.664910906694684</c:v>
                </c:pt>
                <c:pt idx="80">
                  <c:v>-0.54833207428063335</c:v>
                </c:pt>
                <c:pt idx="81">
                  <c:v>-0.71737769075282465</c:v>
                </c:pt>
                <c:pt idx="82">
                  <c:v>-0.13229405249941753</c:v>
                </c:pt>
                <c:pt idx="83">
                  <c:v>-0.36182552925278572</c:v>
                </c:pt>
                <c:pt idx="84">
                  <c:v>0.61013980594398443</c:v>
                </c:pt>
                <c:pt idx="85">
                  <c:v>0.46546502746803992</c:v>
                </c:pt>
                <c:pt idx="86">
                  <c:v>-0.38437688673294113</c:v>
                </c:pt>
                <c:pt idx="87">
                  <c:v>-0.33889340531452244</c:v>
                </c:pt>
                <c:pt idx="88">
                  <c:v>0.40049911537301414</c:v>
                </c:pt>
                <c:pt idx="89">
                  <c:v>0.46538663638530015</c:v>
                </c:pt>
                <c:pt idx="90">
                  <c:v>-1.0882988972517644</c:v>
                </c:pt>
                <c:pt idx="91">
                  <c:v>-5.0345247019472822E-2</c:v>
                </c:pt>
                <c:pt idx="92">
                  <c:v>-0.73092560202956536</c:v>
                </c:pt>
                <c:pt idx="93">
                  <c:v>0.4641560944965667</c:v>
                </c:pt>
                <c:pt idx="94">
                  <c:v>0.30377331252123529</c:v>
                </c:pt>
                <c:pt idx="95">
                  <c:v>-0.38852273205612764</c:v>
                </c:pt>
                <c:pt idx="96">
                  <c:v>0.27615212201414108</c:v>
                </c:pt>
                <c:pt idx="97">
                  <c:v>-0.52940544396099654</c:v>
                </c:pt>
                <c:pt idx="98">
                  <c:v>0.40889981630292033</c:v>
                </c:pt>
                <c:pt idx="99">
                  <c:v>0.23876718686416365</c:v>
                </c:pt>
                <c:pt idx="100">
                  <c:v>0.62199354445129629</c:v>
                </c:pt>
                <c:pt idx="101">
                  <c:v>0.44807017996750576</c:v>
                </c:pt>
                <c:pt idx="102">
                  <c:v>0.26198639032146775</c:v>
                </c:pt>
                <c:pt idx="103">
                  <c:v>-0.18042337393981672</c:v>
                </c:pt>
                <c:pt idx="104">
                  <c:v>0.20400445113404528</c:v>
                </c:pt>
                <c:pt idx="105">
                  <c:v>-0.85690107571736096</c:v>
                </c:pt>
                <c:pt idx="106">
                  <c:v>-0.63323333130699688</c:v>
                </c:pt>
                <c:pt idx="107">
                  <c:v>1.117058384121475</c:v>
                </c:pt>
                <c:pt idx="108">
                  <c:v>-0.28796276416021949</c:v>
                </c:pt>
                <c:pt idx="109">
                  <c:v>0.89930457869403679</c:v>
                </c:pt>
                <c:pt idx="110">
                  <c:v>-1.1298264866111341</c:v>
                </c:pt>
                <c:pt idx="111">
                  <c:v>-0.3952814858249602</c:v>
                </c:pt>
                <c:pt idx="112">
                  <c:v>0.35709458860673166</c:v>
                </c:pt>
                <c:pt idx="113">
                  <c:v>1.0077532802145384</c:v>
                </c:pt>
                <c:pt idx="114">
                  <c:v>-0.5778154732406503</c:v>
                </c:pt>
                <c:pt idx="115">
                  <c:v>0.14407997761544925</c:v>
                </c:pt>
                <c:pt idx="116">
                  <c:v>-5.4380501080724612E-2</c:v>
                </c:pt>
                <c:pt idx="117">
                  <c:v>-0.55656580680357437</c:v>
                </c:pt>
                <c:pt idx="118">
                  <c:v>0.68430566922311076</c:v>
                </c:pt>
                <c:pt idx="119">
                  <c:v>3.5528174533474552E-2</c:v>
                </c:pt>
                <c:pt idx="120">
                  <c:v>0.23097319665136948</c:v>
                </c:pt>
                <c:pt idx="121">
                  <c:v>0.23889212684353969</c:v>
                </c:pt>
                <c:pt idx="122">
                  <c:v>-0.42933035537016978</c:v>
                </c:pt>
                <c:pt idx="123">
                  <c:v>0.62902614772193222</c:v>
                </c:pt>
                <c:pt idx="124">
                  <c:v>0.18115955963949185</c:v>
                </c:pt>
                <c:pt idx="125">
                  <c:v>-0.12003843640455523</c:v>
                </c:pt>
                <c:pt idx="126">
                  <c:v>0.57513924609300793</c:v>
                </c:pt>
                <c:pt idx="127">
                  <c:v>2.203179456520032</c:v>
                </c:pt>
                <c:pt idx="128">
                  <c:v>0.19979940844972618</c:v>
                </c:pt>
                <c:pt idx="129">
                  <c:v>0.16600272038535507</c:v>
                </c:pt>
                <c:pt idx="130">
                  <c:v>-0.19484004525359058</c:v>
                </c:pt>
                <c:pt idx="131">
                  <c:v>-0.12100015729892606</c:v>
                </c:pt>
                <c:pt idx="132">
                  <c:v>0.69526980212823375</c:v>
                </c:pt>
                <c:pt idx="133">
                  <c:v>-0.22575266325996421</c:v>
                </c:pt>
                <c:pt idx="134">
                  <c:v>-0.67631939961687615</c:v>
                </c:pt>
                <c:pt idx="135">
                  <c:v>-3.2228244494997754E-2</c:v>
                </c:pt>
                <c:pt idx="136">
                  <c:v>-1.0140975365166132</c:v>
                </c:pt>
                <c:pt idx="137">
                  <c:v>-1.3140423335151927</c:v>
                </c:pt>
                <c:pt idx="138">
                  <c:v>-0.72710173086013885</c:v>
                </c:pt>
                <c:pt idx="139">
                  <c:v>0.86148824108012634</c:v>
                </c:pt>
                <c:pt idx="140">
                  <c:v>0.10901320290411054</c:v>
                </c:pt>
                <c:pt idx="141">
                  <c:v>0.67720462305898299</c:v>
                </c:pt>
                <c:pt idx="142">
                  <c:v>0.25198718796780972</c:v>
                </c:pt>
                <c:pt idx="143">
                  <c:v>-4.671067057487191E-2</c:v>
                </c:pt>
                <c:pt idx="144">
                  <c:v>-8.7039802111949713E-2</c:v>
                </c:pt>
                <c:pt idx="145">
                  <c:v>5.2317391033011855E-2</c:v>
                </c:pt>
                <c:pt idx="146">
                  <c:v>0.20417728130830684</c:v>
                </c:pt>
                <c:pt idx="147">
                  <c:v>0.31682373414071446</c:v>
                </c:pt>
                <c:pt idx="148">
                  <c:v>0.29384383569719047</c:v>
                </c:pt>
                <c:pt idx="149">
                  <c:v>-0.15235645546667778</c:v>
                </c:pt>
                <c:pt idx="150">
                  <c:v>0.35905131097678783</c:v>
                </c:pt>
                <c:pt idx="151">
                  <c:v>-0.2871225395571666</c:v>
                </c:pt>
                <c:pt idx="152">
                  <c:v>-0.39981325422763037</c:v>
                </c:pt>
                <c:pt idx="153">
                  <c:v>0.27505652977555445</c:v>
                </c:pt>
                <c:pt idx="154">
                  <c:v>-0.37109932621008618</c:v>
                </c:pt>
                <c:pt idx="155">
                  <c:v>0.4161096091113442</c:v>
                </c:pt>
                <c:pt idx="156">
                  <c:v>0.66737018028278261</c:v>
                </c:pt>
                <c:pt idx="157">
                  <c:v>-0.5192296345885512</c:v>
                </c:pt>
                <c:pt idx="158">
                  <c:v>0.14010690557835828</c:v>
                </c:pt>
                <c:pt idx="159">
                  <c:v>-0.63910120759837552</c:v>
                </c:pt>
                <c:pt idx="160">
                  <c:v>-1.3680455535952192E-2</c:v>
                </c:pt>
                <c:pt idx="161">
                  <c:v>0.38795990410973163</c:v>
                </c:pt>
                <c:pt idx="162">
                  <c:v>0.80807768557056359</c:v>
                </c:pt>
                <c:pt idx="163">
                  <c:v>0.80084572036467605</c:v>
                </c:pt>
                <c:pt idx="164">
                  <c:v>2.6027489061085145E-2</c:v>
                </c:pt>
                <c:pt idx="165">
                  <c:v>0.86891361262133815</c:v>
                </c:pt>
                <c:pt idx="166">
                  <c:v>0.74145575589841406</c:v>
                </c:pt>
                <c:pt idx="167">
                  <c:v>-0.2335455133994683</c:v>
                </c:pt>
                <c:pt idx="168">
                  <c:v>0.26642264645678143</c:v>
                </c:pt>
                <c:pt idx="169">
                  <c:v>-2.0332983114004881E-2</c:v>
                </c:pt>
                <c:pt idx="170">
                  <c:v>7.8373922531680712E-2</c:v>
                </c:pt>
                <c:pt idx="171">
                  <c:v>-0.55301568571092075</c:v>
                </c:pt>
                <c:pt idx="172">
                  <c:v>-0.66105235330250922</c:v>
                </c:pt>
                <c:pt idx="173">
                  <c:v>-4.8914663435771534E-2</c:v>
                </c:pt>
                <c:pt idx="174">
                  <c:v>0.59257001578186619</c:v>
                </c:pt>
                <c:pt idx="175">
                  <c:v>0.91179631055476806</c:v>
                </c:pt>
                <c:pt idx="176">
                  <c:v>0.256956074501694</c:v>
                </c:pt>
                <c:pt idx="177">
                  <c:v>-0.15762835980346382</c:v>
                </c:pt>
                <c:pt idx="178">
                  <c:v>0.42883238861734263</c:v>
                </c:pt>
                <c:pt idx="179">
                  <c:v>1.0823355117052329</c:v>
                </c:pt>
                <c:pt idx="180">
                  <c:v>0.85431636092658736</c:v>
                </c:pt>
                <c:pt idx="181">
                  <c:v>0.55195456443494317</c:v>
                </c:pt>
                <c:pt idx="182">
                  <c:v>0.68047113941246029</c:v>
                </c:pt>
                <c:pt idx="183">
                  <c:v>0.78543507503752519</c:v>
                </c:pt>
                <c:pt idx="184">
                  <c:v>0.14749752096750085</c:v>
                </c:pt>
                <c:pt idx="185">
                  <c:v>3.0825554622802811E-2</c:v>
                </c:pt>
                <c:pt idx="186">
                  <c:v>0.47467474113573932</c:v>
                </c:pt>
                <c:pt idx="187">
                  <c:v>0.59054715659242807</c:v>
                </c:pt>
                <c:pt idx="188">
                  <c:v>0.16789936333771527</c:v>
                </c:pt>
                <c:pt idx="189">
                  <c:v>-0.67953994840811716</c:v>
                </c:pt>
                <c:pt idx="190">
                  <c:v>-0.17100667957571822</c:v>
                </c:pt>
                <c:pt idx="191">
                  <c:v>0.92053021580655681</c:v>
                </c:pt>
                <c:pt idx="192">
                  <c:v>0.44200468371976076</c:v>
                </c:pt>
                <c:pt idx="193">
                  <c:v>-0.39053953133756791</c:v>
                </c:pt>
                <c:pt idx="194">
                  <c:v>-0.93202346512641598</c:v>
                </c:pt>
                <c:pt idx="195">
                  <c:v>-0.38459020750624756</c:v>
                </c:pt>
                <c:pt idx="196">
                  <c:v>-0.65854909114639137</c:v>
                </c:pt>
                <c:pt idx="197">
                  <c:v>-0.24019340999153749</c:v>
                </c:pt>
                <c:pt idx="198">
                  <c:v>-0.30033886997315501</c:v>
                </c:pt>
                <c:pt idx="199">
                  <c:v>-0.78783725623347334</c:v>
                </c:pt>
                <c:pt idx="200">
                  <c:v>-0.54737535101514079</c:v>
                </c:pt>
                <c:pt idx="201">
                  <c:v>-0.2761928673758699</c:v>
                </c:pt>
                <c:pt idx="202">
                  <c:v>-0.34759230316369016</c:v>
                </c:pt>
                <c:pt idx="203">
                  <c:v>-2.8171610505431627E-2</c:v>
                </c:pt>
                <c:pt idx="204">
                  <c:v>0.35160443557435728</c:v>
                </c:pt>
                <c:pt idx="205">
                  <c:v>0.8476357721387725</c:v>
                </c:pt>
                <c:pt idx="206">
                  <c:v>0.37276244442405604</c:v>
                </c:pt>
                <c:pt idx="207">
                  <c:v>-6.0489308478570425E-2</c:v>
                </c:pt>
                <c:pt idx="208">
                  <c:v>-0.25050855802347488</c:v>
                </c:pt>
                <c:pt idx="209">
                  <c:v>0.40972184515736676</c:v>
                </c:pt>
                <c:pt idx="210">
                  <c:v>0.4828900719668115</c:v>
                </c:pt>
                <c:pt idx="211">
                  <c:v>5.1670362557642818E-2</c:v>
                </c:pt>
                <c:pt idx="212">
                  <c:v>-1.9965954916086017E-2</c:v>
                </c:pt>
                <c:pt idx="213">
                  <c:v>0.10258151330261936</c:v>
                </c:pt>
                <c:pt idx="214">
                  <c:v>0.41477271344967265</c:v>
                </c:pt>
                <c:pt idx="215">
                  <c:v>-0.14305093114456763</c:v>
                </c:pt>
                <c:pt idx="216">
                  <c:v>0.32121728418670725</c:v>
                </c:pt>
                <c:pt idx="217">
                  <c:v>-0.44965790615725765</c:v>
                </c:pt>
                <c:pt idx="218">
                  <c:v>-0.11819321598799025</c:v>
                </c:pt>
                <c:pt idx="219">
                  <c:v>0.13411048059564984</c:v>
                </c:pt>
                <c:pt idx="220">
                  <c:v>0.69641745217969764</c:v>
                </c:pt>
                <c:pt idx="221">
                  <c:v>-0.36666495815107464</c:v>
                </c:pt>
                <c:pt idx="222">
                  <c:v>0.10881576464343869</c:v>
                </c:pt>
                <c:pt idx="223">
                  <c:v>-0.83466452932782742</c:v>
                </c:pt>
                <c:pt idx="224">
                  <c:v>-0.96473434429985272</c:v>
                </c:pt>
                <c:pt idx="225">
                  <c:v>-0.41442271907134115</c:v>
                </c:pt>
                <c:pt idx="226">
                  <c:v>-1.0244843012406868</c:v>
                </c:pt>
                <c:pt idx="227">
                  <c:v>0.47757179375960152</c:v>
                </c:pt>
                <c:pt idx="228">
                  <c:v>0.48886112020286721</c:v>
                </c:pt>
                <c:pt idx="229">
                  <c:v>-0.36045085619968792</c:v>
                </c:pt>
                <c:pt idx="230">
                  <c:v>0.12108838007215461</c:v>
                </c:pt>
                <c:pt idx="231">
                  <c:v>0.49011049523000666</c:v>
                </c:pt>
                <c:pt idx="232">
                  <c:v>0.62959208912528264</c:v>
                </c:pt>
                <c:pt idx="233">
                  <c:v>0.19334418233728543</c:v>
                </c:pt>
                <c:pt idx="234">
                  <c:v>-1.7092669520204051</c:v>
                </c:pt>
                <c:pt idx="235">
                  <c:v>2.1885714339575101E-2</c:v>
                </c:pt>
                <c:pt idx="236">
                  <c:v>-0.63746569353006655</c:v>
                </c:pt>
                <c:pt idx="237">
                  <c:v>-1.114622948716643</c:v>
                </c:pt>
                <c:pt idx="238">
                  <c:v>0.27485030140915223</c:v>
                </c:pt>
                <c:pt idx="239">
                  <c:v>0.28163199770397473</c:v>
                </c:pt>
                <c:pt idx="240">
                  <c:v>0.48769314937691738</c:v>
                </c:pt>
                <c:pt idx="241">
                  <c:v>1.6794875596571497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6-434A-A544-B9AEF48A0250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2.1945143418824702</c:v>
              </c:pt>
            </c:numLit>
          </c:xVal>
          <c:yVal>
            <c:numLit>
              <c:formatCode>General</c:formatCode>
              <c:ptCount val="1"/>
              <c:pt idx="0">
                <c:v>-0.49807297614678675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476-434A-A544-B9AEF48A0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610767"/>
        <c:axId val="389613679"/>
      </c:scatterChart>
      <c:valAx>
        <c:axId val="389610767"/>
        <c:scaling>
          <c:orientation val="minMax"/>
          <c:max val="4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389613679"/>
        <c:crosses val="autoZero"/>
        <c:crossBetween val="midCat"/>
      </c:valAx>
      <c:valAx>
        <c:axId val="389613679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961076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Pred(SY)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'PLS-R'!$E$1482:$E$1723</c:f>
              <c:numCache>
                <c:formatCode>0.000</c:formatCode>
                <c:ptCount val="242"/>
                <c:pt idx="0">
                  <c:v>2.6939240702277361</c:v>
                </c:pt>
                <c:pt idx="1">
                  <c:v>2.4586702681496799</c:v>
                </c:pt>
                <c:pt idx="2">
                  <c:v>2.0443364095790337</c:v>
                </c:pt>
                <c:pt idx="3">
                  <c:v>2.7648434925919223</c:v>
                </c:pt>
                <c:pt idx="4">
                  <c:v>2.6682901780782142</c:v>
                </c:pt>
                <c:pt idx="5">
                  <c:v>2.8748246111028521</c:v>
                </c:pt>
                <c:pt idx="6">
                  <c:v>2.7868572483971343</c:v>
                </c:pt>
                <c:pt idx="7">
                  <c:v>2.8324726102918953</c:v>
                </c:pt>
                <c:pt idx="8">
                  <c:v>2.469122009741338</c:v>
                </c:pt>
                <c:pt idx="9">
                  <c:v>2.6312752512009645</c:v>
                </c:pt>
                <c:pt idx="10">
                  <c:v>2.7744387091690412</c:v>
                </c:pt>
                <c:pt idx="11">
                  <c:v>2.7828008814906657</c:v>
                </c:pt>
                <c:pt idx="12">
                  <c:v>3.0008801709534834</c:v>
                </c:pt>
                <c:pt idx="13">
                  <c:v>3.3309815306784123</c:v>
                </c:pt>
                <c:pt idx="14">
                  <c:v>2.6378074151568103</c:v>
                </c:pt>
                <c:pt idx="15">
                  <c:v>2.2000174387192222</c:v>
                </c:pt>
                <c:pt idx="16">
                  <c:v>2.9032174147501451</c:v>
                </c:pt>
                <c:pt idx="17">
                  <c:v>2.6219924801684318</c:v>
                </c:pt>
                <c:pt idx="18">
                  <c:v>2.7296438150665874</c:v>
                </c:pt>
                <c:pt idx="19">
                  <c:v>3.1874679493102756</c:v>
                </c:pt>
                <c:pt idx="20">
                  <c:v>2.840539794268329</c:v>
                </c:pt>
                <c:pt idx="21">
                  <c:v>2.6788224662142071</c:v>
                </c:pt>
                <c:pt idx="22">
                  <c:v>2.5887908364900918</c:v>
                </c:pt>
                <c:pt idx="23">
                  <c:v>2.6660298497899606</c:v>
                </c:pt>
                <c:pt idx="24">
                  <c:v>3.0845667911552588</c:v>
                </c:pt>
                <c:pt idx="25">
                  <c:v>2.9912806059244028</c:v>
                </c:pt>
                <c:pt idx="26">
                  <c:v>1.7551187507922636</c:v>
                </c:pt>
                <c:pt idx="27">
                  <c:v>2.8152490404973229</c:v>
                </c:pt>
                <c:pt idx="28">
                  <c:v>2.8201288363548476</c:v>
                </c:pt>
                <c:pt idx="29">
                  <c:v>2.4549968882303976</c:v>
                </c:pt>
                <c:pt idx="30">
                  <c:v>2.8013787546390927</c:v>
                </c:pt>
                <c:pt idx="31">
                  <c:v>1.6798283427087461</c:v>
                </c:pt>
                <c:pt idx="32">
                  <c:v>2.5369510183238435</c:v>
                </c:pt>
                <c:pt idx="33">
                  <c:v>2.883561287821319</c:v>
                </c:pt>
                <c:pt idx="34">
                  <c:v>1.8352443305048609</c:v>
                </c:pt>
                <c:pt idx="35">
                  <c:v>2.9354372446951773</c:v>
                </c:pt>
                <c:pt idx="36">
                  <c:v>1.7322980017537928</c:v>
                </c:pt>
                <c:pt idx="37">
                  <c:v>3.0093467593315379</c:v>
                </c:pt>
                <c:pt idx="38">
                  <c:v>2.7274802367791606</c:v>
                </c:pt>
                <c:pt idx="39">
                  <c:v>1.793112209519969</c:v>
                </c:pt>
                <c:pt idx="40">
                  <c:v>2.5805169015720462</c:v>
                </c:pt>
                <c:pt idx="41">
                  <c:v>2.732812517675387</c:v>
                </c:pt>
                <c:pt idx="42">
                  <c:v>2.9697960307881854</c:v>
                </c:pt>
                <c:pt idx="43">
                  <c:v>2.5219058346403642</c:v>
                </c:pt>
                <c:pt idx="44">
                  <c:v>2.1824252660874062</c:v>
                </c:pt>
                <c:pt idx="45">
                  <c:v>2.4422792034164322</c:v>
                </c:pt>
                <c:pt idx="46">
                  <c:v>1.7224162357796231</c:v>
                </c:pt>
                <c:pt idx="47">
                  <c:v>1.8143955374695531</c:v>
                </c:pt>
                <c:pt idx="48">
                  <c:v>2.127323531525668</c:v>
                </c:pt>
                <c:pt idx="49">
                  <c:v>2.7741602984105302</c:v>
                </c:pt>
                <c:pt idx="50">
                  <c:v>2.3863293611691017</c:v>
                </c:pt>
                <c:pt idx="51">
                  <c:v>1.684128517189408</c:v>
                </c:pt>
                <c:pt idx="52">
                  <c:v>2.0368827392762108</c:v>
                </c:pt>
                <c:pt idx="53">
                  <c:v>2.7727121788167457</c:v>
                </c:pt>
                <c:pt idx="54">
                  <c:v>1.7423564581615132</c:v>
                </c:pt>
                <c:pt idx="55">
                  <c:v>2.6056714054346588</c:v>
                </c:pt>
                <c:pt idx="56">
                  <c:v>2.5050890916968132</c:v>
                </c:pt>
                <c:pt idx="57">
                  <c:v>1.7589162670842415</c:v>
                </c:pt>
                <c:pt idx="58">
                  <c:v>1.9971764324996499</c:v>
                </c:pt>
                <c:pt idx="59">
                  <c:v>1.8440070916064675</c:v>
                </c:pt>
                <c:pt idx="60">
                  <c:v>2.1324637540425062</c:v>
                </c:pt>
                <c:pt idx="61">
                  <c:v>2.1366324300784281</c:v>
                </c:pt>
                <c:pt idx="62">
                  <c:v>1.9025129749826235</c:v>
                </c:pt>
                <c:pt idx="63">
                  <c:v>2.1400457450209212</c:v>
                </c:pt>
                <c:pt idx="64">
                  <c:v>2.0535953429663536</c:v>
                </c:pt>
                <c:pt idx="65">
                  <c:v>2.6252824388091338</c:v>
                </c:pt>
                <c:pt idx="66">
                  <c:v>2.1442320413082854</c:v>
                </c:pt>
                <c:pt idx="67">
                  <c:v>2.163458331442166</c:v>
                </c:pt>
                <c:pt idx="68">
                  <c:v>2.5244663225191841</c:v>
                </c:pt>
                <c:pt idx="69">
                  <c:v>2.5989837483769973</c:v>
                </c:pt>
                <c:pt idx="70">
                  <c:v>1.7449860132853681</c:v>
                </c:pt>
                <c:pt idx="71">
                  <c:v>2.0310431878911888</c:v>
                </c:pt>
                <c:pt idx="72">
                  <c:v>2.0905448184295135</c:v>
                </c:pt>
                <c:pt idx="73">
                  <c:v>1.8791170928589984</c:v>
                </c:pt>
                <c:pt idx="74">
                  <c:v>1.8623680307525312</c:v>
                </c:pt>
                <c:pt idx="75">
                  <c:v>2.6256260983945308</c:v>
                </c:pt>
                <c:pt idx="76">
                  <c:v>2.616371249157722</c:v>
                </c:pt>
                <c:pt idx="77">
                  <c:v>2.0452690841415797</c:v>
                </c:pt>
                <c:pt idx="78">
                  <c:v>2.2123589709108318</c:v>
                </c:pt>
                <c:pt idx="79">
                  <c:v>2.4521812767566136</c:v>
                </c:pt>
                <c:pt idx="80">
                  <c:v>2.01508700355184</c:v>
                </c:pt>
                <c:pt idx="81">
                  <c:v>1.5845854514919508</c:v>
                </c:pt>
                <c:pt idx="82">
                  <c:v>2.2491398745171671</c:v>
                </c:pt>
                <c:pt idx="83">
                  <c:v>2.3960162757780856</c:v>
                </c:pt>
                <c:pt idx="84">
                  <c:v>2.1029200341542724</c:v>
                </c:pt>
                <c:pt idx="85">
                  <c:v>1.5090127463747225</c:v>
                </c:pt>
                <c:pt idx="86">
                  <c:v>2.444405786206318</c:v>
                </c:pt>
                <c:pt idx="87">
                  <c:v>2.3838540892506215</c:v>
                </c:pt>
                <c:pt idx="88">
                  <c:v>2.0500440332203453</c:v>
                </c:pt>
                <c:pt idx="89">
                  <c:v>2.3896673622264388</c:v>
                </c:pt>
                <c:pt idx="90">
                  <c:v>1.8076346291497347</c:v>
                </c:pt>
                <c:pt idx="91">
                  <c:v>1.7256709015869904</c:v>
                </c:pt>
                <c:pt idx="92">
                  <c:v>1.5429867205642289</c:v>
                </c:pt>
                <c:pt idx="93">
                  <c:v>1.7032220976311572</c:v>
                </c:pt>
                <c:pt idx="94">
                  <c:v>1.9850200764287964</c:v>
                </c:pt>
                <c:pt idx="95">
                  <c:v>2.8081153026522729</c:v>
                </c:pt>
                <c:pt idx="96">
                  <c:v>1.2337523429662125</c:v>
                </c:pt>
                <c:pt idx="97">
                  <c:v>2.4848932671298138</c:v>
                </c:pt>
                <c:pt idx="98">
                  <c:v>1.6581988458367325</c:v>
                </c:pt>
                <c:pt idx="99">
                  <c:v>1.8733684210368977</c:v>
                </c:pt>
                <c:pt idx="100">
                  <c:v>2.0005358463477148</c:v>
                </c:pt>
                <c:pt idx="101">
                  <c:v>2.0523979615332189</c:v>
                </c:pt>
                <c:pt idx="102">
                  <c:v>2.4408375768183483</c:v>
                </c:pt>
                <c:pt idx="103">
                  <c:v>1.6008385736579587</c:v>
                </c:pt>
                <c:pt idx="104">
                  <c:v>2.383166735800518</c:v>
                </c:pt>
                <c:pt idx="105">
                  <c:v>2.2805373176652615</c:v>
                </c:pt>
                <c:pt idx="106">
                  <c:v>2.44978236623755</c:v>
                </c:pt>
                <c:pt idx="107">
                  <c:v>1.3569515362124189</c:v>
                </c:pt>
                <c:pt idx="108">
                  <c:v>2.7655065988481771</c:v>
                </c:pt>
                <c:pt idx="109">
                  <c:v>2.2237522554956408</c:v>
                </c:pt>
                <c:pt idx="110">
                  <c:v>2.8296590299066948</c:v>
                </c:pt>
                <c:pt idx="111">
                  <c:v>1.6867611107748077</c:v>
                </c:pt>
                <c:pt idx="112">
                  <c:v>2.2068121361127857</c:v>
                </c:pt>
                <c:pt idx="113">
                  <c:v>2.2229281617681731</c:v>
                </c:pt>
                <c:pt idx="114">
                  <c:v>2.2795756812377683</c:v>
                </c:pt>
                <c:pt idx="115">
                  <c:v>2.2332165056408217</c:v>
                </c:pt>
                <c:pt idx="116">
                  <c:v>2.2592899393049692</c:v>
                </c:pt>
                <c:pt idx="117">
                  <c:v>2.7766205708236016</c:v>
                </c:pt>
                <c:pt idx="118">
                  <c:v>2.3454953720284411</c:v>
                </c:pt>
                <c:pt idx="119">
                  <c:v>2.1601343714018268</c:v>
                </c:pt>
                <c:pt idx="120">
                  <c:v>2.2139617433404886</c:v>
                </c:pt>
                <c:pt idx="121">
                  <c:v>2.3445938694444584</c:v>
                </c:pt>
                <c:pt idx="122">
                  <c:v>2.236298045625317</c:v>
                </c:pt>
                <c:pt idx="123">
                  <c:v>2.2640874765025987</c:v>
                </c:pt>
                <c:pt idx="124">
                  <c:v>2.3663189621541525</c:v>
                </c:pt>
                <c:pt idx="125">
                  <c:v>2.383809375406559</c:v>
                </c:pt>
                <c:pt idx="126">
                  <c:v>2.2560729087864746</c:v>
                </c:pt>
                <c:pt idx="127">
                  <c:v>2.007622103045053</c:v>
                </c:pt>
                <c:pt idx="128">
                  <c:v>1.7513677074660405</c:v>
                </c:pt>
                <c:pt idx="129">
                  <c:v>2.2443979428301235</c:v>
                </c:pt>
                <c:pt idx="130">
                  <c:v>2.429670422514639</c:v>
                </c:pt>
                <c:pt idx="131">
                  <c:v>2.1781164959233612</c:v>
                </c:pt>
                <c:pt idx="132">
                  <c:v>1.8461034277027966</c:v>
                </c:pt>
                <c:pt idx="133">
                  <c:v>2.3602784982653389</c:v>
                </c:pt>
                <c:pt idx="134">
                  <c:v>2.2279216828773207</c:v>
                </c:pt>
                <c:pt idx="135">
                  <c:v>2.0505161941139218</c:v>
                </c:pt>
                <c:pt idx="136">
                  <c:v>2.3086845922334929</c:v>
                </c:pt>
                <c:pt idx="137">
                  <c:v>2.0771213058740443</c:v>
                </c:pt>
                <c:pt idx="138">
                  <c:v>2.2429551670120711</c:v>
                </c:pt>
                <c:pt idx="139">
                  <c:v>1.7191959140173978</c:v>
                </c:pt>
                <c:pt idx="140">
                  <c:v>2.2046352977329056</c:v>
                </c:pt>
                <c:pt idx="141">
                  <c:v>2.2773284497588162</c:v>
                </c:pt>
                <c:pt idx="142">
                  <c:v>2.2483741584335526</c:v>
                </c:pt>
                <c:pt idx="143">
                  <c:v>2.1739923909563323</c:v>
                </c:pt>
                <c:pt idx="144">
                  <c:v>2.2636460141315933</c:v>
                </c:pt>
                <c:pt idx="145">
                  <c:v>2.2818833320221334</c:v>
                </c:pt>
                <c:pt idx="146">
                  <c:v>2.2646253834390366</c:v>
                </c:pt>
                <c:pt idx="147">
                  <c:v>2.2883367061761315</c:v>
                </c:pt>
                <c:pt idx="148">
                  <c:v>2.3794523171065958</c:v>
                </c:pt>
                <c:pt idx="149">
                  <c:v>2.7349796822690347</c:v>
                </c:pt>
                <c:pt idx="150">
                  <c:v>2.7628513664906857</c:v>
                </c:pt>
                <c:pt idx="151">
                  <c:v>2.8243749820143504</c:v>
                </c:pt>
                <c:pt idx="152">
                  <c:v>2.824827162745807</c:v>
                </c:pt>
                <c:pt idx="153">
                  <c:v>2.5944848445229982</c:v>
                </c:pt>
                <c:pt idx="154">
                  <c:v>2.6281784699286783</c:v>
                </c:pt>
                <c:pt idx="155">
                  <c:v>2.7188330791308619</c:v>
                </c:pt>
                <c:pt idx="156">
                  <c:v>2.6874489930118726</c:v>
                </c:pt>
                <c:pt idx="157">
                  <c:v>2.7067402484067564</c:v>
                </c:pt>
                <c:pt idx="158">
                  <c:v>2.6246634846251884</c:v>
                </c:pt>
                <c:pt idx="159">
                  <c:v>2.7006789125800892</c:v>
                </c:pt>
                <c:pt idx="160">
                  <c:v>2.6200393666087001</c:v>
                </c:pt>
                <c:pt idx="161">
                  <c:v>2.6203179904813254</c:v>
                </c:pt>
                <c:pt idx="162">
                  <c:v>2.4039401692680351</c:v>
                </c:pt>
                <c:pt idx="163">
                  <c:v>2.374607321209298</c:v>
                </c:pt>
                <c:pt idx="164">
                  <c:v>2.2166450897901164</c:v>
                </c:pt>
                <c:pt idx="165">
                  <c:v>2.1624158559805848</c:v>
                </c:pt>
                <c:pt idx="166">
                  <c:v>2.1630670887585524</c:v>
                </c:pt>
                <c:pt idx="167">
                  <c:v>1.7770747475685789</c:v>
                </c:pt>
                <c:pt idx="168">
                  <c:v>1.7982204383408269</c:v>
                </c:pt>
                <c:pt idx="169">
                  <c:v>1.913873703927975</c:v>
                </c:pt>
                <c:pt idx="170">
                  <c:v>1.9361575354696969</c:v>
                </c:pt>
                <c:pt idx="171">
                  <c:v>2.1506276111941571</c:v>
                </c:pt>
                <c:pt idx="172">
                  <c:v>2.1214450071679218</c:v>
                </c:pt>
                <c:pt idx="173">
                  <c:v>2.2020334379064295</c:v>
                </c:pt>
                <c:pt idx="174">
                  <c:v>1.6857270141255305</c:v>
                </c:pt>
                <c:pt idx="175">
                  <c:v>1.8174534707038368</c:v>
                </c:pt>
                <c:pt idx="176">
                  <c:v>2.0398130967769514</c:v>
                </c:pt>
                <c:pt idx="177">
                  <c:v>2.244967128033744</c:v>
                </c:pt>
                <c:pt idx="178">
                  <c:v>2.7219562323716198</c:v>
                </c:pt>
                <c:pt idx="179">
                  <c:v>2.6020682678100528</c:v>
                </c:pt>
                <c:pt idx="180">
                  <c:v>2.7654438089119973</c:v>
                </c:pt>
                <c:pt idx="181">
                  <c:v>2.7607302620593868</c:v>
                </c:pt>
                <c:pt idx="182">
                  <c:v>2.9331332313803511</c:v>
                </c:pt>
                <c:pt idx="183">
                  <c:v>2.9839778873474909</c:v>
                </c:pt>
                <c:pt idx="184">
                  <c:v>2.6859499564297118</c:v>
                </c:pt>
                <c:pt idx="185">
                  <c:v>2.7537667809667332</c:v>
                </c:pt>
                <c:pt idx="186">
                  <c:v>2.7939675239443473</c:v>
                </c:pt>
                <c:pt idx="187">
                  <c:v>2.8316852676566704</c:v>
                </c:pt>
                <c:pt idx="188">
                  <c:v>2.9021796628851466</c:v>
                </c:pt>
                <c:pt idx="189">
                  <c:v>2.9773983412212237</c:v>
                </c:pt>
                <c:pt idx="190">
                  <c:v>2.7458328310234945</c:v>
                </c:pt>
                <c:pt idx="191">
                  <c:v>1.7928247643748989</c:v>
                </c:pt>
                <c:pt idx="192">
                  <c:v>1.7433038269950989</c:v>
                </c:pt>
                <c:pt idx="193">
                  <c:v>2.4695760223909691</c:v>
                </c:pt>
                <c:pt idx="194">
                  <c:v>2.4081179674913136</c:v>
                </c:pt>
                <c:pt idx="195">
                  <c:v>2.2168068985530662</c:v>
                </c:pt>
                <c:pt idx="196">
                  <c:v>2.3786491534339573</c:v>
                </c:pt>
                <c:pt idx="197">
                  <c:v>2.2446592804254766</c:v>
                </c:pt>
                <c:pt idx="198">
                  <c:v>2.5394977241977119</c:v>
                </c:pt>
                <c:pt idx="199">
                  <c:v>2.4090601886334779</c:v>
                </c:pt>
                <c:pt idx="200">
                  <c:v>2.4042470824586863</c:v>
                </c:pt>
                <c:pt idx="201">
                  <c:v>2.3944537746489494</c:v>
                </c:pt>
                <c:pt idx="202">
                  <c:v>2.2525334798720982</c:v>
                </c:pt>
                <c:pt idx="203">
                  <c:v>2.2453899003590454</c:v>
                </c:pt>
                <c:pt idx="204">
                  <c:v>2.0066491222558898</c:v>
                </c:pt>
                <c:pt idx="205">
                  <c:v>2.0261225814942705</c:v>
                </c:pt>
                <c:pt idx="206">
                  <c:v>2.0694749781271096</c:v>
                </c:pt>
                <c:pt idx="207">
                  <c:v>2.0573867250496836</c:v>
                </c:pt>
                <c:pt idx="208">
                  <c:v>2.0622776097860238</c:v>
                </c:pt>
                <c:pt idx="209">
                  <c:v>1.9645452025620664</c:v>
                </c:pt>
                <c:pt idx="210">
                  <c:v>1.8544861263777643</c:v>
                </c:pt>
                <c:pt idx="211">
                  <c:v>2.0729668650633459</c:v>
                </c:pt>
                <c:pt idx="212">
                  <c:v>2.5033494504038898</c:v>
                </c:pt>
                <c:pt idx="213">
                  <c:v>2.5126216584915646</c:v>
                </c:pt>
                <c:pt idx="214">
                  <c:v>2.1529348599432363</c:v>
                </c:pt>
                <c:pt idx="215">
                  <c:v>1.7918712445842055</c:v>
                </c:pt>
                <c:pt idx="216">
                  <c:v>1.8590243056780986</c:v>
                </c:pt>
                <c:pt idx="217">
                  <c:v>2.6450188901669267</c:v>
                </c:pt>
                <c:pt idx="218">
                  <c:v>2.7384628074914179</c:v>
                </c:pt>
                <c:pt idx="219">
                  <c:v>2.4616280984664027</c:v>
                </c:pt>
                <c:pt idx="220">
                  <c:v>2.2934087483959051</c:v>
                </c:pt>
                <c:pt idx="221">
                  <c:v>2.6353719947079255</c:v>
                </c:pt>
                <c:pt idx="222">
                  <c:v>2.7402485642800585</c:v>
                </c:pt>
                <c:pt idx="223">
                  <c:v>2.8691804934371086</c:v>
                </c:pt>
                <c:pt idx="224">
                  <c:v>2.8827203841407707</c:v>
                </c:pt>
                <c:pt idx="225">
                  <c:v>2.6430373953908939</c:v>
                </c:pt>
                <c:pt idx="226">
                  <c:v>2.8916461252745487</c:v>
                </c:pt>
                <c:pt idx="227">
                  <c:v>2.7892925085807678</c:v>
                </c:pt>
                <c:pt idx="228">
                  <c:v>2.927968255431793</c:v>
                </c:pt>
                <c:pt idx="229">
                  <c:v>2.700369749531109</c:v>
                </c:pt>
                <c:pt idx="230">
                  <c:v>2.6382106033634161</c:v>
                </c:pt>
                <c:pt idx="231">
                  <c:v>2.2625112557279623</c:v>
                </c:pt>
                <c:pt idx="232">
                  <c:v>2.2582688976279801</c:v>
                </c:pt>
                <c:pt idx="233">
                  <c:v>2.7523718003993856</c:v>
                </c:pt>
                <c:pt idx="234">
                  <c:v>1.8607622697401041</c:v>
                </c:pt>
                <c:pt idx="235">
                  <c:v>1.8692063752257411</c:v>
                </c:pt>
                <c:pt idx="236">
                  <c:v>1.8695625891192167</c:v>
                </c:pt>
                <c:pt idx="237">
                  <c:v>1.7952668056270205</c:v>
                </c:pt>
                <c:pt idx="238">
                  <c:v>2.0274177978655774</c:v>
                </c:pt>
                <c:pt idx="239">
                  <c:v>2.243331770278826</c:v>
                </c:pt>
                <c:pt idx="240">
                  <c:v>2.8874771114613318</c:v>
                </c:pt>
                <c:pt idx="241">
                  <c:v>1.5406376793839276</c:v>
                </c:pt>
              </c:numCache>
            </c:numRef>
          </c:xVal>
          <c:yVal>
            <c:numRef>
              <c:f>'PLS-R'!$G$1482:$G$1723</c:f>
              <c:numCache>
                <c:formatCode>0.000</c:formatCode>
                <c:ptCount val="242"/>
                <c:pt idx="0">
                  <c:v>0.3609598023985725</c:v>
                </c:pt>
                <c:pt idx="1">
                  <c:v>-0.49807297614678675</c:v>
                </c:pt>
                <c:pt idx="2">
                  <c:v>0.48400253662978693</c:v>
                </c:pt>
                <c:pt idx="3">
                  <c:v>0.41081829704471978</c:v>
                </c:pt>
                <c:pt idx="4">
                  <c:v>0.97902290284529259</c:v>
                </c:pt>
                <c:pt idx="5">
                  <c:v>0.28218987522088324</c:v>
                </c:pt>
                <c:pt idx="6">
                  <c:v>0.17175204140309028</c:v>
                </c:pt>
                <c:pt idx="7">
                  <c:v>0.74604811630740353</c:v>
                </c:pt>
                <c:pt idx="8">
                  <c:v>0.94067725668392022</c:v>
                </c:pt>
                <c:pt idx="9">
                  <c:v>-1.1660812338070257</c:v>
                </c:pt>
                <c:pt idx="10">
                  <c:v>0.20487121135950448</c:v>
                </c:pt>
                <c:pt idx="11">
                  <c:v>1.5649548221959564</c:v>
                </c:pt>
                <c:pt idx="12">
                  <c:v>0.21318361478790146</c:v>
                </c:pt>
                <c:pt idx="13">
                  <c:v>0.19109105308138147</c:v>
                </c:pt>
                <c:pt idx="14">
                  <c:v>0.4139203390751558</c:v>
                </c:pt>
                <c:pt idx="15">
                  <c:v>-0.94473817173236474</c:v>
                </c:pt>
                <c:pt idx="16">
                  <c:v>0.14306523274697786</c:v>
                </c:pt>
                <c:pt idx="17">
                  <c:v>0.44827652481205332</c:v>
                </c:pt>
                <c:pt idx="18">
                  <c:v>0.17074883045786507</c:v>
                </c:pt>
                <c:pt idx="19">
                  <c:v>0.67471520130409202</c:v>
                </c:pt>
                <c:pt idx="20">
                  <c:v>0.51550963010995488</c:v>
                </c:pt>
                <c:pt idx="21">
                  <c:v>0.41256189988393688</c:v>
                </c:pt>
                <c:pt idx="22">
                  <c:v>1.277332635202123</c:v>
                </c:pt>
                <c:pt idx="23">
                  <c:v>0.62970953939923802</c:v>
                </c:pt>
                <c:pt idx="24">
                  <c:v>0.68367536052168454</c:v>
                </c:pt>
                <c:pt idx="25">
                  <c:v>-0.56770282614449463</c:v>
                </c:pt>
                <c:pt idx="26">
                  <c:v>-0.58066807071225257</c:v>
                </c:pt>
                <c:pt idx="27">
                  <c:v>3.7346737100952682E-2</c:v>
                </c:pt>
                <c:pt idx="28">
                  <c:v>0.22511378333321336</c:v>
                </c:pt>
                <c:pt idx="29">
                  <c:v>-0.57076495488724932</c:v>
                </c:pt>
                <c:pt idx="30">
                  <c:v>0.62569440873003901</c:v>
                </c:pt>
                <c:pt idx="31">
                  <c:v>-0.53150789936356602</c:v>
                </c:pt>
                <c:pt idx="32">
                  <c:v>-1.2371644474104024</c:v>
                </c:pt>
                <c:pt idx="33">
                  <c:v>0.55048042722045121</c:v>
                </c:pt>
                <c:pt idx="34">
                  <c:v>1.4779679935912535</c:v>
                </c:pt>
                <c:pt idx="35">
                  <c:v>-1.2689331708189753</c:v>
                </c:pt>
                <c:pt idx="36">
                  <c:v>1.1504061976516471</c:v>
                </c:pt>
                <c:pt idx="37">
                  <c:v>0.43027143093239745</c:v>
                </c:pt>
                <c:pt idx="38">
                  <c:v>-0.19070189517629937</c:v>
                </c:pt>
                <c:pt idx="39">
                  <c:v>-2.0630340275330981</c:v>
                </c:pt>
                <c:pt idx="40">
                  <c:v>-2.2297799670536511</c:v>
                </c:pt>
                <c:pt idx="41">
                  <c:v>-0.73237662941621828</c:v>
                </c:pt>
                <c:pt idx="42">
                  <c:v>-1.5889165767999462</c:v>
                </c:pt>
                <c:pt idx="43">
                  <c:v>1.1112475850111989</c:v>
                </c:pt>
                <c:pt idx="44">
                  <c:v>-0.26592065644594226</c:v>
                </c:pt>
                <c:pt idx="45">
                  <c:v>1.2569370167619052</c:v>
                </c:pt>
                <c:pt idx="46">
                  <c:v>-0.67123472958963437</c:v>
                </c:pt>
                <c:pt idx="47">
                  <c:v>-0.44236701130034378</c:v>
                </c:pt>
                <c:pt idx="48">
                  <c:v>-2.211875251819353</c:v>
                </c:pt>
                <c:pt idx="49">
                  <c:v>-0.42222959769867013</c:v>
                </c:pt>
                <c:pt idx="50">
                  <c:v>-0.22467486389980798</c:v>
                </c:pt>
                <c:pt idx="51">
                  <c:v>1.1440549996112248E-2</c:v>
                </c:pt>
                <c:pt idx="52">
                  <c:v>-0.25226976830982634</c:v>
                </c:pt>
                <c:pt idx="53">
                  <c:v>0.15270130423505585</c:v>
                </c:pt>
                <c:pt idx="54">
                  <c:v>0.14553902735919569</c:v>
                </c:pt>
                <c:pt idx="55">
                  <c:v>-0.74192409996003972</c:v>
                </c:pt>
                <c:pt idx="56">
                  <c:v>0.26088819372794009</c:v>
                </c:pt>
                <c:pt idx="57">
                  <c:v>-0.53133193888586305</c:v>
                </c:pt>
                <c:pt idx="58">
                  <c:v>-1.0668547310080527</c:v>
                </c:pt>
                <c:pt idx="59">
                  <c:v>-0.6917729360327437</c:v>
                </c:pt>
                <c:pt idx="60">
                  <c:v>-0.6294134332903456</c:v>
                </c:pt>
                <c:pt idx="61">
                  <c:v>6.8923227677686869E-2</c:v>
                </c:pt>
                <c:pt idx="62">
                  <c:v>-1.8947388758265684</c:v>
                </c:pt>
                <c:pt idx="63">
                  <c:v>-0.42656620904710796</c:v>
                </c:pt>
                <c:pt idx="64">
                  <c:v>1.2003275043129142</c:v>
                </c:pt>
                <c:pt idx="65">
                  <c:v>-0.39026842059954647</c:v>
                </c:pt>
                <c:pt idx="66">
                  <c:v>-1.0222797206682452</c:v>
                </c:pt>
                <c:pt idx="67">
                  <c:v>-0.34334082619776335</c:v>
                </c:pt>
                <c:pt idx="68">
                  <c:v>-3.6421477191755432E-2</c:v>
                </c:pt>
                <c:pt idx="69">
                  <c:v>5.8003373370716224E-3</c:v>
                </c:pt>
                <c:pt idx="70">
                  <c:v>0.23426856121420905</c:v>
                </c:pt>
                <c:pt idx="71">
                  <c:v>0.94358478536014823</c:v>
                </c:pt>
                <c:pt idx="72">
                  <c:v>-1.0073280009338599</c:v>
                </c:pt>
                <c:pt idx="73">
                  <c:v>-0.21813485242743005</c:v>
                </c:pt>
                <c:pt idx="74">
                  <c:v>-0.78288942086047864</c:v>
                </c:pt>
                <c:pt idx="75">
                  <c:v>-0.96479133286245089</c:v>
                </c:pt>
                <c:pt idx="76">
                  <c:v>-0.61531635011653507</c:v>
                </c:pt>
                <c:pt idx="77">
                  <c:v>-0.2379364480658408</c:v>
                </c:pt>
                <c:pt idx="78">
                  <c:v>-0.50508783674966373</c:v>
                </c:pt>
                <c:pt idx="79">
                  <c:v>0.664910906694684</c:v>
                </c:pt>
                <c:pt idx="80">
                  <c:v>-0.54833207428063335</c:v>
                </c:pt>
                <c:pt idx="81">
                  <c:v>-0.71737769075282465</c:v>
                </c:pt>
                <c:pt idx="82">
                  <c:v>-0.13229405249941753</c:v>
                </c:pt>
                <c:pt idx="83">
                  <c:v>-0.36182552925278572</c:v>
                </c:pt>
                <c:pt idx="84">
                  <c:v>0.61013980594398443</c:v>
                </c:pt>
                <c:pt idx="85">
                  <c:v>0.46546502746803992</c:v>
                </c:pt>
                <c:pt idx="86">
                  <c:v>-0.38437688673294113</c:v>
                </c:pt>
                <c:pt idx="87">
                  <c:v>-0.33889340531452244</c:v>
                </c:pt>
                <c:pt idx="88">
                  <c:v>0.40049911537301414</c:v>
                </c:pt>
                <c:pt idx="89">
                  <c:v>0.46538663638530015</c:v>
                </c:pt>
                <c:pt idx="90">
                  <c:v>-1.0882988972517644</c:v>
                </c:pt>
                <c:pt idx="91">
                  <c:v>-5.0345247019472822E-2</c:v>
                </c:pt>
                <c:pt idx="92">
                  <c:v>-0.73092560202956536</c:v>
                </c:pt>
                <c:pt idx="93">
                  <c:v>0.4641560944965667</c:v>
                </c:pt>
                <c:pt idx="94">
                  <c:v>0.30377331252123529</c:v>
                </c:pt>
                <c:pt idx="95">
                  <c:v>-0.38852273205612764</c:v>
                </c:pt>
                <c:pt idx="96">
                  <c:v>0.27615212201414108</c:v>
                </c:pt>
                <c:pt idx="97">
                  <c:v>-0.52940544396099654</c:v>
                </c:pt>
                <c:pt idx="98">
                  <c:v>0.40889981630292033</c:v>
                </c:pt>
                <c:pt idx="99">
                  <c:v>0.23876718686416365</c:v>
                </c:pt>
                <c:pt idx="100">
                  <c:v>0.62199354445129629</c:v>
                </c:pt>
                <c:pt idx="101">
                  <c:v>0.44807017996750576</c:v>
                </c:pt>
                <c:pt idx="102">
                  <c:v>0.26198639032146775</c:v>
                </c:pt>
                <c:pt idx="103">
                  <c:v>-0.18042337393981672</c:v>
                </c:pt>
                <c:pt idx="104">
                  <c:v>0.20400445113404528</c:v>
                </c:pt>
                <c:pt idx="105">
                  <c:v>-0.85690107571736096</c:v>
                </c:pt>
                <c:pt idx="106">
                  <c:v>-0.63323333130699688</c:v>
                </c:pt>
                <c:pt idx="107">
                  <c:v>1.117058384121475</c:v>
                </c:pt>
                <c:pt idx="108">
                  <c:v>-0.28796276416021949</c:v>
                </c:pt>
                <c:pt idx="109">
                  <c:v>0.89930457869403679</c:v>
                </c:pt>
                <c:pt idx="110">
                  <c:v>-1.1298264866111341</c:v>
                </c:pt>
                <c:pt idx="111">
                  <c:v>-0.3952814858249602</c:v>
                </c:pt>
                <c:pt idx="112">
                  <c:v>0.35709458860673166</c:v>
                </c:pt>
                <c:pt idx="113">
                  <c:v>1.0077532802145384</c:v>
                </c:pt>
                <c:pt idx="114">
                  <c:v>-0.5778154732406503</c:v>
                </c:pt>
                <c:pt idx="115">
                  <c:v>0.14407997761544925</c:v>
                </c:pt>
                <c:pt idx="116">
                  <c:v>-5.4380501080724612E-2</c:v>
                </c:pt>
                <c:pt idx="117">
                  <c:v>-0.55656580680357437</c:v>
                </c:pt>
                <c:pt idx="118">
                  <c:v>0.68430566922311076</c:v>
                </c:pt>
                <c:pt idx="119">
                  <c:v>3.5528174533474552E-2</c:v>
                </c:pt>
                <c:pt idx="120">
                  <c:v>0.23097319665136948</c:v>
                </c:pt>
                <c:pt idx="121">
                  <c:v>0.23889212684353969</c:v>
                </c:pt>
                <c:pt idx="122">
                  <c:v>-0.42933035537016978</c:v>
                </c:pt>
                <c:pt idx="123">
                  <c:v>0.62902614772193222</c:v>
                </c:pt>
                <c:pt idx="124">
                  <c:v>0.18115955963949185</c:v>
                </c:pt>
                <c:pt idx="125">
                  <c:v>-0.12003843640455523</c:v>
                </c:pt>
                <c:pt idx="126">
                  <c:v>0.57513924609300793</c:v>
                </c:pt>
                <c:pt idx="127">
                  <c:v>2.203179456520032</c:v>
                </c:pt>
                <c:pt idx="128">
                  <c:v>0.19979940844972618</c:v>
                </c:pt>
                <c:pt idx="129">
                  <c:v>0.16600272038535507</c:v>
                </c:pt>
                <c:pt idx="130">
                  <c:v>-0.19484004525359058</c:v>
                </c:pt>
                <c:pt idx="131">
                  <c:v>-0.12100015729892606</c:v>
                </c:pt>
                <c:pt idx="132">
                  <c:v>0.69526980212823375</c:v>
                </c:pt>
                <c:pt idx="133">
                  <c:v>-0.22575266325996421</c:v>
                </c:pt>
                <c:pt idx="134">
                  <c:v>-0.67631939961687615</c:v>
                </c:pt>
                <c:pt idx="135">
                  <c:v>-3.2228244494997754E-2</c:v>
                </c:pt>
                <c:pt idx="136">
                  <c:v>-1.0140975365166132</c:v>
                </c:pt>
                <c:pt idx="137">
                  <c:v>-1.3140423335151927</c:v>
                </c:pt>
                <c:pt idx="138">
                  <c:v>-0.72710173086013885</c:v>
                </c:pt>
                <c:pt idx="139">
                  <c:v>0.86148824108012634</c:v>
                </c:pt>
                <c:pt idx="140">
                  <c:v>0.10901320290411054</c:v>
                </c:pt>
                <c:pt idx="141">
                  <c:v>0.67720462305898299</c:v>
                </c:pt>
                <c:pt idx="142">
                  <c:v>0.25198718796780972</c:v>
                </c:pt>
                <c:pt idx="143">
                  <c:v>-4.671067057487191E-2</c:v>
                </c:pt>
                <c:pt idx="144">
                  <c:v>-8.7039802111949713E-2</c:v>
                </c:pt>
                <c:pt idx="145">
                  <c:v>5.2317391033011855E-2</c:v>
                </c:pt>
                <c:pt idx="146">
                  <c:v>0.20417728130830684</c:v>
                </c:pt>
                <c:pt idx="147">
                  <c:v>0.31682373414071446</c:v>
                </c:pt>
                <c:pt idx="148">
                  <c:v>0.29384383569719047</c:v>
                </c:pt>
                <c:pt idx="149">
                  <c:v>-0.15235645546667778</c:v>
                </c:pt>
                <c:pt idx="150">
                  <c:v>0.35905131097678783</c:v>
                </c:pt>
                <c:pt idx="151">
                  <c:v>-0.2871225395571666</c:v>
                </c:pt>
                <c:pt idx="152">
                  <c:v>-0.39981325422763037</c:v>
                </c:pt>
                <c:pt idx="153">
                  <c:v>0.27505652977555445</c:v>
                </c:pt>
                <c:pt idx="154">
                  <c:v>-0.37109932621008618</c:v>
                </c:pt>
                <c:pt idx="155">
                  <c:v>0.4161096091113442</c:v>
                </c:pt>
                <c:pt idx="156">
                  <c:v>0.66737018028278261</c:v>
                </c:pt>
                <c:pt idx="157">
                  <c:v>-0.5192296345885512</c:v>
                </c:pt>
                <c:pt idx="158">
                  <c:v>0.14010690557835828</c:v>
                </c:pt>
                <c:pt idx="159">
                  <c:v>-0.63910120759837552</c:v>
                </c:pt>
                <c:pt idx="160">
                  <c:v>-1.3680455535952192E-2</c:v>
                </c:pt>
                <c:pt idx="161">
                  <c:v>0.38795990410973163</c:v>
                </c:pt>
                <c:pt idx="162">
                  <c:v>0.80807768557056359</c:v>
                </c:pt>
                <c:pt idx="163">
                  <c:v>0.80084572036467605</c:v>
                </c:pt>
                <c:pt idx="164">
                  <c:v>2.6027489061085145E-2</c:v>
                </c:pt>
                <c:pt idx="165">
                  <c:v>0.86891361262133815</c:v>
                </c:pt>
                <c:pt idx="166">
                  <c:v>0.74145575589841406</c:v>
                </c:pt>
                <c:pt idx="167">
                  <c:v>-0.2335455133994683</c:v>
                </c:pt>
                <c:pt idx="168">
                  <c:v>0.26642264645678143</c:v>
                </c:pt>
                <c:pt idx="169">
                  <c:v>-2.0332983114004881E-2</c:v>
                </c:pt>
                <c:pt idx="170">
                  <c:v>7.8373922531680712E-2</c:v>
                </c:pt>
                <c:pt idx="171">
                  <c:v>-0.55301568571092075</c:v>
                </c:pt>
                <c:pt idx="172">
                  <c:v>-0.66105235330250922</c:v>
                </c:pt>
                <c:pt idx="173">
                  <c:v>-4.8914663435771534E-2</c:v>
                </c:pt>
                <c:pt idx="174">
                  <c:v>0.59257001578186619</c:v>
                </c:pt>
                <c:pt idx="175">
                  <c:v>0.91179631055476806</c:v>
                </c:pt>
                <c:pt idx="176">
                  <c:v>0.256956074501694</c:v>
                </c:pt>
                <c:pt idx="177">
                  <c:v>-0.15762835980346382</c:v>
                </c:pt>
                <c:pt idx="178">
                  <c:v>0.42883238861734263</c:v>
                </c:pt>
                <c:pt idx="179">
                  <c:v>1.0823355117052329</c:v>
                </c:pt>
                <c:pt idx="180">
                  <c:v>0.85431636092658736</c:v>
                </c:pt>
                <c:pt idx="181">
                  <c:v>0.55195456443494317</c:v>
                </c:pt>
                <c:pt idx="182">
                  <c:v>0.68047113941246029</c:v>
                </c:pt>
                <c:pt idx="183">
                  <c:v>0.78543507503752519</c:v>
                </c:pt>
                <c:pt idx="184">
                  <c:v>0.14749752096750085</c:v>
                </c:pt>
                <c:pt idx="185">
                  <c:v>3.0825554622802811E-2</c:v>
                </c:pt>
                <c:pt idx="186">
                  <c:v>0.47467474113573932</c:v>
                </c:pt>
                <c:pt idx="187">
                  <c:v>0.59054715659242807</c:v>
                </c:pt>
                <c:pt idx="188">
                  <c:v>0.16789936333771527</c:v>
                </c:pt>
                <c:pt idx="189">
                  <c:v>-0.67953994840811716</c:v>
                </c:pt>
                <c:pt idx="190">
                  <c:v>-0.17100667957571822</c:v>
                </c:pt>
                <c:pt idx="191">
                  <c:v>0.92053021580655681</c:v>
                </c:pt>
                <c:pt idx="192">
                  <c:v>0.44200468371976076</c:v>
                </c:pt>
                <c:pt idx="193">
                  <c:v>-0.39053953133756791</c:v>
                </c:pt>
                <c:pt idx="194">
                  <c:v>-0.93202346512641598</c:v>
                </c:pt>
                <c:pt idx="195">
                  <c:v>-0.38459020750624756</c:v>
                </c:pt>
                <c:pt idx="196">
                  <c:v>-0.65854909114639137</c:v>
                </c:pt>
                <c:pt idx="197">
                  <c:v>-0.24019340999153749</c:v>
                </c:pt>
                <c:pt idx="198">
                  <c:v>-0.30033886997315501</c:v>
                </c:pt>
                <c:pt idx="199">
                  <c:v>-0.78783725623347334</c:v>
                </c:pt>
                <c:pt idx="200">
                  <c:v>-0.54737535101514079</c:v>
                </c:pt>
                <c:pt idx="201">
                  <c:v>-0.2761928673758699</c:v>
                </c:pt>
                <c:pt idx="202">
                  <c:v>-0.34759230316369016</c:v>
                </c:pt>
                <c:pt idx="203">
                  <c:v>-2.8171610505431627E-2</c:v>
                </c:pt>
                <c:pt idx="204">
                  <c:v>0.35160443557435728</c:v>
                </c:pt>
                <c:pt idx="205">
                  <c:v>0.8476357721387725</c:v>
                </c:pt>
                <c:pt idx="206">
                  <c:v>0.37276244442405604</c:v>
                </c:pt>
                <c:pt idx="207">
                  <c:v>-6.0489308478570425E-2</c:v>
                </c:pt>
                <c:pt idx="208">
                  <c:v>-0.25050855802347488</c:v>
                </c:pt>
                <c:pt idx="209">
                  <c:v>0.40972184515736676</c:v>
                </c:pt>
                <c:pt idx="210">
                  <c:v>0.4828900719668115</c:v>
                </c:pt>
                <c:pt idx="211">
                  <c:v>5.1670362557642818E-2</c:v>
                </c:pt>
                <c:pt idx="212">
                  <c:v>-1.9965954916086017E-2</c:v>
                </c:pt>
                <c:pt idx="213">
                  <c:v>0.10258151330261936</c:v>
                </c:pt>
                <c:pt idx="214">
                  <c:v>0.41477271344967265</c:v>
                </c:pt>
                <c:pt idx="215">
                  <c:v>-0.14305093114456763</c:v>
                </c:pt>
                <c:pt idx="216">
                  <c:v>0.32121728418670725</c:v>
                </c:pt>
                <c:pt idx="217">
                  <c:v>-0.44965790615725765</c:v>
                </c:pt>
                <c:pt idx="218">
                  <c:v>-0.11819321598799025</c:v>
                </c:pt>
                <c:pt idx="219">
                  <c:v>0.13411048059564984</c:v>
                </c:pt>
                <c:pt idx="220">
                  <c:v>0.69641745217969764</c:v>
                </c:pt>
                <c:pt idx="221">
                  <c:v>-0.36666495815107464</c:v>
                </c:pt>
                <c:pt idx="222">
                  <c:v>0.10881576464343869</c:v>
                </c:pt>
                <c:pt idx="223">
                  <c:v>-0.83466452932782742</c:v>
                </c:pt>
                <c:pt idx="224">
                  <c:v>-0.96473434429985272</c:v>
                </c:pt>
                <c:pt idx="225">
                  <c:v>-0.41442271907134115</c:v>
                </c:pt>
                <c:pt idx="226">
                  <c:v>-1.0244843012406868</c:v>
                </c:pt>
                <c:pt idx="227">
                  <c:v>0.47757179375960152</c:v>
                </c:pt>
                <c:pt idx="228">
                  <c:v>0.48886112020286721</c:v>
                </c:pt>
                <c:pt idx="229">
                  <c:v>-0.36045085619968792</c:v>
                </c:pt>
                <c:pt idx="230">
                  <c:v>0.12108838007215461</c:v>
                </c:pt>
                <c:pt idx="231">
                  <c:v>0.49011049523000666</c:v>
                </c:pt>
                <c:pt idx="232">
                  <c:v>0.62959208912528264</c:v>
                </c:pt>
                <c:pt idx="233">
                  <c:v>0.19334418233728543</c:v>
                </c:pt>
                <c:pt idx="234">
                  <c:v>-1.7092669520204051</c:v>
                </c:pt>
                <c:pt idx="235">
                  <c:v>2.1885714339575101E-2</c:v>
                </c:pt>
                <c:pt idx="236">
                  <c:v>-0.63746569353006655</c:v>
                </c:pt>
                <c:pt idx="237">
                  <c:v>-1.114622948716643</c:v>
                </c:pt>
                <c:pt idx="238">
                  <c:v>0.27485030140915223</c:v>
                </c:pt>
                <c:pt idx="239">
                  <c:v>0.28163199770397473</c:v>
                </c:pt>
                <c:pt idx="240">
                  <c:v>0.48769314937691738</c:v>
                </c:pt>
                <c:pt idx="241">
                  <c:v>1.6794875596571497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49-466F-A5F5-4D46C0AD43EA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2.4586702681496799</c:v>
              </c:pt>
            </c:numLit>
          </c:xVal>
          <c:yVal>
            <c:numLit>
              <c:formatCode>General</c:formatCode>
              <c:ptCount val="1"/>
              <c:pt idx="0">
                <c:v>-0.49807297614678675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749-466F-A5F5-4D46C0AD4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607439"/>
        <c:axId val="389607855"/>
      </c:scatterChart>
      <c:valAx>
        <c:axId val="389607439"/>
        <c:scaling>
          <c:orientation val="minMax"/>
          <c:max val="3.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Pred(SY)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389607855"/>
        <c:crosses val="autoZero"/>
        <c:crossBetween val="midCat"/>
      </c:valAx>
      <c:valAx>
        <c:axId val="389607855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960743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Pred(SY) - SY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'PLS-R'!$E$1482:$E$1723</c:f>
              <c:numCache>
                <c:formatCode>0.000</c:formatCode>
                <c:ptCount val="242"/>
                <c:pt idx="0">
                  <c:v>2.6939240702277361</c:v>
                </c:pt>
                <c:pt idx="1">
                  <c:v>2.4586702681496799</c:v>
                </c:pt>
                <c:pt idx="2">
                  <c:v>2.0443364095790337</c:v>
                </c:pt>
                <c:pt idx="3">
                  <c:v>2.7648434925919223</c:v>
                </c:pt>
                <c:pt idx="4">
                  <c:v>2.6682901780782142</c:v>
                </c:pt>
                <c:pt idx="5">
                  <c:v>2.8748246111028521</c:v>
                </c:pt>
                <c:pt idx="6">
                  <c:v>2.7868572483971343</c:v>
                </c:pt>
                <c:pt idx="7">
                  <c:v>2.8324726102918953</c:v>
                </c:pt>
                <c:pt idx="8">
                  <c:v>2.469122009741338</c:v>
                </c:pt>
                <c:pt idx="9">
                  <c:v>2.6312752512009645</c:v>
                </c:pt>
                <c:pt idx="10">
                  <c:v>2.7744387091690412</c:v>
                </c:pt>
                <c:pt idx="11">
                  <c:v>2.7828008814906657</c:v>
                </c:pt>
                <c:pt idx="12">
                  <c:v>3.0008801709534834</c:v>
                </c:pt>
                <c:pt idx="13">
                  <c:v>3.3309815306784123</c:v>
                </c:pt>
                <c:pt idx="14">
                  <c:v>2.6378074151568103</c:v>
                </c:pt>
                <c:pt idx="15">
                  <c:v>2.2000174387192222</c:v>
                </c:pt>
                <c:pt idx="16">
                  <c:v>2.9032174147501451</c:v>
                </c:pt>
                <c:pt idx="17">
                  <c:v>2.6219924801684318</c:v>
                </c:pt>
                <c:pt idx="18">
                  <c:v>2.7296438150665874</c:v>
                </c:pt>
                <c:pt idx="19">
                  <c:v>3.1874679493102756</c:v>
                </c:pt>
                <c:pt idx="20">
                  <c:v>2.840539794268329</c:v>
                </c:pt>
                <c:pt idx="21">
                  <c:v>2.6788224662142071</c:v>
                </c:pt>
                <c:pt idx="22">
                  <c:v>2.5887908364900918</c:v>
                </c:pt>
                <c:pt idx="23">
                  <c:v>2.6660298497899606</c:v>
                </c:pt>
                <c:pt idx="24">
                  <c:v>3.0845667911552588</c:v>
                </c:pt>
                <c:pt idx="25">
                  <c:v>2.9912806059244028</c:v>
                </c:pt>
                <c:pt idx="26">
                  <c:v>1.7551187507922636</c:v>
                </c:pt>
                <c:pt idx="27">
                  <c:v>2.8152490404973229</c:v>
                </c:pt>
                <c:pt idx="28">
                  <c:v>2.8201288363548476</c:v>
                </c:pt>
                <c:pt idx="29">
                  <c:v>2.4549968882303976</c:v>
                </c:pt>
                <c:pt idx="30">
                  <c:v>2.8013787546390927</c:v>
                </c:pt>
                <c:pt idx="31">
                  <c:v>1.6798283427087461</c:v>
                </c:pt>
                <c:pt idx="32">
                  <c:v>2.5369510183238435</c:v>
                </c:pt>
                <c:pt idx="33">
                  <c:v>2.883561287821319</c:v>
                </c:pt>
                <c:pt idx="34">
                  <c:v>1.8352443305048609</c:v>
                </c:pt>
                <c:pt idx="35">
                  <c:v>2.9354372446951773</c:v>
                </c:pt>
                <c:pt idx="36">
                  <c:v>1.7322980017537928</c:v>
                </c:pt>
                <c:pt idx="37">
                  <c:v>3.0093467593315379</c:v>
                </c:pt>
                <c:pt idx="38">
                  <c:v>2.7274802367791606</c:v>
                </c:pt>
                <c:pt idx="39">
                  <c:v>1.793112209519969</c:v>
                </c:pt>
                <c:pt idx="40">
                  <c:v>2.5805169015720462</c:v>
                </c:pt>
                <c:pt idx="41">
                  <c:v>2.732812517675387</c:v>
                </c:pt>
                <c:pt idx="42">
                  <c:v>2.9697960307881854</c:v>
                </c:pt>
                <c:pt idx="43">
                  <c:v>2.5219058346403642</c:v>
                </c:pt>
                <c:pt idx="44">
                  <c:v>2.1824252660874062</c:v>
                </c:pt>
                <c:pt idx="45">
                  <c:v>2.4422792034164322</c:v>
                </c:pt>
                <c:pt idx="46">
                  <c:v>1.7224162357796231</c:v>
                </c:pt>
                <c:pt idx="47">
                  <c:v>1.8143955374695531</c:v>
                </c:pt>
                <c:pt idx="48">
                  <c:v>2.127323531525668</c:v>
                </c:pt>
                <c:pt idx="49">
                  <c:v>2.7741602984105302</c:v>
                </c:pt>
                <c:pt idx="50">
                  <c:v>2.3863293611691017</c:v>
                </c:pt>
                <c:pt idx="51">
                  <c:v>1.684128517189408</c:v>
                </c:pt>
                <c:pt idx="52">
                  <c:v>2.0368827392762108</c:v>
                </c:pt>
                <c:pt idx="53">
                  <c:v>2.7727121788167457</c:v>
                </c:pt>
                <c:pt idx="54">
                  <c:v>1.7423564581615132</c:v>
                </c:pt>
                <c:pt idx="55">
                  <c:v>2.6056714054346588</c:v>
                </c:pt>
                <c:pt idx="56">
                  <c:v>2.5050890916968132</c:v>
                </c:pt>
                <c:pt idx="57">
                  <c:v>1.7589162670842415</c:v>
                </c:pt>
                <c:pt idx="58">
                  <c:v>1.9971764324996499</c:v>
                </c:pt>
                <c:pt idx="59">
                  <c:v>1.8440070916064675</c:v>
                </c:pt>
                <c:pt idx="60">
                  <c:v>2.1324637540425062</c:v>
                </c:pt>
                <c:pt idx="61">
                  <c:v>2.1366324300784281</c:v>
                </c:pt>
                <c:pt idx="62">
                  <c:v>1.9025129749826235</c:v>
                </c:pt>
                <c:pt idx="63">
                  <c:v>2.1400457450209212</c:v>
                </c:pt>
                <c:pt idx="64">
                  <c:v>2.0535953429663536</c:v>
                </c:pt>
                <c:pt idx="65">
                  <c:v>2.6252824388091338</c:v>
                </c:pt>
                <c:pt idx="66">
                  <c:v>2.1442320413082854</c:v>
                </c:pt>
                <c:pt idx="67">
                  <c:v>2.163458331442166</c:v>
                </c:pt>
                <c:pt idx="68">
                  <c:v>2.5244663225191841</c:v>
                </c:pt>
                <c:pt idx="69">
                  <c:v>2.5989837483769973</c:v>
                </c:pt>
                <c:pt idx="70">
                  <c:v>1.7449860132853681</c:v>
                </c:pt>
                <c:pt idx="71">
                  <c:v>2.0310431878911888</c:v>
                </c:pt>
                <c:pt idx="72">
                  <c:v>2.0905448184295135</c:v>
                </c:pt>
                <c:pt idx="73">
                  <c:v>1.8791170928589984</c:v>
                </c:pt>
                <c:pt idx="74">
                  <c:v>1.8623680307525312</c:v>
                </c:pt>
                <c:pt idx="75">
                  <c:v>2.6256260983945308</c:v>
                </c:pt>
                <c:pt idx="76">
                  <c:v>2.616371249157722</c:v>
                </c:pt>
                <c:pt idx="77">
                  <c:v>2.0452690841415797</c:v>
                </c:pt>
                <c:pt idx="78">
                  <c:v>2.2123589709108318</c:v>
                </c:pt>
                <c:pt idx="79">
                  <c:v>2.4521812767566136</c:v>
                </c:pt>
                <c:pt idx="80">
                  <c:v>2.01508700355184</c:v>
                </c:pt>
                <c:pt idx="81">
                  <c:v>1.5845854514919508</c:v>
                </c:pt>
                <c:pt idx="82">
                  <c:v>2.2491398745171671</c:v>
                </c:pt>
                <c:pt idx="83">
                  <c:v>2.3960162757780856</c:v>
                </c:pt>
                <c:pt idx="84">
                  <c:v>2.1029200341542724</c:v>
                </c:pt>
                <c:pt idx="85">
                  <c:v>1.5090127463747225</c:v>
                </c:pt>
                <c:pt idx="86">
                  <c:v>2.444405786206318</c:v>
                </c:pt>
                <c:pt idx="87">
                  <c:v>2.3838540892506215</c:v>
                </c:pt>
                <c:pt idx="88">
                  <c:v>2.0500440332203453</c:v>
                </c:pt>
                <c:pt idx="89">
                  <c:v>2.3896673622264388</c:v>
                </c:pt>
                <c:pt idx="90">
                  <c:v>1.8076346291497347</c:v>
                </c:pt>
                <c:pt idx="91">
                  <c:v>1.7256709015869904</c:v>
                </c:pt>
                <c:pt idx="92">
                  <c:v>1.5429867205642289</c:v>
                </c:pt>
                <c:pt idx="93">
                  <c:v>1.7032220976311572</c:v>
                </c:pt>
                <c:pt idx="94">
                  <c:v>1.9850200764287964</c:v>
                </c:pt>
                <c:pt idx="95">
                  <c:v>2.8081153026522729</c:v>
                </c:pt>
                <c:pt idx="96">
                  <c:v>1.2337523429662125</c:v>
                </c:pt>
                <c:pt idx="97">
                  <c:v>2.4848932671298138</c:v>
                </c:pt>
                <c:pt idx="98">
                  <c:v>1.6581988458367325</c:v>
                </c:pt>
                <c:pt idx="99">
                  <c:v>1.8733684210368977</c:v>
                </c:pt>
                <c:pt idx="100">
                  <c:v>2.0005358463477148</c:v>
                </c:pt>
                <c:pt idx="101">
                  <c:v>2.0523979615332189</c:v>
                </c:pt>
                <c:pt idx="102">
                  <c:v>2.4408375768183483</c:v>
                </c:pt>
                <c:pt idx="103">
                  <c:v>1.6008385736579587</c:v>
                </c:pt>
                <c:pt idx="104">
                  <c:v>2.383166735800518</c:v>
                </c:pt>
                <c:pt idx="105">
                  <c:v>2.2805373176652615</c:v>
                </c:pt>
                <c:pt idx="106">
                  <c:v>2.44978236623755</c:v>
                </c:pt>
                <c:pt idx="107">
                  <c:v>1.3569515362124189</c:v>
                </c:pt>
                <c:pt idx="108">
                  <c:v>2.7655065988481771</c:v>
                </c:pt>
                <c:pt idx="109">
                  <c:v>2.2237522554956408</c:v>
                </c:pt>
                <c:pt idx="110">
                  <c:v>2.8296590299066948</c:v>
                </c:pt>
                <c:pt idx="111">
                  <c:v>1.6867611107748077</c:v>
                </c:pt>
                <c:pt idx="112">
                  <c:v>2.2068121361127857</c:v>
                </c:pt>
                <c:pt idx="113">
                  <c:v>2.2229281617681731</c:v>
                </c:pt>
                <c:pt idx="114">
                  <c:v>2.2795756812377683</c:v>
                </c:pt>
                <c:pt idx="115">
                  <c:v>2.2332165056408217</c:v>
                </c:pt>
                <c:pt idx="116">
                  <c:v>2.2592899393049692</c:v>
                </c:pt>
                <c:pt idx="117">
                  <c:v>2.7766205708236016</c:v>
                </c:pt>
                <c:pt idx="118">
                  <c:v>2.3454953720284411</c:v>
                </c:pt>
                <c:pt idx="119">
                  <c:v>2.1601343714018268</c:v>
                </c:pt>
                <c:pt idx="120">
                  <c:v>2.2139617433404886</c:v>
                </c:pt>
                <c:pt idx="121">
                  <c:v>2.3445938694444584</c:v>
                </c:pt>
                <c:pt idx="122">
                  <c:v>2.236298045625317</c:v>
                </c:pt>
                <c:pt idx="123">
                  <c:v>2.2640874765025987</c:v>
                </c:pt>
                <c:pt idx="124">
                  <c:v>2.3663189621541525</c:v>
                </c:pt>
                <c:pt idx="125">
                  <c:v>2.383809375406559</c:v>
                </c:pt>
                <c:pt idx="126">
                  <c:v>2.2560729087864746</c:v>
                </c:pt>
                <c:pt idx="127">
                  <c:v>2.007622103045053</c:v>
                </c:pt>
                <c:pt idx="128">
                  <c:v>1.7513677074660405</c:v>
                </c:pt>
                <c:pt idx="129">
                  <c:v>2.2443979428301235</c:v>
                </c:pt>
                <c:pt idx="130">
                  <c:v>2.429670422514639</c:v>
                </c:pt>
                <c:pt idx="131">
                  <c:v>2.1781164959233612</c:v>
                </c:pt>
                <c:pt idx="132">
                  <c:v>1.8461034277027966</c:v>
                </c:pt>
                <c:pt idx="133">
                  <c:v>2.3602784982653389</c:v>
                </c:pt>
                <c:pt idx="134">
                  <c:v>2.2279216828773207</c:v>
                </c:pt>
                <c:pt idx="135">
                  <c:v>2.0505161941139218</c:v>
                </c:pt>
                <c:pt idx="136">
                  <c:v>2.3086845922334929</c:v>
                </c:pt>
                <c:pt idx="137">
                  <c:v>2.0771213058740443</c:v>
                </c:pt>
                <c:pt idx="138">
                  <c:v>2.2429551670120711</c:v>
                </c:pt>
                <c:pt idx="139">
                  <c:v>1.7191959140173978</c:v>
                </c:pt>
                <c:pt idx="140">
                  <c:v>2.2046352977329056</c:v>
                </c:pt>
                <c:pt idx="141">
                  <c:v>2.2773284497588162</c:v>
                </c:pt>
                <c:pt idx="142">
                  <c:v>2.2483741584335526</c:v>
                </c:pt>
                <c:pt idx="143">
                  <c:v>2.1739923909563323</c:v>
                </c:pt>
                <c:pt idx="144">
                  <c:v>2.2636460141315933</c:v>
                </c:pt>
                <c:pt idx="145">
                  <c:v>2.2818833320221334</c:v>
                </c:pt>
                <c:pt idx="146">
                  <c:v>2.2646253834390366</c:v>
                </c:pt>
                <c:pt idx="147">
                  <c:v>2.2883367061761315</c:v>
                </c:pt>
                <c:pt idx="148">
                  <c:v>2.3794523171065958</c:v>
                </c:pt>
                <c:pt idx="149">
                  <c:v>2.7349796822690347</c:v>
                </c:pt>
                <c:pt idx="150">
                  <c:v>2.7628513664906857</c:v>
                </c:pt>
                <c:pt idx="151">
                  <c:v>2.8243749820143504</c:v>
                </c:pt>
                <c:pt idx="152">
                  <c:v>2.824827162745807</c:v>
                </c:pt>
                <c:pt idx="153">
                  <c:v>2.5944848445229982</c:v>
                </c:pt>
                <c:pt idx="154">
                  <c:v>2.6281784699286783</c:v>
                </c:pt>
                <c:pt idx="155">
                  <c:v>2.7188330791308619</c:v>
                </c:pt>
                <c:pt idx="156">
                  <c:v>2.6874489930118726</c:v>
                </c:pt>
                <c:pt idx="157">
                  <c:v>2.7067402484067564</c:v>
                </c:pt>
                <c:pt idx="158">
                  <c:v>2.6246634846251884</c:v>
                </c:pt>
                <c:pt idx="159">
                  <c:v>2.7006789125800892</c:v>
                </c:pt>
                <c:pt idx="160">
                  <c:v>2.6200393666087001</c:v>
                </c:pt>
                <c:pt idx="161">
                  <c:v>2.6203179904813254</c:v>
                </c:pt>
                <c:pt idx="162">
                  <c:v>2.4039401692680351</c:v>
                </c:pt>
                <c:pt idx="163">
                  <c:v>2.374607321209298</c:v>
                </c:pt>
                <c:pt idx="164">
                  <c:v>2.2166450897901164</c:v>
                </c:pt>
                <c:pt idx="165">
                  <c:v>2.1624158559805848</c:v>
                </c:pt>
                <c:pt idx="166">
                  <c:v>2.1630670887585524</c:v>
                </c:pt>
                <c:pt idx="167">
                  <c:v>1.7770747475685789</c:v>
                </c:pt>
                <c:pt idx="168">
                  <c:v>1.7982204383408269</c:v>
                </c:pt>
                <c:pt idx="169">
                  <c:v>1.913873703927975</c:v>
                </c:pt>
                <c:pt idx="170">
                  <c:v>1.9361575354696969</c:v>
                </c:pt>
                <c:pt idx="171">
                  <c:v>2.1506276111941571</c:v>
                </c:pt>
                <c:pt idx="172">
                  <c:v>2.1214450071679218</c:v>
                </c:pt>
                <c:pt idx="173">
                  <c:v>2.2020334379064295</c:v>
                </c:pt>
                <c:pt idx="174">
                  <c:v>1.6857270141255305</c:v>
                </c:pt>
                <c:pt idx="175">
                  <c:v>1.8174534707038368</c:v>
                </c:pt>
                <c:pt idx="176">
                  <c:v>2.0398130967769514</c:v>
                </c:pt>
                <c:pt idx="177">
                  <c:v>2.244967128033744</c:v>
                </c:pt>
                <c:pt idx="178">
                  <c:v>2.7219562323716198</c:v>
                </c:pt>
                <c:pt idx="179">
                  <c:v>2.6020682678100528</c:v>
                </c:pt>
                <c:pt idx="180">
                  <c:v>2.7654438089119973</c:v>
                </c:pt>
                <c:pt idx="181">
                  <c:v>2.7607302620593868</c:v>
                </c:pt>
                <c:pt idx="182">
                  <c:v>2.9331332313803511</c:v>
                </c:pt>
                <c:pt idx="183">
                  <c:v>2.9839778873474909</c:v>
                </c:pt>
                <c:pt idx="184">
                  <c:v>2.6859499564297118</c:v>
                </c:pt>
                <c:pt idx="185">
                  <c:v>2.7537667809667332</c:v>
                </c:pt>
                <c:pt idx="186">
                  <c:v>2.7939675239443473</c:v>
                </c:pt>
                <c:pt idx="187">
                  <c:v>2.8316852676566704</c:v>
                </c:pt>
                <c:pt idx="188">
                  <c:v>2.9021796628851466</c:v>
                </c:pt>
                <c:pt idx="189">
                  <c:v>2.9773983412212237</c:v>
                </c:pt>
                <c:pt idx="190">
                  <c:v>2.7458328310234945</c:v>
                </c:pt>
                <c:pt idx="191">
                  <c:v>1.7928247643748989</c:v>
                </c:pt>
                <c:pt idx="192">
                  <c:v>1.7433038269950989</c:v>
                </c:pt>
                <c:pt idx="193">
                  <c:v>2.4695760223909691</c:v>
                </c:pt>
                <c:pt idx="194">
                  <c:v>2.4081179674913136</c:v>
                </c:pt>
                <c:pt idx="195">
                  <c:v>2.2168068985530662</c:v>
                </c:pt>
                <c:pt idx="196">
                  <c:v>2.3786491534339573</c:v>
                </c:pt>
                <c:pt idx="197">
                  <c:v>2.2446592804254766</c:v>
                </c:pt>
                <c:pt idx="198">
                  <c:v>2.5394977241977119</c:v>
                </c:pt>
                <c:pt idx="199">
                  <c:v>2.4090601886334779</c:v>
                </c:pt>
                <c:pt idx="200">
                  <c:v>2.4042470824586863</c:v>
                </c:pt>
                <c:pt idx="201">
                  <c:v>2.3944537746489494</c:v>
                </c:pt>
                <c:pt idx="202">
                  <c:v>2.2525334798720982</c:v>
                </c:pt>
                <c:pt idx="203">
                  <c:v>2.2453899003590454</c:v>
                </c:pt>
                <c:pt idx="204">
                  <c:v>2.0066491222558898</c:v>
                </c:pt>
                <c:pt idx="205">
                  <c:v>2.0261225814942705</c:v>
                </c:pt>
                <c:pt idx="206">
                  <c:v>2.0694749781271096</c:v>
                </c:pt>
                <c:pt idx="207">
                  <c:v>2.0573867250496836</c:v>
                </c:pt>
                <c:pt idx="208">
                  <c:v>2.0622776097860238</c:v>
                </c:pt>
                <c:pt idx="209">
                  <c:v>1.9645452025620664</c:v>
                </c:pt>
                <c:pt idx="210">
                  <c:v>1.8544861263777643</c:v>
                </c:pt>
                <c:pt idx="211">
                  <c:v>2.0729668650633459</c:v>
                </c:pt>
                <c:pt idx="212">
                  <c:v>2.5033494504038898</c:v>
                </c:pt>
                <c:pt idx="213">
                  <c:v>2.5126216584915646</c:v>
                </c:pt>
                <c:pt idx="214">
                  <c:v>2.1529348599432363</c:v>
                </c:pt>
                <c:pt idx="215">
                  <c:v>1.7918712445842055</c:v>
                </c:pt>
                <c:pt idx="216">
                  <c:v>1.8590243056780986</c:v>
                </c:pt>
                <c:pt idx="217">
                  <c:v>2.6450188901669267</c:v>
                </c:pt>
                <c:pt idx="218">
                  <c:v>2.7384628074914179</c:v>
                </c:pt>
                <c:pt idx="219">
                  <c:v>2.4616280984664027</c:v>
                </c:pt>
                <c:pt idx="220">
                  <c:v>2.2934087483959051</c:v>
                </c:pt>
                <c:pt idx="221">
                  <c:v>2.6353719947079255</c:v>
                </c:pt>
                <c:pt idx="222">
                  <c:v>2.7402485642800585</c:v>
                </c:pt>
                <c:pt idx="223">
                  <c:v>2.8691804934371086</c:v>
                </c:pt>
                <c:pt idx="224">
                  <c:v>2.8827203841407707</c:v>
                </c:pt>
                <c:pt idx="225">
                  <c:v>2.6430373953908939</c:v>
                </c:pt>
                <c:pt idx="226">
                  <c:v>2.8916461252745487</c:v>
                </c:pt>
                <c:pt idx="227">
                  <c:v>2.7892925085807678</c:v>
                </c:pt>
                <c:pt idx="228">
                  <c:v>2.927968255431793</c:v>
                </c:pt>
                <c:pt idx="229">
                  <c:v>2.700369749531109</c:v>
                </c:pt>
                <c:pt idx="230">
                  <c:v>2.6382106033634161</c:v>
                </c:pt>
                <c:pt idx="231">
                  <c:v>2.2625112557279623</c:v>
                </c:pt>
                <c:pt idx="232">
                  <c:v>2.2582688976279801</c:v>
                </c:pt>
                <c:pt idx="233">
                  <c:v>2.7523718003993856</c:v>
                </c:pt>
                <c:pt idx="234">
                  <c:v>1.8607622697401041</c:v>
                </c:pt>
                <c:pt idx="235">
                  <c:v>1.8692063752257411</c:v>
                </c:pt>
                <c:pt idx="236">
                  <c:v>1.8695625891192167</c:v>
                </c:pt>
                <c:pt idx="237">
                  <c:v>1.7952668056270205</c:v>
                </c:pt>
                <c:pt idx="238">
                  <c:v>2.0274177978655774</c:v>
                </c:pt>
                <c:pt idx="239">
                  <c:v>2.243331770278826</c:v>
                </c:pt>
                <c:pt idx="240">
                  <c:v>2.8874771114613318</c:v>
                </c:pt>
                <c:pt idx="241">
                  <c:v>1.5406376793839276</c:v>
                </c:pt>
              </c:numCache>
            </c:numRef>
          </c:xVal>
          <c:yVal>
            <c:numRef>
              <c:f>'PLS-R'!$D$1482:$D$1723</c:f>
              <c:numCache>
                <c:formatCode>0.000</c:formatCode>
                <c:ptCount val="242"/>
                <c:pt idx="0">
                  <c:v>2.88536122003151</c:v>
                </c:pt>
                <c:pt idx="1">
                  <c:v>2.1945143418824702</c:v>
                </c:pt>
                <c:pt idx="2">
                  <c:v>2.3010299956639799</c:v>
                </c:pt>
                <c:pt idx="3">
                  <c:v>2.9827233876685502</c:v>
                </c:pt>
                <c:pt idx="4">
                  <c:v>3.18752072083646</c:v>
                </c:pt>
                <c:pt idx="5">
                  <c:v>3.02448566769917</c:v>
                </c:pt>
                <c:pt idx="6">
                  <c:v>2.8779469516291898</c:v>
                </c:pt>
                <c:pt idx="7">
                  <c:v>3.2281436075977399</c:v>
                </c:pt>
                <c:pt idx="8">
                  <c:v>2.9680157139936401</c:v>
                </c:pt>
                <c:pt idx="9">
                  <c:v>2.0128372247051698</c:v>
                </c:pt>
                <c:pt idx="10">
                  <c:v>2.8830933585756902</c:v>
                </c:pt>
                <c:pt idx="11">
                  <c:v>3.6127838567197399</c:v>
                </c:pt>
                <c:pt idx="12">
                  <c:v>3.1139433523068401</c:v>
                </c:pt>
                <c:pt idx="13">
                  <c:v>3.4323277922615998</c:v>
                </c:pt>
                <c:pt idx="14">
                  <c:v>2.8573324964312699</c:v>
                </c:pt>
                <c:pt idx="15">
                  <c:v>1.6989700043360201</c:v>
                </c:pt>
                <c:pt idx="16">
                  <c:v>2.9790929006383302</c:v>
                </c:pt>
                <c:pt idx="17">
                  <c:v>2.8597385661971502</c:v>
                </c:pt>
                <c:pt idx="18">
                  <c:v>2.8202014594856402</c:v>
                </c:pt>
                <c:pt idx="19">
                  <c:v>3.5453071164658199</c:v>
                </c:pt>
                <c:pt idx="20">
                  <c:v>3.1139433523068401</c:v>
                </c:pt>
                <c:pt idx="21">
                  <c:v>2.89762709129044</c:v>
                </c:pt>
                <c:pt idx="22">
                  <c:v>3.2662316966898901</c:v>
                </c:pt>
                <c:pt idx="23">
                  <c:v>3</c:v>
                </c:pt>
                <c:pt idx="24">
                  <c:v>3.4471580313422203</c:v>
                </c:pt>
                <c:pt idx="25">
                  <c:v>2.6901960800285099</c:v>
                </c:pt>
                <c:pt idx="26">
                  <c:v>1.4471580313422201</c:v>
                </c:pt>
                <c:pt idx="27">
                  <c:v>2.8350561017201201</c:v>
                </c:pt>
                <c:pt idx="28">
                  <c:v>2.93951925261862</c:v>
                </c:pt>
                <c:pt idx="29">
                  <c:v>2.1522883443830598</c:v>
                </c:pt>
                <c:pt idx="30">
                  <c:v>3.13321945673249</c:v>
                </c:pt>
                <c:pt idx="31">
                  <c:v>1.3979400086720399</c:v>
                </c:pt>
                <c:pt idx="32">
                  <c:v>1.88081359228079</c:v>
                </c:pt>
                <c:pt idx="33">
                  <c:v>3.1755118133634501</c:v>
                </c:pt>
                <c:pt idx="34">
                  <c:v>2.6190933306267401</c:v>
                </c:pt>
                <c:pt idx="35">
                  <c:v>2.2624510897304302</c:v>
                </c:pt>
                <c:pt idx="36">
                  <c:v>2.3424226808222102</c:v>
                </c:pt>
                <c:pt idx="37">
                  <c:v>3.23754373814287</c:v>
                </c:pt>
                <c:pt idx="38">
                  <c:v>2.6263403673750401</c:v>
                </c:pt>
                <c:pt idx="39">
                  <c:v>0.69897000433601897</c:v>
                </c:pt>
                <c:pt idx="40">
                  <c:v>1.3979400086720399</c:v>
                </c:pt>
                <c:pt idx="41">
                  <c:v>2.3443922736851102</c:v>
                </c:pt>
                <c:pt idx="42">
                  <c:v>2.1271047983648099</c:v>
                </c:pt>
                <c:pt idx="43">
                  <c:v>3.1112625136590699</c:v>
                </c:pt>
                <c:pt idx="44">
                  <c:v>2.04139268515822</c:v>
                </c:pt>
                <c:pt idx="45">
                  <c:v>3.1089031276673098</c:v>
                </c:pt>
                <c:pt idx="46">
                  <c:v>1.3664229572259701</c:v>
                </c:pt>
                <c:pt idx="47">
                  <c:v>1.5797835966168099</c:v>
                </c:pt>
                <c:pt idx="48">
                  <c:v>0.95424250943932498</c:v>
                </c:pt>
                <c:pt idx="49">
                  <c:v>2.5502283530550902</c:v>
                </c:pt>
                <c:pt idx="50">
                  <c:v>2.2671717284030102</c:v>
                </c:pt>
                <c:pt idx="51">
                  <c:v>1.6901960800285103</c:v>
                </c:pt>
                <c:pt idx="52">
                  <c:v>1.90308998699194</c:v>
                </c:pt>
                <c:pt idx="53">
                  <c:v>2.85369821177617</c:v>
                </c:pt>
                <c:pt idx="54">
                  <c:v>1.8195439355418701</c:v>
                </c:pt>
                <c:pt idx="55">
                  <c:v>2.2121876044039599</c:v>
                </c:pt>
                <c:pt idx="56">
                  <c:v>2.6434526764861901</c:v>
                </c:pt>
                <c:pt idx="57">
                  <c:v>1.4771212547196599</c:v>
                </c:pt>
                <c:pt idx="58">
                  <c:v>1.43136376415899</c:v>
                </c:pt>
                <c:pt idx="59">
                  <c:v>1.4771212547196599</c:v>
                </c:pt>
                <c:pt idx="60">
                  <c:v>1.79865064544527</c:v>
                </c:pt>
                <c:pt idx="61">
                  <c:v>2.17318626841227</c:v>
                </c:pt>
                <c:pt idx="62">
                  <c:v>0.89762709129044094</c:v>
                </c:pt>
                <c:pt idx="63">
                  <c:v>1.91381385238372</c:v>
                </c:pt>
                <c:pt idx="64">
                  <c:v>2.6901960800285099</c:v>
                </c:pt>
                <c:pt idx="65">
                  <c:v>2.4183012913197501</c:v>
                </c:pt>
                <c:pt idx="66">
                  <c:v>1.6020599913279601</c:v>
                </c:pt>
                <c:pt idx="67">
                  <c:v>1.98136550907854</c:v>
                </c:pt>
                <c:pt idx="68">
                  <c:v>2.5051499783199098</c:v>
                </c:pt>
                <c:pt idx="69">
                  <c:v>2.6020599913279598</c:v>
                </c:pt>
                <c:pt idx="70">
                  <c:v>1.86923171973098</c:v>
                </c:pt>
                <c:pt idx="71">
                  <c:v>2.53147891704225</c:v>
                </c:pt>
                <c:pt idx="72">
                  <c:v>1.5563025007672899</c:v>
                </c:pt>
                <c:pt idx="73">
                  <c:v>1.76342799356294</c:v>
                </c:pt>
                <c:pt idx="74">
                  <c:v>1.4471580313422201</c:v>
                </c:pt>
                <c:pt idx="75">
                  <c:v>2.1139433523068401</c:v>
                </c:pt>
                <c:pt idx="76">
                  <c:v>2.2900346113625201</c:v>
                </c:pt>
                <c:pt idx="77">
                  <c:v>1.91907809237607</c:v>
                </c:pt>
                <c:pt idx="78">
                  <c:v>1.94448267215017</c:v>
                </c:pt>
                <c:pt idx="79">
                  <c:v>2.80482067872116</c:v>
                </c:pt>
                <c:pt idx="80">
                  <c:v>1.72427586960079</c:v>
                </c:pt>
                <c:pt idx="81">
                  <c:v>1.2041199826559199</c:v>
                </c:pt>
                <c:pt idx="82">
                  <c:v>2.1789769472931702</c:v>
                </c:pt>
                <c:pt idx="83">
                  <c:v>2.2041199826559201</c:v>
                </c:pt>
                <c:pt idx="84">
                  <c:v>2.4265112613645798</c:v>
                </c:pt>
                <c:pt idx="85">
                  <c:v>1.7558748556724899</c:v>
                </c:pt>
                <c:pt idx="86">
                  <c:v>2.2405492482825999</c:v>
                </c:pt>
                <c:pt idx="87">
                  <c:v>2.2041199826559201</c:v>
                </c:pt>
                <c:pt idx="88">
                  <c:v>2.2624510897304302</c:v>
                </c:pt>
                <c:pt idx="89">
                  <c:v>2.63648789635337</c:v>
                </c:pt>
                <c:pt idx="90">
                  <c:v>1.2304489213782701</c:v>
                </c:pt>
                <c:pt idx="91">
                  <c:v>1.6989700043360201</c:v>
                </c:pt>
                <c:pt idx="92">
                  <c:v>1.1553360374650601</c:v>
                </c:pt>
                <c:pt idx="93">
                  <c:v>1.9493900066449099</c:v>
                </c:pt>
                <c:pt idx="94">
                  <c:v>2.14612803567824</c:v>
                </c:pt>
                <c:pt idx="95">
                  <c:v>2.6020599913279598</c:v>
                </c:pt>
                <c:pt idx="96">
                  <c:v>1.3802112417116099</c:v>
                </c:pt>
                <c:pt idx="97">
                  <c:v>2.2041199826559201</c:v>
                </c:pt>
                <c:pt idx="98">
                  <c:v>1.8750612633917001</c:v>
                </c:pt>
                <c:pt idx="99">
                  <c:v>2</c:v>
                </c:pt>
                <c:pt idx="100">
                  <c:v>2.3304137733491901</c:v>
                </c:pt>
                <c:pt idx="101">
                  <c:v>2.2900346113625201</c:v>
                </c:pt>
                <c:pt idx="102">
                  <c:v>2.5797835966168101</c:v>
                </c:pt>
                <c:pt idx="103">
                  <c:v>1.50514997831991</c:v>
                </c:pt>
                <c:pt idx="104">
                  <c:v>2.49136169383427</c:v>
                </c:pt>
                <c:pt idx="105">
                  <c:v>1.82607480270083</c:v>
                </c:pt>
                <c:pt idx="106">
                  <c:v>2.1139433523068401</c:v>
                </c:pt>
                <c:pt idx="107">
                  <c:v>1.9493900066449099</c:v>
                </c:pt>
                <c:pt idx="108">
                  <c:v>2.6127838567197399</c:v>
                </c:pt>
                <c:pt idx="109">
                  <c:v>2.7007037171450201</c:v>
                </c:pt>
                <c:pt idx="110">
                  <c:v>2.2304489213782701</c:v>
                </c:pt>
                <c:pt idx="111">
                  <c:v>1.4771212547196599</c:v>
                </c:pt>
                <c:pt idx="112">
                  <c:v>2.3961993470957399</c:v>
                </c:pt>
                <c:pt idx="113">
                  <c:v>2.7573960287930199</c:v>
                </c:pt>
                <c:pt idx="114">
                  <c:v>1.9731278535997001</c:v>
                </c:pt>
                <c:pt idx="115">
                  <c:v>2.3096301674259001</c:v>
                </c:pt>
                <c:pt idx="116">
                  <c:v>2.2304489213782701</c:v>
                </c:pt>
                <c:pt idx="117">
                  <c:v>2.4814426285022999</c:v>
                </c:pt>
                <c:pt idx="118">
                  <c:v>2.7084209001347102</c:v>
                </c:pt>
                <c:pt idx="119">
                  <c:v>2.1789769472931702</c:v>
                </c:pt>
                <c:pt idx="120">
                  <c:v>2.33645973384853</c:v>
                </c:pt>
                <c:pt idx="121">
                  <c:v>2.4712917110589401</c:v>
                </c:pt>
                <c:pt idx="122">
                  <c:v>2.0086001717619202</c:v>
                </c:pt>
                <c:pt idx="123">
                  <c:v>2.59769518592551</c:v>
                </c:pt>
                <c:pt idx="124">
                  <c:v>2.4623979978989601</c:v>
                </c:pt>
                <c:pt idx="125">
                  <c:v>2.3201462861110498</c:v>
                </c:pt>
                <c:pt idx="126">
                  <c:v>2.5611013836490599</c:v>
                </c:pt>
                <c:pt idx="127">
                  <c:v>3.17609125905568</c:v>
                </c:pt>
                <c:pt idx="128">
                  <c:v>1.8573324964312701</c:v>
                </c:pt>
                <c:pt idx="129">
                  <c:v>2.3324384599156098</c:v>
                </c:pt>
                <c:pt idx="130">
                  <c:v>2.3263358609287499</c:v>
                </c:pt>
                <c:pt idx="131">
                  <c:v>2.1139433523068401</c:v>
                </c:pt>
                <c:pt idx="132">
                  <c:v>2.2148438480477002</c:v>
                </c:pt>
                <c:pt idx="133">
                  <c:v>2.2405492482825999</c:v>
                </c:pt>
                <c:pt idx="134">
                  <c:v>1.86923171973098</c:v>
                </c:pt>
                <c:pt idx="135">
                  <c:v>2.0334237554869499</c:v>
                </c:pt>
                <c:pt idx="136">
                  <c:v>1.77085201164214</c:v>
                </c:pt>
                <c:pt idx="137">
                  <c:v>1.3802112417116099</c:v>
                </c:pt>
                <c:pt idx="138">
                  <c:v>1.8573324964312701</c:v>
                </c:pt>
                <c:pt idx="139">
                  <c:v>2.17609125905568</c:v>
                </c:pt>
                <c:pt idx="140">
                  <c:v>2.2624510897304302</c:v>
                </c:pt>
                <c:pt idx="141">
                  <c:v>2.63648789635337</c:v>
                </c:pt>
                <c:pt idx="142">
                  <c:v>2.3820170425748701</c:v>
                </c:pt>
                <c:pt idx="143">
                  <c:v>2.1492191126553801</c:v>
                </c:pt>
                <c:pt idx="144">
                  <c:v>2.2174839442139098</c:v>
                </c:pt>
                <c:pt idx="145">
                  <c:v>2.3096301674259001</c:v>
                </c:pt>
                <c:pt idx="146">
                  <c:v>2.3729120029701098</c:v>
                </c:pt>
                <c:pt idx="147">
                  <c:v>2.45636603312904</c:v>
                </c:pt>
                <c:pt idx="148">
                  <c:v>2.5352941200427699</c:v>
                </c:pt>
                <c:pt idx="149">
                  <c:v>2.6541765418779599</c:v>
                </c:pt>
                <c:pt idx="150">
                  <c:v>2.9532763366673001</c:v>
                </c:pt>
                <c:pt idx="151">
                  <c:v>2.6720978579357202</c:v>
                </c:pt>
                <c:pt idx="152">
                  <c:v>2.6127838567197399</c:v>
                </c:pt>
                <c:pt idx="153">
                  <c:v>2.7403626894942401</c:v>
                </c:pt>
                <c:pt idx="154">
                  <c:v>2.43136376415899</c:v>
                </c:pt>
                <c:pt idx="155">
                  <c:v>2.93951925261862</c:v>
                </c:pt>
                <c:pt idx="156">
                  <c:v>3.04139268515822</c:v>
                </c:pt>
                <c:pt idx="157">
                  <c:v>2.43136376415899</c:v>
                </c:pt>
                <c:pt idx="158">
                  <c:v>2.6989700043360201</c:v>
                </c:pt>
                <c:pt idx="159">
                  <c:v>2.36172783601759</c:v>
                </c:pt>
                <c:pt idx="160">
                  <c:v>2.6127838567197399</c:v>
                </c:pt>
                <c:pt idx="161">
                  <c:v>2.82607480270083</c:v>
                </c:pt>
                <c:pt idx="162">
                  <c:v>2.8325089127062402</c:v>
                </c:pt>
                <c:pt idx="163">
                  <c:v>2.7993405494535799</c:v>
                </c:pt>
                <c:pt idx="164">
                  <c:v>2.2304489213782701</c:v>
                </c:pt>
                <c:pt idx="165">
                  <c:v>2.6232492903978999</c:v>
                </c:pt>
                <c:pt idx="166">
                  <c:v>2.5563025007672899</c:v>
                </c:pt>
                <c:pt idx="167">
                  <c:v>1.65321251377534</c:v>
                </c:pt>
                <c:pt idx="168">
                  <c:v>1.93951925261862</c:v>
                </c:pt>
                <c:pt idx="169">
                  <c:v>1.90308998699194</c:v>
                </c:pt>
                <c:pt idx="170">
                  <c:v>1.9777236052888501</c:v>
                </c:pt>
                <c:pt idx="171">
                  <c:v>1.8573324964312701</c:v>
                </c:pt>
                <c:pt idx="172">
                  <c:v>1.77085201164214</c:v>
                </c:pt>
                <c:pt idx="173">
                  <c:v>2.17609125905568</c:v>
                </c:pt>
                <c:pt idx="174">
                  <c:v>2</c:v>
                </c:pt>
                <c:pt idx="175">
                  <c:v>2.3010299956639799</c:v>
                </c:pt>
                <c:pt idx="176">
                  <c:v>2.17609125905568</c:v>
                </c:pt>
                <c:pt idx="177">
                  <c:v>2.1613680022349699</c:v>
                </c:pt>
                <c:pt idx="178">
                  <c:v>2.9493900066449101</c:v>
                </c:pt>
                <c:pt idx="179">
                  <c:v>3.17609125905568</c:v>
                </c:pt>
                <c:pt idx="180">
                  <c:v>3.2185355052165301</c:v>
                </c:pt>
                <c:pt idx="181">
                  <c:v>3.0534626049254601</c:v>
                </c:pt>
                <c:pt idx="182">
                  <c:v>3.29402509409532</c:v>
                </c:pt>
                <c:pt idx="183">
                  <c:v>3.4005379893919501</c:v>
                </c:pt>
                <c:pt idx="184">
                  <c:v>2.7641761323903302</c:v>
                </c:pt>
                <c:pt idx="185">
                  <c:v>2.7701152947871002</c:v>
                </c:pt>
                <c:pt idx="186">
                  <c:v>3.0457140589408702</c:v>
                </c:pt>
                <c:pt idx="187">
                  <c:v>3.14488541828714</c:v>
                </c:pt>
                <c:pt idx="188">
                  <c:v>2.9912260756924902</c:v>
                </c:pt>
                <c:pt idx="189">
                  <c:v>2.6170003411209</c:v>
                </c:pt>
                <c:pt idx="190">
                  <c:v>2.6551384348113798</c:v>
                </c:pt>
                <c:pt idx="191">
                  <c:v>2.2810333672477299</c:v>
                </c:pt>
                <c:pt idx="192">
                  <c:v>1.9777236052888501</c:v>
                </c:pt>
                <c:pt idx="193">
                  <c:v>2.2624510897304302</c:v>
                </c:pt>
                <c:pt idx="194">
                  <c:v>1.91381385238372</c:v>
                </c:pt>
                <c:pt idx="195">
                  <c:v>2.0128372247051698</c:v>
                </c:pt>
                <c:pt idx="196">
                  <c:v>2.0293837776852102</c:v>
                </c:pt>
                <c:pt idx="197">
                  <c:v>2.11727129565576</c:v>
                </c:pt>
                <c:pt idx="198">
                  <c:v>2.3802112417116099</c:v>
                </c:pt>
                <c:pt idx="199">
                  <c:v>1.99122607569249</c:v>
                </c:pt>
                <c:pt idx="200">
                  <c:v>2.1139433523068401</c:v>
                </c:pt>
                <c:pt idx="201">
                  <c:v>2.2479732663618099</c:v>
                </c:pt>
                <c:pt idx="202">
                  <c:v>2.0681858617461599</c:v>
                </c:pt>
                <c:pt idx="203">
                  <c:v>2.2304489213782701</c:v>
                </c:pt>
                <c:pt idx="204">
                  <c:v>2.1931245983544598</c:v>
                </c:pt>
                <c:pt idx="205">
                  <c:v>2.47567118832443</c:v>
                </c:pt>
                <c:pt idx="206">
                  <c:v>2.2671717284030102</c:v>
                </c:pt>
                <c:pt idx="207">
                  <c:v>2.02530586526477</c:v>
                </c:pt>
                <c:pt idx="208">
                  <c:v>1.92941892571429</c:v>
                </c:pt>
                <c:pt idx="209">
                  <c:v>2.18184358794477</c:v>
                </c:pt>
                <c:pt idx="210">
                  <c:v>2.1105897102992501</c:v>
                </c:pt>
                <c:pt idx="211">
                  <c:v>2.1003705451175598</c:v>
                </c:pt>
                <c:pt idx="212">
                  <c:v>2.4927603890268402</c:v>
                </c:pt>
                <c:pt idx="213">
                  <c:v>2.5670263661590602</c:v>
                </c:pt>
                <c:pt idx="214">
                  <c:v>2.3729120029701098</c:v>
                </c:pt>
                <c:pt idx="215">
                  <c:v>1.7160033436347999</c:v>
                </c:pt>
                <c:pt idx="216">
                  <c:v>2.0293837776852102</c:v>
                </c:pt>
                <c:pt idx="217">
                  <c:v>2.4065401804339599</c:v>
                </c:pt>
                <c:pt idx="218">
                  <c:v>2.6757783416740901</c:v>
                </c:pt>
                <c:pt idx="219">
                  <c:v>2.5327543789925002</c:v>
                </c:pt>
                <c:pt idx="220">
                  <c:v>2.6627578316815699</c:v>
                </c:pt>
                <c:pt idx="221">
                  <c:v>2.4409090820652199</c:v>
                </c:pt>
                <c:pt idx="222">
                  <c:v>2.7979596437372001</c:v>
                </c:pt>
                <c:pt idx="223">
                  <c:v>2.4265112613645798</c:v>
                </c:pt>
                <c:pt idx="224">
                  <c:v>2.3710678622717398</c:v>
                </c:pt>
                <c:pt idx="225">
                  <c:v>2.4232458739368101</c:v>
                </c:pt>
                <c:pt idx="226">
                  <c:v>2.3483048630481602</c:v>
                </c:pt>
                <c:pt idx="227">
                  <c:v>3.0425755124401901</c:v>
                </c:pt>
                <c:pt idx="228">
                  <c:v>3.1872386198314802</c:v>
                </c:pt>
                <c:pt idx="229">
                  <c:v>2.5092025223310999</c:v>
                </c:pt>
                <c:pt idx="230">
                  <c:v>2.7024305364455299</c:v>
                </c:pt>
                <c:pt idx="231">
                  <c:v>2.5224442335063202</c:v>
                </c:pt>
                <c:pt idx="232">
                  <c:v>2.5921767573958698</c:v>
                </c:pt>
                <c:pt idx="233">
                  <c:v>2.8549130223078598</c:v>
                </c:pt>
                <c:pt idx="234">
                  <c:v>0.95424250943932498</c:v>
                </c:pt>
                <c:pt idx="235">
                  <c:v>1.88081359228079</c:v>
                </c:pt>
                <c:pt idx="236">
                  <c:v>1.53147891704226</c:v>
                </c:pt>
                <c:pt idx="237">
                  <c:v>1.2041199826559199</c:v>
                </c:pt>
                <c:pt idx="238">
                  <c:v>2.17318626841227</c:v>
                </c:pt>
                <c:pt idx="239">
                  <c:v>2.3926969532596698</c:v>
                </c:pt>
                <c:pt idx="240">
                  <c:v>3.14612803567824</c:v>
                </c:pt>
                <c:pt idx="241">
                  <c:v>2.43136376415899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2-4359-94B9-764B27AF03E4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2.4586702681496799</c:v>
              </c:pt>
            </c:numLit>
          </c:xVal>
          <c:yVal>
            <c:numLit>
              <c:formatCode>General</c:formatCode>
              <c:ptCount val="1"/>
              <c:pt idx="0">
                <c:v>2.1945143418824702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562-4359-94B9-764B27AF03E4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XLSTAT_20210923_105258_1_HID!xdata1</c:f>
              <c:numCache>
                <c:formatCode>General</c:formatCode>
                <c:ptCount val="70"/>
                <c:pt idx="0">
                  <c:v>1.14986317545772</c:v>
                </c:pt>
                <c:pt idx="1">
                  <c:v>1.1911286053324499</c:v>
                </c:pt>
                <c:pt idx="2">
                  <c:v>1.23239403520718</c:v>
                </c:pt>
                <c:pt idx="3">
                  <c:v>1.27365946508191</c:v>
                </c:pt>
                <c:pt idx="4">
                  <c:v>1.3149248949566399</c:v>
                </c:pt>
                <c:pt idx="5">
                  <c:v>1.35619032483137</c:v>
                </c:pt>
                <c:pt idx="6">
                  <c:v>1.3974557547061</c:v>
                </c:pt>
                <c:pt idx="7">
                  <c:v>1.4387211845808299</c:v>
                </c:pt>
                <c:pt idx="8">
                  <c:v>1.47998661445556</c:v>
                </c:pt>
                <c:pt idx="9">
                  <c:v>1.5212520443302902</c:v>
                </c:pt>
                <c:pt idx="10">
                  <c:v>1.5625174742050201</c:v>
                </c:pt>
                <c:pt idx="11">
                  <c:v>1.60378290407975</c:v>
                </c:pt>
                <c:pt idx="12">
                  <c:v>1.6450483339544801</c:v>
                </c:pt>
                <c:pt idx="13">
                  <c:v>1.6863137638292101</c:v>
                </c:pt>
                <c:pt idx="14">
                  <c:v>1.72757919370394</c:v>
                </c:pt>
                <c:pt idx="15">
                  <c:v>1.7688446235786701</c:v>
                </c:pt>
                <c:pt idx="16">
                  <c:v>1.8101100534534</c:v>
                </c:pt>
                <c:pt idx="17">
                  <c:v>1.85137548332813</c:v>
                </c:pt>
                <c:pt idx="18">
                  <c:v>1.8926409132028601</c:v>
                </c:pt>
                <c:pt idx="19">
                  <c:v>1.93390634307759</c:v>
                </c:pt>
                <c:pt idx="20">
                  <c:v>1.9751717729523199</c:v>
                </c:pt>
                <c:pt idx="21">
                  <c:v>2.0164372028270501</c:v>
                </c:pt>
                <c:pt idx="22">
                  <c:v>2.0577026327017798</c:v>
                </c:pt>
                <c:pt idx="23">
                  <c:v>2.0989680625765099</c:v>
                </c:pt>
                <c:pt idx="24">
                  <c:v>2.1402334924512401</c:v>
                </c:pt>
                <c:pt idx="25">
                  <c:v>2.1814989223259698</c:v>
                </c:pt>
                <c:pt idx="26">
                  <c:v>2.2227643522007003</c:v>
                </c:pt>
                <c:pt idx="27">
                  <c:v>2.26402978207543</c:v>
                </c:pt>
                <c:pt idx="28">
                  <c:v>2.3052952119501597</c:v>
                </c:pt>
                <c:pt idx="29">
                  <c:v>2.3465606418248903</c:v>
                </c:pt>
                <c:pt idx="30">
                  <c:v>2.38782607169962</c:v>
                </c:pt>
                <c:pt idx="31">
                  <c:v>2.4290915015743502</c:v>
                </c:pt>
                <c:pt idx="32">
                  <c:v>2.4703569314490803</c:v>
                </c:pt>
                <c:pt idx="33">
                  <c:v>2.51162236132381</c:v>
                </c:pt>
                <c:pt idx="34">
                  <c:v>2.5528877911985401</c:v>
                </c:pt>
                <c:pt idx="35">
                  <c:v>2.5941532210732703</c:v>
                </c:pt>
                <c:pt idx="36">
                  <c:v>2.635418650948</c:v>
                </c:pt>
                <c:pt idx="37">
                  <c:v>2.6766840808227301</c:v>
                </c:pt>
                <c:pt idx="38">
                  <c:v>2.7179495106974603</c:v>
                </c:pt>
                <c:pt idx="39">
                  <c:v>2.75921494057219</c:v>
                </c:pt>
                <c:pt idx="40">
                  <c:v>2.8004803704469201</c:v>
                </c:pt>
                <c:pt idx="41">
                  <c:v>2.8417458003216503</c:v>
                </c:pt>
                <c:pt idx="42">
                  <c:v>2.8830112301963799</c:v>
                </c:pt>
                <c:pt idx="43">
                  <c:v>2.9242766600711101</c:v>
                </c:pt>
                <c:pt idx="44">
                  <c:v>2.9655420899458402</c:v>
                </c:pt>
                <c:pt idx="45">
                  <c:v>3.0068075198205699</c:v>
                </c:pt>
                <c:pt idx="46">
                  <c:v>3.0480729496953001</c:v>
                </c:pt>
                <c:pt idx="47">
                  <c:v>3.0893383795700302</c:v>
                </c:pt>
                <c:pt idx="48">
                  <c:v>3.1306038094447599</c:v>
                </c:pt>
                <c:pt idx="49">
                  <c:v>3.1718692393194905</c:v>
                </c:pt>
                <c:pt idx="50">
                  <c:v>3.2131346691942202</c:v>
                </c:pt>
                <c:pt idx="51">
                  <c:v>3.2544000990689499</c:v>
                </c:pt>
                <c:pt idx="52">
                  <c:v>3.2956655289436805</c:v>
                </c:pt>
                <c:pt idx="53">
                  <c:v>3.3369309588184102</c:v>
                </c:pt>
                <c:pt idx="54">
                  <c:v>3.3781963886931399</c:v>
                </c:pt>
                <c:pt idx="55">
                  <c:v>3.4194618185678705</c:v>
                </c:pt>
                <c:pt idx="56">
                  <c:v>3.4607272484426002</c:v>
                </c:pt>
                <c:pt idx="57">
                  <c:v>3.5019926783173299</c:v>
                </c:pt>
                <c:pt idx="58">
                  <c:v>3.5432581081920604</c:v>
                </c:pt>
                <c:pt idx="59">
                  <c:v>3.5845235380667901</c:v>
                </c:pt>
                <c:pt idx="60">
                  <c:v>3.6257889679415198</c:v>
                </c:pt>
                <c:pt idx="61">
                  <c:v>3.6670543978162504</c:v>
                </c:pt>
                <c:pt idx="62">
                  <c:v>3.7083198276909801</c:v>
                </c:pt>
                <c:pt idx="63">
                  <c:v>3.7495852575657098</c:v>
                </c:pt>
                <c:pt idx="64">
                  <c:v>3.7908506874404404</c:v>
                </c:pt>
                <c:pt idx="65">
                  <c:v>3.8321161173151701</c:v>
                </c:pt>
                <c:pt idx="66">
                  <c:v>3.8733815471898998</c:v>
                </c:pt>
                <c:pt idx="67">
                  <c:v>3.9146469770646304</c:v>
                </c:pt>
                <c:pt idx="68">
                  <c:v>3.9559124069393601</c:v>
                </c:pt>
                <c:pt idx="69">
                  <c:v>3.9971778368140898</c:v>
                </c:pt>
              </c:numCache>
            </c:numRef>
          </c:xVal>
          <c:yVal>
            <c:numRef>
              <c:f>XLSTAT_20210923_105258_1_HID!ydata1</c:f>
              <c:numCache>
                <c:formatCode>General</c:formatCode>
                <c:ptCount val="70"/>
                <c:pt idx="0">
                  <c:v>0.43002619085096772</c:v>
                </c:pt>
                <c:pt idx="1">
                  <c:v>0.4721617621124341</c:v>
                </c:pt>
                <c:pt idx="2">
                  <c:v>0.51426746518892608</c:v>
                </c:pt>
                <c:pt idx="3">
                  <c:v>0.55634319511654517</c:v>
                </c:pt>
                <c:pt idx="4">
                  <c:v>0.59838885020921728</c:v>
                </c:pt>
                <c:pt idx="5">
                  <c:v>0.64040433211989567</c:v>
                </c:pt>
                <c:pt idx="6">
                  <c:v>0.68238954590020517</c:v>
                </c:pt>
                <c:pt idx="7">
                  <c:v>0.7243444000584498</c:v>
                </c:pt>
                <c:pt idx="8">
                  <c:v>0.7662688066159008</c:v>
                </c:pt>
                <c:pt idx="9">
                  <c:v>0.80816268116128553</c:v>
                </c:pt>
                <c:pt idx="10">
                  <c:v>0.85002594290340594</c:v>
                </c:pt>
                <c:pt idx="11">
                  <c:v>0.89185851472180999</c:v>
                </c:pt>
                <c:pt idx="12">
                  <c:v>0.93366032321544135</c:v>
                </c:pt>
                <c:pt idx="13">
                  <c:v>0.97543129874919965</c:v>
                </c:pt>
                <c:pt idx="14">
                  <c:v>1.017171375498346</c:v>
                </c:pt>
                <c:pt idx="15">
                  <c:v>1.0588804914906849</c:v>
                </c:pt>
                <c:pt idx="16">
                  <c:v>1.1005585886464595</c:v>
                </c:pt>
                <c:pt idx="17">
                  <c:v>1.1422056128159106</c:v>
                </c:pt>
                <c:pt idx="18">
                  <c:v>1.1838215138144297</c:v>
                </c:pt>
                <c:pt idx="19">
                  <c:v>1.2254062454552632</c:v>
                </c:pt>
                <c:pt idx="20">
                  <c:v>1.2669597655797162</c:v>
                </c:pt>
                <c:pt idx="21">
                  <c:v>1.30848203608481</c:v>
                </c:pt>
                <c:pt idx="22">
                  <c:v>1.3499730229483458</c:v>
                </c:pt>
                <c:pt idx="23">
                  <c:v>1.3914326962513508</c:v>
                </c:pt>
                <c:pt idx="24">
                  <c:v>1.4328610301978522</c:v>
                </c:pt>
                <c:pt idx="25">
                  <c:v>1.4742580031319665</c:v>
                </c:pt>
                <c:pt idx="26">
                  <c:v>1.5156235975522705</c:v>
                </c:pt>
                <c:pt idx="27">
                  <c:v>1.5569578001234246</c:v>
                </c:pt>
                <c:pt idx="28">
                  <c:v>1.598260601685048</c:v>
                </c:pt>
                <c:pt idx="29">
                  <c:v>1.6395319972578166</c:v>
                </c:pt>
                <c:pt idx="30">
                  <c:v>1.6807719860467734</c:v>
                </c:pt>
                <c:pt idx="31">
                  <c:v>1.7219805714418657</c:v>
                </c:pt>
                <c:pt idx="32">
                  <c:v>1.7631577610156826</c:v>
                </c:pt>
                <c:pt idx="33">
                  <c:v>1.8043035665184135</c:v>
                </c:pt>
                <c:pt idx="34">
                  <c:v>1.8454180038700314</c:v>
                </c:pt>
                <c:pt idx="35">
                  <c:v>1.886501093149707</c:v>
                </c:pt>
                <c:pt idx="36">
                  <c:v>1.9275528585824819</c:v>
                </c:pt>
                <c:pt idx="37">
                  <c:v>1.9685733285232092</c:v>
                </c:pt>
                <c:pt idx="38">
                  <c:v>2.0095625354377948</c:v>
                </c:pt>
                <c:pt idx="39">
                  <c:v>2.0505205158817619</c:v>
                </c:pt>
                <c:pt idx="40">
                  <c:v>2.0914473104761804</c:v>
                </c:pt>
                <c:pt idx="41">
                  <c:v>2.1323429638809874</c:v>
                </c:pt>
                <c:pt idx="42">
                  <c:v>2.1732075247657447</c:v>
                </c:pt>
                <c:pt idx="43">
                  <c:v>2.2140410457778836</c:v>
                </c:pt>
                <c:pt idx="44">
                  <c:v>2.254843583508471</c:v>
                </c:pt>
                <c:pt idx="45">
                  <c:v>2.2956151984555593</c:v>
                </c:pt>
                <c:pt idx="46">
                  <c:v>2.3363559549851751</c:v>
                </c:pt>
                <c:pt idx="47">
                  <c:v>2.3770659212899941</c:v>
                </c:pt>
                <c:pt idx="48">
                  <c:v>2.4177451693457748</c:v>
                </c:pt>
                <c:pt idx="49">
                  <c:v>2.4583937748656126</c:v>
                </c:pt>
                <c:pt idx="50">
                  <c:v>2.4990118172520672</c:v>
                </c:pt>
                <c:pt idx="51">
                  <c:v>2.5395993795472602</c:v>
                </c:pt>
                <c:pt idx="52">
                  <c:v>2.5801565483809825</c:v>
                </c:pt>
                <c:pt idx="53">
                  <c:v>2.6206834139169066</c:v>
                </c:pt>
                <c:pt idx="54">
                  <c:v>2.6611800697969761</c:v>
                </c:pt>
                <c:pt idx="55">
                  <c:v>2.7016466130840397</c:v>
                </c:pt>
                <c:pt idx="56">
                  <c:v>2.7420831442028186</c:v>
                </c:pt>
                <c:pt idx="57">
                  <c:v>2.7824897668792903</c:v>
                </c:pt>
                <c:pt idx="58">
                  <c:v>2.8228665880785551</c:v>
                </c:pt>
                <c:pt idx="59">
                  <c:v>2.8632137179412815</c:v>
                </c:pt>
                <c:pt idx="60">
                  <c:v>2.9035312697188189</c:v>
                </c:pt>
                <c:pt idx="61">
                  <c:v>2.9438193597070414</c:v>
                </c:pt>
                <c:pt idx="62">
                  <c:v>2.9840781071790241</c:v>
                </c:pt>
                <c:pt idx="63">
                  <c:v>3.0243076343166382</c:v>
                </c:pt>
                <c:pt idx="64">
                  <c:v>3.0645080661411388</c:v>
                </c:pt>
                <c:pt idx="65">
                  <c:v>3.1046795304428345</c:v>
                </c:pt>
                <c:pt idx="66">
                  <c:v>3.1448221577099345</c:v>
                </c:pt>
                <c:pt idx="67">
                  <c:v>3.1849360810566418</c:v>
                </c:pt>
                <c:pt idx="68">
                  <c:v>3.2250214361505858</c:v>
                </c:pt>
                <c:pt idx="69">
                  <c:v>3.2650783611396794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62-4359-94B9-764B27AF03E4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XLSTAT_20210923_105258_1_HID!xdata2</c:f>
              <c:numCache>
                <c:formatCode>General</c:formatCode>
                <c:ptCount val="70"/>
                <c:pt idx="0">
                  <c:v>0.98700187437297005</c:v>
                </c:pt>
                <c:pt idx="1">
                  <c:v>1.0306276129590732</c:v>
                </c:pt>
                <c:pt idx="2">
                  <c:v>1.0742533515451766</c:v>
                </c:pt>
                <c:pt idx="3">
                  <c:v>1.1178790901312801</c:v>
                </c:pt>
                <c:pt idx="4">
                  <c:v>1.1615048287173833</c:v>
                </c:pt>
                <c:pt idx="5">
                  <c:v>1.2051305673034864</c:v>
                </c:pt>
                <c:pt idx="6">
                  <c:v>1.2487563058895899</c:v>
                </c:pt>
                <c:pt idx="7">
                  <c:v>1.2923820444756933</c:v>
                </c:pt>
                <c:pt idx="8">
                  <c:v>1.3360077830617965</c:v>
                </c:pt>
                <c:pt idx="9">
                  <c:v>1.3796335216478997</c:v>
                </c:pt>
                <c:pt idx="10">
                  <c:v>1.4232592602340031</c:v>
                </c:pt>
                <c:pt idx="11">
                  <c:v>1.4668849988201065</c:v>
                </c:pt>
                <c:pt idx="12">
                  <c:v>1.5105107374062097</c:v>
                </c:pt>
                <c:pt idx="13">
                  <c:v>1.5541364759923129</c:v>
                </c:pt>
                <c:pt idx="14">
                  <c:v>1.5977622145784163</c:v>
                </c:pt>
                <c:pt idx="15">
                  <c:v>1.6413879531645197</c:v>
                </c:pt>
                <c:pt idx="16">
                  <c:v>1.6850136917506229</c:v>
                </c:pt>
                <c:pt idx="17">
                  <c:v>1.7286394303367261</c:v>
                </c:pt>
                <c:pt idx="18">
                  <c:v>1.7722651689228295</c:v>
                </c:pt>
                <c:pt idx="19">
                  <c:v>1.8158909075089329</c:v>
                </c:pt>
                <c:pt idx="20">
                  <c:v>1.8595166460950361</c:v>
                </c:pt>
                <c:pt idx="21">
                  <c:v>1.9031423846811393</c:v>
                </c:pt>
                <c:pt idx="22">
                  <c:v>1.9467681232672427</c:v>
                </c:pt>
                <c:pt idx="23">
                  <c:v>1.9903938618533459</c:v>
                </c:pt>
                <c:pt idx="24">
                  <c:v>2.0340196004394491</c:v>
                </c:pt>
                <c:pt idx="25">
                  <c:v>2.0776453390255529</c:v>
                </c:pt>
                <c:pt idx="26">
                  <c:v>2.1212710776116559</c:v>
                </c:pt>
                <c:pt idx="27">
                  <c:v>2.1648968161977589</c:v>
                </c:pt>
                <c:pt idx="28">
                  <c:v>2.2085225547838627</c:v>
                </c:pt>
                <c:pt idx="29">
                  <c:v>2.2521482933699657</c:v>
                </c:pt>
                <c:pt idx="30">
                  <c:v>2.2957740319560691</c:v>
                </c:pt>
                <c:pt idx="31">
                  <c:v>2.3393997705421725</c:v>
                </c:pt>
                <c:pt idx="32">
                  <c:v>2.3830255091282755</c:v>
                </c:pt>
                <c:pt idx="33">
                  <c:v>2.4266512477143793</c:v>
                </c:pt>
                <c:pt idx="34">
                  <c:v>2.4702769863004823</c:v>
                </c:pt>
                <c:pt idx="35">
                  <c:v>2.5139027248865853</c:v>
                </c:pt>
                <c:pt idx="36">
                  <c:v>2.5575284634726891</c:v>
                </c:pt>
                <c:pt idx="37">
                  <c:v>2.6011542020587921</c:v>
                </c:pt>
                <c:pt idx="38">
                  <c:v>2.6447799406448955</c:v>
                </c:pt>
                <c:pt idx="39">
                  <c:v>2.6884056792309989</c:v>
                </c:pt>
                <c:pt idx="40">
                  <c:v>2.7320314178171019</c:v>
                </c:pt>
                <c:pt idx="41">
                  <c:v>2.7756571564032058</c:v>
                </c:pt>
                <c:pt idx="42">
                  <c:v>2.8192828949893087</c:v>
                </c:pt>
                <c:pt idx="43">
                  <c:v>2.8629086335754117</c:v>
                </c:pt>
                <c:pt idx="44">
                  <c:v>2.9065343721615156</c:v>
                </c:pt>
                <c:pt idx="45">
                  <c:v>2.9501601107476185</c:v>
                </c:pt>
                <c:pt idx="46">
                  <c:v>2.9937858493337215</c:v>
                </c:pt>
                <c:pt idx="47">
                  <c:v>3.0374115879198254</c:v>
                </c:pt>
                <c:pt idx="48">
                  <c:v>3.0810373265059283</c:v>
                </c:pt>
                <c:pt idx="49">
                  <c:v>3.1246630650920322</c:v>
                </c:pt>
                <c:pt idx="50">
                  <c:v>3.1682888036781351</c:v>
                </c:pt>
                <c:pt idx="51">
                  <c:v>3.2119145422642381</c:v>
                </c:pt>
                <c:pt idx="52">
                  <c:v>3.255540280850342</c:v>
                </c:pt>
                <c:pt idx="53">
                  <c:v>3.2991660194364449</c:v>
                </c:pt>
                <c:pt idx="54">
                  <c:v>3.3427917580225479</c:v>
                </c:pt>
                <c:pt idx="55">
                  <c:v>3.3864174966086518</c:v>
                </c:pt>
                <c:pt idx="56">
                  <c:v>3.4300432351947547</c:v>
                </c:pt>
                <c:pt idx="57">
                  <c:v>3.4736689737808586</c:v>
                </c:pt>
                <c:pt idx="58">
                  <c:v>3.5172947123669616</c:v>
                </c:pt>
                <c:pt idx="59">
                  <c:v>3.5609204509530645</c:v>
                </c:pt>
                <c:pt idx="60">
                  <c:v>3.6045461895391684</c:v>
                </c:pt>
                <c:pt idx="61">
                  <c:v>3.6481719281252714</c:v>
                </c:pt>
                <c:pt idx="62">
                  <c:v>3.6917976667113743</c:v>
                </c:pt>
                <c:pt idx="63">
                  <c:v>3.7354234052974782</c:v>
                </c:pt>
                <c:pt idx="64">
                  <c:v>3.7790491438835812</c:v>
                </c:pt>
                <c:pt idx="65">
                  <c:v>3.822674882469685</c:v>
                </c:pt>
                <c:pt idx="66">
                  <c:v>3.866300621055788</c:v>
                </c:pt>
                <c:pt idx="67">
                  <c:v>3.9099263596418909</c:v>
                </c:pt>
                <c:pt idx="68">
                  <c:v>3.9535520982279948</c:v>
                </c:pt>
                <c:pt idx="69">
                  <c:v>3.9971778368140978</c:v>
                </c:pt>
              </c:numCache>
            </c:numRef>
          </c:xVal>
          <c:yVal>
            <c:numRef>
              <c:f>XLSTAT_20210923_105258_1_HID!ydata2</c:f>
              <c:numCache>
                <c:formatCode>General</c:formatCode>
                <c:ptCount val="70"/>
                <c:pt idx="0">
                  <c:v>1.7105624450280046</c:v>
                </c:pt>
                <c:pt idx="1">
                  <c:v>1.7531456855887106</c:v>
                </c:pt>
                <c:pt idx="2">
                  <c:v>1.795761819032563</c:v>
                </c:pt>
                <c:pt idx="3">
                  <c:v>1.8384109836275304</c:v>
                </c:pt>
                <c:pt idx="4">
                  <c:v>1.8810933138561676</c:v>
                </c:pt>
                <c:pt idx="5">
                  <c:v>1.9238089403279663</c:v>
                </c:pt>
                <c:pt idx="6">
                  <c:v>1.9665579896934386</c:v>
                </c:pt>
                <c:pt idx="7">
                  <c:v>2.0093405845600634</c:v>
                </c:pt>
                <c:pt idx="8">
                  <c:v>2.0521568434102173</c:v>
                </c:pt>
                <c:pt idx="9">
                  <c:v>2.0950068805212121</c:v>
                </c:pt>
                <c:pt idx="10">
                  <c:v>2.1378908058875576</c:v>
                </c:pt>
                <c:pt idx="11">
                  <c:v>2.1808087251455701</c:v>
                </c:pt>
                <c:pt idx="12">
                  <c:v>2.2237607395004448</c:v>
                </c:pt>
                <c:pt idx="13">
                  <c:v>2.266746945655902</c:v>
                </c:pt>
                <c:pt idx="14">
                  <c:v>2.3097674357465197</c:v>
                </c:pt>
                <c:pt idx="15">
                  <c:v>2.352822297272859</c:v>
                </c:pt>
                <c:pt idx="16">
                  <c:v>2.3959116130394884</c:v>
                </c:pt>
                <c:pt idx="17">
                  <c:v>2.4390354610960068</c:v>
                </c:pt>
                <c:pt idx="18">
                  <c:v>2.4821939146811598</c:v>
                </c:pt>
                <c:pt idx="19">
                  <c:v>2.5253870421701405</c:v>
                </c:pt>
                <c:pt idx="20">
                  <c:v>2.568614907025168</c:v>
                </c:pt>
                <c:pt idx="21">
                  <c:v>2.6118775677494166</c:v>
                </c:pt>
                <c:pt idx="22">
                  <c:v>2.655175077844381</c:v>
                </c:pt>
                <c:pt idx="23">
                  <c:v>2.6985074857707443</c:v>
                </c:pt>
                <c:pt idx="24">
                  <c:v>2.741874834912819</c:v>
                </c:pt>
                <c:pt idx="25">
                  <c:v>2.7852771635466187</c:v>
                </c:pt>
                <c:pt idx="26">
                  <c:v>2.8287145048116122</c:v>
                </c:pt>
                <c:pt idx="27">
                  <c:v>2.8721868866862188</c:v>
                </c:pt>
                <c:pt idx="28">
                  <c:v>2.9156943319670772</c:v>
                </c:pt>
                <c:pt idx="29">
                  <c:v>2.9592368582521198</c:v>
                </c:pt>
                <c:pt idx="30">
                  <c:v>3.0028144779275054</c:v>
                </c:pt>
                <c:pt idx="31">
                  <c:v>3.0464271981583964</c:v>
                </c:pt>
                <c:pt idx="32">
                  <c:v>3.0900750208836305</c:v>
                </c:pt>
                <c:pt idx="33">
                  <c:v>3.1337579428142779</c:v>
                </c:pt>
                <c:pt idx="34">
                  <c:v>3.1774759554360852</c:v>
                </c:pt>
                <c:pt idx="35">
                  <c:v>3.2212290450158187</c:v>
                </c:pt>
                <c:pt idx="36">
                  <c:v>3.2650171926114715</c:v>
                </c:pt>
                <c:pt idx="37">
                  <c:v>3.3088403740863375</c:v>
                </c:pt>
                <c:pt idx="38">
                  <c:v>3.3526985601269201</c:v>
                </c:pt>
                <c:pt idx="39">
                  <c:v>3.3965917162646408</c:v>
                </c:pt>
                <c:pt idx="40">
                  <c:v>3.4405198029013162</c:v>
                </c:pt>
                <c:pt idx="41">
                  <c:v>3.4844827753383605</c:v>
                </c:pt>
                <c:pt idx="42">
                  <c:v>3.5284805838096513</c:v>
                </c:pt>
                <c:pt idx="43">
                  <c:v>3.5725131735180273</c:v>
                </c:pt>
                <c:pt idx="44">
                  <c:v>3.6165804846753224</c:v>
                </c:pt>
                <c:pt idx="45">
                  <c:v>3.6606824525458994</c:v>
                </c:pt>
                <c:pt idx="46">
                  <c:v>3.7048190074935925</c:v>
                </c:pt>
                <c:pt idx="47">
                  <c:v>3.7489900750319856</c:v>
                </c:pt>
                <c:pt idx="48">
                  <c:v>3.7931955758779385</c:v>
                </c:pt>
                <c:pt idx="49">
                  <c:v>3.8374354260082821</c:v>
                </c:pt>
                <c:pt idx="50">
                  <c:v>3.8817095367195771</c:v>
                </c:pt>
                <c:pt idx="51">
                  <c:v>3.9260178146908498</c:v>
                </c:pt>
                <c:pt idx="52">
                  <c:v>3.9703601620491979</c:v>
                </c:pt>
                <c:pt idx="53">
                  <c:v>4.0147364764381583</c:v>
                </c:pt>
                <c:pt idx="54">
                  <c:v>4.059146651088744</c:v>
                </c:pt>
                <c:pt idx="55">
                  <c:v>4.103590574893011</c:v>
                </c:pt>
                <c:pt idx="56">
                  <c:v>4.1480681324800726</c:v>
                </c:pt>
                <c:pt idx="57">
                  <c:v>4.1925792042944199</c:v>
                </c:pt>
                <c:pt idx="58">
                  <c:v>4.2371236666764398</c:v>
                </c:pt>
                <c:pt idx="59">
                  <c:v>4.2817013919450106</c:v>
                </c:pt>
                <c:pt idx="60">
                  <c:v>4.3263122484820498</c:v>
                </c:pt>
                <c:pt idx="61">
                  <c:v>4.3709561008188809</c:v>
                </c:pt>
                <c:pt idx="62">
                  <c:v>4.4156328097243236</c:v>
                </c:pt>
                <c:pt idx="63">
                  <c:v>4.4603422322943445</c:v>
                </c:pt>
                <c:pt idx="64">
                  <c:v>4.5050842220431644</c:v>
                </c:pt>
                <c:pt idx="65">
                  <c:v>4.5498586289957021</c:v>
                </c:pt>
                <c:pt idx="66">
                  <c:v>4.5946652997812061</c:v>
                </c:pt>
                <c:pt idx="67">
                  <c:v>4.6395040777279721</c:v>
                </c:pt>
                <c:pt idx="68">
                  <c:v>4.6843748029590042</c:v>
                </c:pt>
                <c:pt idx="69">
                  <c:v>4.7292773124885086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62-4359-94B9-764B27AF03E4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7562-4359-94B9-764B27AF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609935"/>
        <c:axId val="389610767"/>
      </c:scatterChart>
      <c:valAx>
        <c:axId val="389609935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Pred(SY)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389610767"/>
        <c:crosses val="autoZero"/>
        <c:crossBetween val="midCat"/>
      </c:valAx>
      <c:valAx>
        <c:axId val="389610767"/>
        <c:scaling>
          <c:orientation val="minMax"/>
          <c:max val="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960993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SY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'PLS-R'!$B$1482:$B$1723</c:f>
              <c:strCache>
                <c:ptCount val="242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</c:strCache>
            </c:strRef>
          </c:cat>
          <c:val>
            <c:numRef>
              <c:f>'PLS-R'!$G$1482:$G$1723</c:f>
              <c:numCache>
                <c:formatCode>0.000</c:formatCode>
                <c:ptCount val="242"/>
                <c:pt idx="0">
                  <c:v>0.3609598023985725</c:v>
                </c:pt>
                <c:pt idx="1">
                  <c:v>-0.49807297614678675</c:v>
                </c:pt>
                <c:pt idx="2">
                  <c:v>0.48400253662978693</c:v>
                </c:pt>
                <c:pt idx="3">
                  <c:v>0.41081829704471978</c:v>
                </c:pt>
                <c:pt idx="4">
                  <c:v>0.97902290284529259</c:v>
                </c:pt>
                <c:pt idx="5">
                  <c:v>0.28218987522088324</c:v>
                </c:pt>
                <c:pt idx="6">
                  <c:v>0.17175204140309028</c:v>
                </c:pt>
                <c:pt idx="7">
                  <c:v>0.74604811630740353</c:v>
                </c:pt>
                <c:pt idx="8">
                  <c:v>0.94067725668392022</c:v>
                </c:pt>
                <c:pt idx="9">
                  <c:v>-1.1660812338070257</c:v>
                </c:pt>
                <c:pt idx="10">
                  <c:v>0.20487121135950448</c:v>
                </c:pt>
                <c:pt idx="11">
                  <c:v>1.5649548221959564</c:v>
                </c:pt>
                <c:pt idx="12">
                  <c:v>0.21318361478790146</c:v>
                </c:pt>
                <c:pt idx="13">
                  <c:v>0.19109105308138147</c:v>
                </c:pt>
                <c:pt idx="14">
                  <c:v>0.4139203390751558</c:v>
                </c:pt>
                <c:pt idx="15">
                  <c:v>-0.94473817173236474</c:v>
                </c:pt>
                <c:pt idx="16">
                  <c:v>0.14306523274697786</c:v>
                </c:pt>
                <c:pt idx="17">
                  <c:v>0.44827652481205332</c:v>
                </c:pt>
                <c:pt idx="18">
                  <c:v>0.17074883045786507</c:v>
                </c:pt>
                <c:pt idx="19">
                  <c:v>0.67471520130409202</c:v>
                </c:pt>
                <c:pt idx="20">
                  <c:v>0.51550963010995488</c:v>
                </c:pt>
                <c:pt idx="21">
                  <c:v>0.41256189988393688</c:v>
                </c:pt>
                <c:pt idx="22">
                  <c:v>1.277332635202123</c:v>
                </c:pt>
                <c:pt idx="23">
                  <c:v>0.62970953939923802</c:v>
                </c:pt>
                <c:pt idx="24">
                  <c:v>0.68367536052168454</c:v>
                </c:pt>
                <c:pt idx="25">
                  <c:v>-0.56770282614449463</c:v>
                </c:pt>
                <c:pt idx="26">
                  <c:v>-0.58066807071225257</c:v>
                </c:pt>
                <c:pt idx="27">
                  <c:v>3.7346737100952682E-2</c:v>
                </c:pt>
                <c:pt idx="28">
                  <c:v>0.22511378333321336</c:v>
                </c:pt>
                <c:pt idx="29">
                  <c:v>-0.57076495488724932</c:v>
                </c:pt>
                <c:pt idx="30">
                  <c:v>0.62569440873003901</c:v>
                </c:pt>
                <c:pt idx="31">
                  <c:v>-0.53150789936356602</c:v>
                </c:pt>
                <c:pt idx="32">
                  <c:v>-1.2371644474104024</c:v>
                </c:pt>
                <c:pt idx="33">
                  <c:v>0.55048042722045121</c:v>
                </c:pt>
                <c:pt idx="34">
                  <c:v>1.4779679935912535</c:v>
                </c:pt>
                <c:pt idx="35">
                  <c:v>-1.2689331708189753</c:v>
                </c:pt>
                <c:pt idx="36">
                  <c:v>1.1504061976516471</c:v>
                </c:pt>
                <c:pt idx="37">
                  <c:v>0.43027143093239745</c:v>
                </c:pt>
                <c:pt idx="38">
                  <c:v>-0.19070189517629937</c:v>
                </c:pt>
                <c:pt idx="39">
                  <c:v>-2.0630340275330981</c:v>
                </c:pt>
                <c:pt idx="40">
                  <c:v>-2.2297799670536511</c:v>
                </c:pt>
                <c:pt idx="41">
                  <c:v>-0.73237662941621828</c:v>
                </c:pt>
                <c:pt idx="42">
                  <c:v>-1.5889165767999462</c:v>
                </c:pt>
                <c:pt idx="43">
                  <c:v>1.1112475850111989</c:v>
                </c:pt>
                <c:pt idx="44">
                  <c:v>-0.26592065644594226</c:v>
                </c:pt>
                <c:pt idx="45">
                  <c:v>1.2569370167619052</c:v>
                </c:pt>
                <c:pt idx="46">
                  <c:v>-0.67123472958963437</c:v>
                </c:pt>
                <c:pt idx="47">
                  <c:v>-0.44236701130034378</c:v>
                </c:pt>
                <c:pt idx="48">
                  <c:v>-2.211875251819353</c:v>
                </c:pt>
                <c:pt idx="49">
                  <c:v>-0.42222959769867013</c:v>
                </c:pt>
                <c:pt idx="50">
                  <c:v>-0.22467486389980798</c:v>
                </c:pt>
                <c:pt idx="51">
                  <c:v>1.1440549996112248E-2</c:v>
                </c:pt>
                <c:pt idx="52">
                  <c:v>-0.25226976830982634</c:v>
                </c:pt>
                <c:pt idx="53">
                  <c:v>0.15270130423505585</c:v>
                </c:pt>
                <c:pt idx="54">
                  <c:v>0.14553902735919569</c:v>
                </c:pt>
                <c:pt idx="55">
                  <c:v>-0.74192409996003972</c:v>
                </c:pt>
                <c:pt idx="56">
                  <c:v>0.26088819372794009</c:v>
                </c:pt>
                <c:pt idx="57">
                  <c:v>-0.53133193888586305</c:v>
                </c:pt>
                <c:pt idx="58">
                  <c:v>-1.0668547310080527</c:v>
                </c:pt>
                <c:pt idx="59">
                  <c:v>-0.6917729360327437</c:v>
                </c:pt>
                <c:pt idx="60">
                  <c:v>-0.6294134332903456</c:v>
                </c:pt>
                <c:pt idx="61">
                  <c:v>6.8923227677686869E-2</c:v>
                </c:pt>
                <c:pt idx="62">
                  <c:v>-1.8947388758265684</c:v>
                </c:pt>
                <c:pt idx="63">
                  <c:v>-0.42656620904710796</c:v>
                </c:pt>
                <c:pt idx="64">
                  <c:v>1.2003275043129142</c:v>
                </c:pt>
                <c:pt idx="65">
                  <c:v>-0.39026842059954647</c:v>
                </c:pt>
                <c:pt idx="66">
                  <c:v>-1.0222797206682452</c:v>
                </c:pt>
                <c:pt idx="67">
                  <c:v>-0.34334082619776335</c:v>
                </c:pt>
                <c:pt idx="68">
                  <c:v>-3.6421477191755432E-2</c:v>
                </c:pt>
                <c:pt idx="69">
                  <c:v>5.8003373370716224E-3</c:v>
                </c:pt>
                <c:pt idx="70">
                  <c:v>0.23426856121420905</c:v>
                </c:pt>
                <c:pt idx="71">
                  <c:v>0.94358478536014823</c:v>
                </c:pt>
                <c:pt idx="72">
                  <c:v>-1.0073280009338599</c:v>
                </c:pt>
                <c:pt idx="73">
                  <c:v>-0.21813485242743005</c:v>
                </c:pt>
                <c:pt idx="74">
                  <c:v>-0.78288942086047864</c:v>
                </c:pt>
                <c:pt idx="75">
                  <c:v>-0.96479133286245089</c:v>
                </c:pt>
                <c:pt idx="76">
                  <c:v>-0.61531635011653507</c:v>
                </c:pt>
                <c:pt idx="77">
                  <c:v>-0.2379364480658408</c:v>
                </c:pt>
                <c:pt idx="78">
                  <c:v>-0.50508783674966373</c:v>
                </c:pt>
                <c:pt idx="79">
                  <c:v>0.664910906694684</c:v>
                </c:pt>
                <c:pt idx="80">
                  <c:v>-0.54833207428063335</c:v>
                </c:pt>
                <c:pt idx="81">
                  <c:v>-0.71737769075282465</c:v>
                </c:pt>
                <c:pt idx="82">
                  <c:v>-0.13229405249941753</c:v>
                </c:pt>
                <c:pt idx="83">
                  <c:v>-0.36182552925278572</c:v>
                </c:pt>
                <c:pt idx="84">
                  <c:v>0.61013980594398443</c:v>
                </c:pt>
                <c:pt idx="85">
                  <c:v>0.46546502746803992</c:v>
                </c:pt>
                <c:pt idx="86">
                  <c:v>-0.38437688673294113</c:v>
                </c:pt>
                <c:pt idx="87">
                  <c:v>-0.33889340531452244</c:v>
                </c:pt>
                <c:pt idx="88">
                  <c:v>0.40049911537301414</c:v>
                </c:pt>
                <c:pt idx="89">
                  <c:v>0.46538663638530015</c:v>
                </c:pt>
                <c:pt idx="90">
                  <c:v>-1.0882988972517644</c:v>
                </c:pt>
                <c:pt idx="91">
                  <c:v>-5.0345247019472822E-2</c:v>
                </c:pt>
                <c:pt idx="92">
                  <c:v>-0.73092560202956536</c:v>
                </c:pt>
                <c:pt idx="93">
                  <c:v>0.4641560944965667</c:v>
                </c:pt>
                <c:pt idx="94">
                  <c:v>0.30377331252123529</c:v>
                </c:pt>
                <c:pt idx="95">
                  <c:v>-0.38852273205612764</c:v>
                </c:pt>
                <c:pt idx="96">
                  <c:v>0.27615212201414108</c:v>
                </c:pt>
                <c:pt idx="97">
                  <c:v>-0.52940544396099654</c:v>
                </c:pt>
                <c:pt idx="98">
                  <c:v>0.40889981630292033</c:v>
                </c:pt>
                <c:pt idx="99">
                  <c:v>0.23876718686416365</c:v>
                </c:pt>
                <c:pt idx="100">
                  <c:v>0.62199354445129629</c:v>
                </c:pt>
                <c:pt idx="101">
                  <c:v>0.44807017996750576</c:v>
                </c:pt>
                <c:pt idx="102">
                  <c:v>0.26198639032146775</c:v>
                </c:pt>
                <c:pt idx="103">
                  <c:v>-0.18042337393981672</c:v>
                </c:pt>
                <c:pt idx="104">
                  <c:v>0.20400445113404528</c:v>
                </c:pt>
                <c:pt idx="105">
                  <c:v>-0.85690107571736096</c:v>
                </c:pt>
                <c:pt idx="106">
                  <c:v>-0.63323333130699688</c:v>
                </c:pt>
                <c:pt idx="107">
                  <c:v>1.117058384121475</c:v>
                </c:pt>
                <c:pt idx="108">
                  <c:v>-0.28796276416021949</c:v>
                </c:pt>
                <c:pt idx="109">
                  <c:v>0.89930457869403679</c:v>
                </c:pt>
                <c:pt idx="110">
                  <c:v>-1.1298264866111341</c:v>
                </c:pt>
                <c:pt idx="111">
                  <c:v>-0.3952814858249602</c:v>
                </c:pt>
                <c:pt idx="112">
                  <c:v>0.35709458860673166</c:v>
                </c:pt>
                <c:pt idx="113">
                  <c:v>1.0077532802145384</c:v>
                </c:pt>
                <c:pt idx="114">
                  <c:v>-0.5778154732406503</c:v>
                </c:pt>
                <c:pt idx="115">
                  <c:v>0.14407997761544925</c:v>
                </c:pt>
                <c:pt idx="116">
                  <c:v>-5.4380501080724612E-2</c:v>
                </c:pt>
                <c:pt idx="117">
                  <c:v>-0.55656580680357437</c:v>
                </c:pt>
                <c:pt idx="118">
                  <c:v>0.68430566922311076</c:v>
                </c:pt>
                <c:pt idx="119">
                  <c:v>3.5528174533474552E-2</c:v>
                </c:pt>
                <c:pt idx="120">
                  <c:v>0.23097319665136948</c:v>
                </c:pt>
                <c:pt idx="121">
                  <c:v>0.23889212684353969</c:v>
                </c:pt>
                <c:pt idx="122">
                  <c:v>-0.42933035537016978</c:v>
                </c:pt>
                <c:pt idx="123">
                  <c:v>0.62902614772193222</c:v>
                </c:pt>
                <c:pt idx="124">
                  <c:v>0.18115955963949185</c:v>
                </c:pt>
                <c:pt idx="125">
                  <c:v>-0.12003843640455523</c:v>
                </c:pt>
                <c:pt idx="126">
                  <c:v>0.57513924609300793</c:v>
                </c:pt>
                <c:pt idx="127">
                  <c:v>2.203179456520032</c:v>
                </c:pt>
                <c:pt idx="128">
                  <c:v>0.19979940844972618</c:v>
                </c:pt>
                <c:pt idx="129">
                  <c:v>0.16600272038535507</c:v>
                </c:pt>
                <c:pt idx="130">
                  <c:v>-0.19484004525359058</c:v>
                </c:pt>
                <c:pt idx="131">
                  <c:v>-0.12100015729892606</c:v>
                </c:pt>
                <c:pt idx="132">
                  <c:v>0.69526980212823375</c:v>
                </c:pt>
                <c:pt idx="133">
                  <c:v>-0.22575266325996421</c:v>
                </c:pt>
                <c:pt idx="134">
                  <c:v>-0.67631939961687615</c:v>
                </c:pt>
                <c:pt idx="135">
                  <c:v>-3.2228244494997754E-2</c:v>
                </c:pt>
                <c:pt idx="136">
                  <c:v>-1.0140975365166132</c:v>
                </c:pt>
                <c:pt idx="137">
                  <c:v>-1.3140423335151927</c:v>
                </c:pt>
                <c:pt idx="138">
                  <c:v>-0.72710173086013885</c:v>
                </c:pt>
                <c:pt idx="139">
                  <c:v>0.86148824108012634</c:v>
                </c:pt>
                <c:pt idx="140">
                  <c:v>0.10901320290411054</c:v>
                </c:pt>
                <c:pt idx="141">
                  <c:v>0.67720462305898299</c:v>
                </c:pt>
                <c:pt idx="142">
                  <c:v>0.25198718796780972</c:v>
                </c:pt>
                <c:pt idx="143">
                  <c:v>-4.671067057487191E-2</c:v>
                </c:pt>
                <c:pt idx="144">
                  <c:v>-8.7039802111949713E-2</c:v>
                </c:pt>
                <c:pt idx="145">
                  <c:v>5.2317391033011855E-2</c:v>
                </c:pt>
                <c:pt idx="146">
                  <c:v>0.20417728130830684</c:v>
                </c:pt>
                <c:pt idx="147">
                  <c:v>0.31682373414071446</c:v>
                </c:pt>
                <c:pt idx="148">
                  <c:v>0.29384383569719047</c:v>
                </c:pt>
                <c:pt idx="149">
                  <c:v>-0.15235645546667778</c:v>
                </c:pt>
                <c:pt idx="150">
                  <c:v>0.35905131097678783</c:v>
                </c:pt>
                <c:pt idx="151">
                  <c:v>-0.2871225395571666</c:v>
                </c:pt>
                <c:pt idx="152">
                  <c:v>-0.39981325422763037</c:v>
                </c:pt>
                <c:pt idx="153">
                  <c:v>0.27505652977555445</c:v>
                </c:pt>
                <c:pt idx="154">
                  <c:v>-0.37109932621008618</c:v>
                </c:pt>
                <c:pt idx="155">
                  <c:v>0.4161096091113442</c:v>
                </c:pt>
                <c:pt idx="156">
                  <c:v>0.66737018028278261</c:v>
                </c:pt>
                <c:pt idx="157">
                  <c:v>-0.5192296345885512</c:v>
                </c:pt>
                <c:pt idx="158">
                  <c:v>0.14010690557835828</c:v>
                </c:pt>
                <c:pt idx="159">
                  <c:v>-0.63910120759837552</c:v>
                </c:pt>
                <c:pt idx="160">
                  <c:v>-1.3680455535952192E-2</c:v>
                </c:pt>
                <c:pt idx="161">
                  <c:v>0.38795990410973163</c:v>
                </c:pt>
                <c:pt idx="162">
                  <c:v>0.80807768557056359</c:v>
                </c:pt>
                <c:pt idx="163">
                  <c:v>0.80084572036467605</c:v>
                </c:pt>
                <c:pt idx="164">
                  <c:v>2.6027489061085145E-2</c:v>
                </c:pt>
                <c:pt idx="165">
                  <c:v>0.86891361262133815</c:v>
                </c:pt>
                <c:pt idx="166">
                  <c:v>0.74145575589841406</c:v>
                </c:pt>
                <c:pt idx="167">
                  <c:v>-0.2335455133994683</c:v>
                </c:pt>
                <c:pt idx="168">
                  <c:v>0.26642264645678143</c:v>
                </c:pt>
                <c:pt idx="169">
                  <c:v>-2.0332983114004881E-2</c:v>
                </c:pt>
                <c:pt idx="170">
                  <c:v>7.8373922531680712E-2</c:v>
                </c:pt>
                <c:pt idx="171">
                  <c:v>-0.55301568571092075</c:v>
                </c:pt>
                <c:pt idx="172">
                  <c:v>-0.66105235330250922</c:v>
                </c:pt>
                <c:pt idx="173">
                  <c:v>-4.8914663435771534E-2</c:v>
                </c:pt>
                <c:pt idx="174">
                  <c:v>0.59257001578186619</c:v>
                </c:pt>
                <c:pt idx="175">
                  <c:v>0.91179631055476806</c:v>
                </c:pt>
                <c:pt idx="176">
                  <c:v>0.256956074501694</c:v>
                </c:pt>
                <c:pt idx="177">
                  <c:v>-0.15762835980346382</c:v>
                </c:pt>
                <c:pt idx="178">
                  <c:v>0.42883238861734263</c:v>
                </c:pt>
                <c:pt idx="179">
                  <c:v>1.0823355117052329</c:v>
                </c:pt>
                <c:pt idx="180">
                  <c:v>0.85431636092658736</c:v>
                </c:pt>
                <c:pt idx="181">
                  <c:v>0.55195456443494317</c:v>
                </c:pt>
                <c:pt idx="182">
                  <c:v>0.68047113941246029</c:v>
                </c:pt>
                <c:pt idx="183">
                  <c:v>0.78543507503752519</c:v>
                </c:pt>
                <c:pt idx="184">
                  <c:v>0.14749752096750085</c:v>
                </c:pt>
                <c:pt idx="185">
                  <c:v>3.0825554622802811E-2</c:v>
                </c:pt>
                <c:pt idx="186">
                  <c:v>0.47467474113573932</c:v>
                </c:pt>
                <c:pt idx="187">
                  <c:v>0.59054715659242807</c:v>
                </c:pt>
                <c:pt idx="188">
                  <c:v>0.16789936333771527</c:v>
                </c:pt>
                <c:pt idx="189">
                  <c:v>-0.67953994840811716</c:v>
                </c:pt>
                <c:pt idx="190">
                  <c:v>-0.17100667957571822</c:v>
                </c:pt>
                <c:pt idx="191">
                  <c:v>0.92053021580655681</c:v>
                </c:pt>
                <c:pt idx="192">
                  <c:v>0.44200468371976076</c:v>
                </c:pt>
                <c:pt idx="193">
                  <c:v>-0.39053953133756791</c:v>
                </c:pt>
                <c:pt idx="194">
                  <c:v>-0.93202346512641598</c:v>
                </c:pt>
                <c:pt idx="195">
                  <c:v>-0.38459020750624756</c:v>
                </c:pt>
                <c:pt idx="196">
                  <c:v>-0.65854909114639137</c:v>
                </c:pt>
                <c:pt idx="197">
                  <c:v>-0.24019340999153749</c:v>
                </c:pt>
                <c:pt idx="198">
                  <c:v>-0.30033886997315501</c:v>
                </c:pt>
                <c:pt idx="199">
                  <c:v>-0.78783725623347334</c:v>
                </c:pt>
                <c:pt idx="200">
                  <c:v>-0.54737535101514079</c:v>
                </c:pt>
                <c:pt idx="201">
                  <c:v>-0.2761928673758699</c:v>
                </c:pt>
                <c:pt idx="202">
                  <c:v>-0.34759230316369016</c:v>
                </c:pt>
                <c:pt idx="203">
                  <c:v>-2.8171610505431627E-2</c:v>
                </c:pt>
                <c:pt idx="204">
                  <c:v>0.35160443557435728</c:v>
                </c:pt>
                <c:pt idx="205">
                  <c:v>0.8476357721387725</c:v>
                </c:pt>
                <c:pt idx="206">
                  <c:v>0.37276244442405604</c:v>
                </c:pt>
                <c:pt idx="207">
                  <c:v>-6.0489308478570425E-2</c:v>
                </c:pt>
                <c:pt idx="208">
                  <c:v>-0.25050855802347488</c:v>
                </c:pt>
                <c:pt idx="209">
                  <c:v>0.40972184515736676</c:v>
                </c:pt>
                <c:pt idx="210">
                  <c:v>0.4828900719668115</c:v>
                </c:pt>
                <c:pt idx="211">
                  <c:v>5.1670362557642818E-2</c:v>
                </c:pt>
                <c:pt idx="212">
                  <c:v>-1.9965954916086017E-2</c:v>
                </c:pt>
                <c:pt idx="213">
                  <c:v>0.10258151330261936</c:v>
                </c:pt>
                <c:pt idx="214">
                  <c:v>0.41477271344967265</c:v>
                </c:pt>
                <c:pt idx="215">
                  <c:v>-0.14305093114456763</c:v>
                </c:pt>
                <c:pt idx="216">
                  <c:v>0.32121728418670725</c:v>
                </c:pt>
                <c:pt idx="217">
                  <c:v>-0.44965790615725765</c:v>
                </c:pt>
                <c:pt idx="218">
                  <c:v>-0.11819321598799025</c:v>
                </c:pt>
                <c:pt idx="219">
                  <c:v>0.13411048059564984</c:v>
                </c:pt>
                <c:pt idx="220">
                  <c:v>0.69641745217969764</c:v>
                </c:pt>
                <c:pt idx="221">
                  <c:v>-0.36666495815107464</c:v>
                </c:pt>
                <c:pt idx="222">
                  <c:v>0.10881576464343869</c:v>
                </c:pt>
                <c:pt idx="223">
                  <c:v>-0.83466452932782742</c:v>
                </c:pt>
                <c:pt idx="224">
                  <c:v>-0.96473434429985272</c:v>
                </c:pt>
                <c:pt idx="225">
                  <c:v>-0.41442271907134115</c:v>
                </c:pt>
                <c:pt idx="226">
                  <c:v>-1.0244843012406868</c:v>
                </c:pt>
                <c:pt idx="227">
                  <c:v>0.47757179375960152</c:v>
                </c:pt>
                <c:pt idx="228">
                  <c:v>0.48886112020286721</c:v>
                </c:pt>
                <c:pt idx="229">
                  <c:v>-0.36045085619968792</c:v>
                </c:pt>
                <c:pt idx="230">
                  <c:v>0.12108838007215461</c:v>
                </c:pt>
                <c:pt idx="231">
                  <c:v>0.49011049523000666</c:v>
                </c:pt>
                <c:pt idx="232">
                  <c:v>0.62959208912528264</c:v>
                </c:pt>
                <c:pt idx="233">
                  <c:v>0.19334418233728543</c:v>
                </c:pt>
                <c:pt idx="234">
                  <c:v>-1.7092669520204051</c:v>
                </c:pt>
                <c:pt idx="235">
                  <c:v>2.1885714339575101E-2</c:v>
                </c:pt>
                <c:pt idx="236">
                  <c:v>-0.63746569353006655</c:v>
                </c:pt>
                <c:pt idx="237">
                  <c:v>-1.114622948716643</c:v>
                </c:pt>
                <c:pt idx="238">
                  <c:v>0.27485030140915223</c:v>
                </c:pt>
                <c:pt idx="239">
                  <c:v>0.28163199770397473</c:v>
                </c:pt>
                <c:pt idx="240">
                  <c:v>0.48769314937691738</c:v>
                </c:pt>
                <c:pt idx="241">
                  <c:v>1.6794875596571497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3-499C-B7C6-DAF29AFC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89612015"/>
        <c:axId val="389609935"/>
      </c:barChart>
      <c:catAx>
        <c:axId val="3896120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389609935"/>
        <c:crosses val="autoZero"/>
        <c:auto val="1"/>
        <c:lblAlgn val="ctr"/>
        <c:lblOffset val="100"/>
        <c:noMultiLvlLbl val="0"/>
      </c:catAx>
      <c:valAx>
        <c:axId val="389609935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961201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Outliers analysis
(DModX / DCrit(X)=1.358)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Standardized dModX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cat>
            <c:strRef>
              <c:f>'PLS-R'!$B$1769:$B$2010</c:f>
              <c:strCache>
                <c:ptCount val="242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</c:strCache>
            </c:strRef>
          </c:cat>
          <c:val>
            <c:numRef>
              <c:f>'PLS-R'!$E$1769:$E$2010</c:f>
              <c:numCache>
                <c:formatCode>0.000</c:formatCode>
                <c:ptCount val="242"/>
                <c:pt idx="0">
                  <c:v>0.78261557536771775</c:v>
                </c:pt>
                <c:pt idx="1">
                  <c:v>1.1879095322036282</c:v>
                </c:pt>
                <c:pt idx="2">
                  <c:v>1.0643055945865258</c:v>
                </c:pt>
                <c:pt idx="3">
                  <c:v>0.72341644212786038</c:v>
                </c:pt>
                <c:pt idx="4">
                  <c:v>0.95379410069133697</c:v>
                </c:pt>
                <c:pt idx="5">
                  <c:v>0.70705723430046519</c:v>
                </c:pt>
                <c:pt idx="6">
                  <c:v>0.75469044056509793</c:v>
                </c:pt>
                <c:pt idx="7">
                  <c:v>0.64286148068138216</c:v>
                </c:pt>
                <c:pt idx="8">
                  <c:v>0.90870544962511224</c:v>
                </c:pt>
                <c:pt idx="9">
                  <c:v>0.91366965473018125</c:v>
                </c:pt>
                <c:pt idx="10">
                  <c:v>0.89160231942048762</c:v>
                </c:pt>
                <c:pt idx="11">
                  <c:v>1.0169566549584479</c:v>
                </c:pt>
                <c:pt idx="12">
                  <c:v>0.63752617835699066</c:v>
                </c:pt>
                <c:pt idx="13">
                  <c:v>0.87058864367197686</c:v>
                </c:pt>
                <c:pt idx="14">
                  <c:v>0.76221528657794935</c:v>
                </c:pt>
                <c:pt idx="15">
                  <c:v>0.88984714632002537</c:v>
                </c:pt>
                <c:pt idx="16">
                  <c:v>0.97735762221340716</c:v>
                </c:pt>
                <c:pt idx="17">
                  <c:v>0.70886419680598423</c:v>
                </c:pt>
                <c:pt idx="18">
                  <c:v>0.46997527931688349</c:v>
                </c:pt>
                <c:pt idx="19">
                  <c:v>0.894730599802391</c:v>
                </c:pt>
                <c:pt idx="20">
                  <c:v>1.552154581933743</c:v>
                </c:pt>
                <c:pt idx="21">
                  <c:v>1.2204665108357808</c:v>
                </c:pt>
                <c:pt idx="22">
                  <c:v>0.7424385962003377</c:v>
                </c:pt>
                <c:pt idx="23">
                  <c:v>1.0248354597177169</c:v>
                </c:pt>
                <c:pt idx="24">
                  <c:v>0.84268938963819318</c:v>
                </c:pt>
                <c:pt idx="25">
                  <c:v>1.1105146526725393</c:v>
                </c:pt>
                <c:pt idx="26">
                  <c:v>1.457482079352395</c:v>
                </c:pt>
                <c:pt idx="27">
                  <c:v>0.53275274417031093</c:v>
                </c:pt>
                <c:pt idx="28">
                  <c:v>0.69416811333278494</c:v>
                </c:pt>
                <c:pt idx="29">
                  <c:v>2.3791494322473969</c:v>
                </c:pt>
                <c:pt idx="30">
                  <c:v>0.64706526473274462</c:v>
                </c:pt>
                <c:pt idx="31">
                  <c:v>1.3965329754342735</c:v>
                </c:pt>
                <c:pt idx="32">
                  <c:v>0.79100150623606902</c:v>
                </c:pt>
                <c:pt idx="33">
                  <c:v>0.71952632587988252</c:v>
                </c:pt>
                <c:pt idx="34">
                  <c:v>1.3681982257913339</c:v>
                </c:pt>
                <c:pt idx="35">
                  <c:v>0.48670842659109592</c:v>
                </c:pt>
                <c:pt idx="36">
                  <c:v>1.5605223098501078</c:v>
                </c:pt>
                <c:pt idx="37">
                  <c:v>1.3909935935867241</c:v>
                </c:pt>
                <c:pt idx="38">
                  <c:v>0.98649010975010565</c:v>
                </c:pt>
                <c:pt idx="39">
                  <c:v>0.91017214684992842</c:v>
                </c:pt>
                <c:pt idx="40">
                  <c:v>1.779306983443331</c:v>
                </c:pt>
                <c:pt idx="41">
                  <c:v>0.75832023735547438</c:v>
                </c:pt>
                <c:pt idx="42">
                  <c:v>0.89124784440909521</c:v>
                </c:pt>
                <c:pt idx="43">
                  <c:v>0.99847401515354106</c:v>
                </c:pt>
                <c:pt idx="44">
                  <c:v>0.8810521791748358</c:v>
                </c:pt>
                <c:pt idx="45">
                  <c:v>0.69928600792490825</c:v>
                </c:pt>
                <c:pt idx="46">
                  <c:v>0.7046751468906608</c:v>
                </c:pt>
                <c:pt idx="47">
                  <c:v>0.93765974184631762</c:v>
                </c:pt>
                <c:pt idx="48">
                  <c:v>0.82313117140030911</c:v>
                </c:pt>
                <c:pt idx="49">
                  <c:v>0.44286902418642549</c:v>
                </c:pt>
                <c:pt idx="50">
                  <c:v>0.74615648875815188</c:v>
                </c:pt>
                <c:pt idx="51">
                  <c:v>0.86631916832681011</c:v>
                </c:pt>
                <c:pt idx="52">
                  <c:v>0.7873408498337261</c:v>
                </c:pt>
                <c:pt idx="53">
                  <c:v>0.76379154339758304</c:v>
                </c:pt>
                <c:pt idx="54">
                  <c:v>0.71004715199446733</c:v>
                </c:pt>
                <c:pt idx="55">
                  <c:v>1.2216763023817196</c:v>
                </c:pt>
                <c:pt idx="56">
                  <c:v>0.52944948345131759</c:v>
                </c:pt>
                <c:pt idx="57">
                  <c:v>0.83664307693257889</c:v>
                </c:pt>
                <c:pt idx="58">
                  <c:v>0.83143040969800019</c:v>
                </c:pt>
                <c:pt idx="59">
                  <c:v>0.63316672777289917</c:v>
                </c:pt>
                <c:pt idx="60">
                  <c:v>0.52208910604910164</c:v>
                </c:pt>
                <c:pt idx="61">
                  <c:v>0.61306628816829201</c:v>
                </c:pt>
                <c:pt idx="62">
                  <c:v>0.64327442327250706</c:v>
                </c:pt>
                <c:pt idx="63">
                  <c:v>0.77469972618928185</c:v>
                </c:pt>
                <c:pt idx="64">
                  <c:v>0.72780539243638465</c:v>
                </c:pt>
                <c:pt idx="65">
                  <c:v>0.92344352200036983</c:v>
                </c:pt>
                <c:pt idx="66">
                  <c:v>1.2867942977984501</c:v>
                </c:pt>
                <c:pt idx="67">
                  <c:v>0.52552968611058293</c:v>
                </c:pt>
                <c:pt idx="68">
                  <c:v>0.9919398032003256</c:v>
                </c:pt>
                <c:pt idx="69">
                  <c:v>0.52529437843566085</c:v>
                </c:pt>
                <c:pt idx="70">
                  <c:v>1.302182155148137</c:v>
                </c:pt>
                <c:pt idx="71">
                  <c:v>0.55897401043084349</c:v>
                </c:pt>
                <c:pt idx="72">
                  <c:v>0.91680488287925321</c:v>
                </c:pt>
                <c:pt idx="73">
                  <c:v>0.94364366392335908</c:v>
                </c:pt>
                <c:pt idx="74">
                  <c:v>0.5326358617419209</c:v>
                </c:pt>
                <c:pt idx="75">
                  <c:v>0.67109489837590985</c:v>
                </c:pt>
                <c:pt idx="76">
                  <c:v>0.72192271185028478</c:v>
                </c:pt>
                <c:pt idx="77">
                  <c:v>0.75370931798126151</c:v>
                </c:pt>
                <c:pt idx="78">
                  <c:v>0.84556279366735776</c:v>
                </c:pt>
                <c:pt idx="79">
                  <c:v>0.89237253118883109</c:v>
                </c:pt>
                <c:pt idx="80">
                  <c:v>0.76065863254901023</c:v>
                </c:pt>
                <c:pt idx="81">
                  <c:v>0.85993950753197379</c:v>
                </c:pt>
                <c:pt idx="82">
                  <c:v>0.6055463709640595</c:v>
                </c:pt>
                <c:pt idx="83">
                  <c:v>0.59414313161423271</c:v>
                </c:pt>
                <c:pt idx="84">
                  <c:v>0.65010785256342418</c:v>
                </c:pt>
                <c:pt idx="85">
                  <c:v>0.63914742982108386</c:v>
                </c:pt>
                <c:pt idx="86">
                  <c:v>0.80208775503504925</c:v>
                </c:pt>
                <c:pt idx="87">
                  <c:v>0.82548402712228919</c:v>
                </c:pt>
                <c:pt idx="88">
                  <c:v>0.82669543952308988</c:v>
                </c:pt>
                <c:pt idx="89">
                  <c:v>0.84753209643180805</c:v>
                </c:pt>
                <c:pt idx="90">
                  <c:v>0.7930701559873119</c:v>
                </c:pt>
                <c:pt idx="91">
                  <c:v>0.82238222314994913</c:v>
                </c:pt>
                <c:pt idx="92">
                  <c:v>0.65882426017052964</c:v>
                </c:pt>
                <c:pt idx="93">
                  <c:v>0.60363150763053786</c:v>
                </c:pt>
                <c:pt idx="94">
                  <c:v>1.1020929613044685</c:v>
                </c:pt>
                <c:pt idx="95">
                  <c:v>0.62315717227099032</c:v>
                </c:pt>
                <c:pt idx="96">
                  <c:v>0.74368733431690559</c:v>
                </c:pt>
                <c:pt idx="97">
                  <c:v>0.60258073482849595</c:v>
                </c:pt>
                <c:pt idx="98">
                  <c:v>0.61529681622072208</c:v>
                </c:pt>
                <c:pt idx="99">
                  <c:v>1.2261619364916574</c:v>
                </c:pt>
                <c:pt idx="100">
                  <c:v>1.0321097558284347</c:v>
                </c:pt>
                <c:pt idx="101">
                  <c:v>0.81479025936549665</c:v>
                </c:pt>
                <c:pt idx="102">
                  <c:v>1.215611780670649</c:v>
                </c:pt>
                <c:pt idx="103">
                  <c:v>0.86790823157599262</c:v>
                </c:pt>
                <c:pt idx="104">
                  <c:v>2.7015370840724984</c:v>
                </c:pt>
                <c:pt idx="105">
                  <c:v>0.71822034336761031</c:v>
                </c:pt>
                <c:pt idx="106">
                  <c:v>1.1504559417871536</c:v>
                </c:pt>
                <c:pt idx="107">
                  <c:v>1.0005788982145192</c:v>
                </c:pt>
                <c:pt idx="108">
                  <c:v>0.95754576579812256</c:v>
                </c:pt>
                <c:pt idx="109">
                  <c:v>0.81104837778358674</c:v>
                </c:pt>
                <c:pt idx="110">
                  <c:v>0.77521314236954053</c:v>
                </c:pt>
                <c:pt idx="111">
                  <c:v>1.1090432862392909</c:v>
                </c:pt>
                <c:pt idx="112">
                  <c:v>0.74775241597483288</c:v>
                </c:pt>
                <c:pt idx="113">
                  <c:v>0.76066742239096552</c:v>
                </c:pt>
                <c:pt idx="114">
                  <c:v>0.9747115238973344</c:v>
                </c:pt>
                <c:pt idx="115">
                  <c:v>0.94210315746958706</c:v>
                </c:pt>
                <c:pt idx="116">
                  <c:v>0.94943597832515625</c:v>
                </c:pt>
                <c:pt idx="117">
                  <c:v>0.70827183871049781</c:v>
                </c:pt>
                <c:pt idx="118">
                  <c:v>0.9974186968848846</c:v>
                </c:pt>
                <c:pt idx="119">
                  <c:v>1.0017150994476856</c:v>
                </c:pt>
                <c:pt idx="120">
                  <c:v>0.95547077291396587</c:v>
                </c:pt>
                <c:pt idx="121">
                  <c:v>0.89498047156787652</c:v>
                </c:pt>
                <c:pt idx="122">
                  <c:v>0.94199444575347879</c:v>
                </c:pt>
                <c:pt idx="123">
                  <c:v>0.64826883005111591</c:v>
                </c:pt>
                <c:pt idx="124">
                  <c:v>0.80918322537995324</c:v>
                </c:pt>
                <c:pt idx="125">
                  <c:v>0.7119354180696702</c:v>
                </c:pt>
                <c:pt idx="126">
                  <c:v>1.1136118172527592</c:v>
                </c:pt>
                <c:pt idx="127">
                  <c:v>0.85070273212484859</c:v>
                </c:pt>
                <c:pt idx="128">
                  <c:v>1.242028164124551</c:v>
                </c:pt>
                <c:pt idx="129">
                  <c:v>1.1573480918703762</c:v>
                </c:pt>
                <c:pt idx="130">
                  <c:v>0.99725725710630175</c:v>
                </c:pt>
                <c:pt idx="131">
                  <c:v>2.2330770530112538</c:v>
                </c:pt>
                <c:pt idx="132">
                  <c:v>2.1497115745044204</c:v>
                </c:pt>
                <c:pt idx="133">
                  <c:v>1.0461888175487999</c:v>
                </c:pt>
                <c:pt idx="134">
                  <c:v>1.1680871335706771</c:v>
                </c:pt>
                <c:pt idx="135">
                  <c:v>1.9167861200222034</c:v>
                </c:pt>
                <c:pt idx="136">
                  <c:v>1.3152273099469387</c:v>
                </c:pt>
                <c:pt idx="137">
                  <c:v>3.2312593912059855</c:v>
                </c:pt>
                <c:pt idx="138">
                  <c:v>1.4631621204716565</c:v>
                </c:pt>
                <c:pt idx="139">
                  <c:v>3.8173661433596013</c:v>
                </c:pt>
                <c:pt idx="140">
                  <c:v>1.0424462208165701</c:v>
                </c:pt>
                <c:pt idx="141">
                  <c:v>0.95143025733939091</c:v>
                </c:pt>
                <c:pt idx="142">
                  <c:v>0.84433291514463293</c:v>
                </c:pt>
                <c:pt idx="143">
                  <c:v>0.87899353046135642</c:v>
                </c:pt>
                <c:pt idx="144">
                  <c:v>0.62819116407478126</c:v>
                </c:pt>
                <c:pt idx="145">
                  <c:v>0.61401105535376499</c:v>
                </c:pt>
                <c:pt idx="146">
                  <c:v>0.55961992497021595</c:v>
                </c:pt>
                <c:pt idx="147">
                  <c:v>0.57690747951869992</c:v>
                </c:pt>
                <c:pt idx="148">
                  <c:v>0.79682163710346654</c:v>
                </c:pt>
                <c:pt idx="149">
                  <c:v>0.88924993350973691</c:v>
                </c:pt>
                <c:pt idx="150">
                  <c:v>0.83428165408608113</c:v>
                </c:pt>
                <c:pt idx="151">
                  <c:v>0.76243957714706556</c:v>
                </c:pt>
                <c:pt idx="152">
                  <c:v>0.78442002077635753</c:v>
                </c:pt>
                <c:pt idx="153">
                  <c:v>0.85093851920809438</c:v>
                </c:pt>
                <c:pt idx="154">
                  <c:v>0.97882395316651472</c:v>
                </c:pt>
                <c:pt idx="155">
                  <c:v>0.62896754890669992</c:v>
                </c:pt>
                <c:pt idx="156">
                  <c:v>0.65655178722340823</c:v>
                </c:pt>
                <c:pt idx="157">
                  <c:v>0.72793032174927952</c:v>
                </c:pt>
                <c:pt idx="158">
                  <c:v>0.33771102953632615</c:v>
                </c:pt>
                <c:pt idx="159">
                  <c:v>0.37270676697740979</c:v>
                </c:pt>
                <c:pt idx="160">
                  <c:v>0.63139106485719054</c:v>
                </c:pt>
                <c:pt idx="161">
                  <c:v>0.67396256068837646</c:v>
                </c:pt>
                <c:pt idx="162">
                  <c:v>0.78509426066587429</c:v>
                </c:pt>
                <c:pt idx="163">
                  <c:v>0.82419692723669991</c:v>
                </c:pt>
                <c:pt idx="164">
                  <c:v>1.5973959099688777</c:v>
                </c:pt>
                <c:pt idx="165">
                  <c:v>1.0546908326433122</c:v>
                </c:pt>
                <c:pt idx="166">
                  <c:v>2.6356936486047289</c:v>
                </c:pt>
                <c:pt idx="167">
                  <c:v>0.71290906148504041</c:v>
                </c:pt>
                <c:pt idx="168">
                  <c:v>0.7572364899145313</c:v>
                </c:pt>
                <c:pt idx="169">
                  <c:v>0.70045609745677728</c:v>
                </c:pt>
                <c:pt idx="170">
                  <c:v>0.63378228393777403</c:v>
                </c:pt>
                <c:pt idx="171">
                  <c:v>0.67533786197497303</c:v>
                </c:pt>
                <c:pt idx="172">
                  <c:v>0.70351062167425771</c:v>
                </c:pt>
                <c:pt idx="173">
                  <c:v>0.84752173114206508</c:v>
                </c:pt>
                <c:pt idx="174">
                  <c:v>0.68574193419127116</c:v>
                </c:pt>
                <c:pt idx="175">
                  <c:v>0.68502324770986678</c:v>
                </c:pt>
                <c:pt idx="176">
                  <c:v>0.81328225042762092</c:v>
                </c:pt>
                <c:pt idx="177">
                  <c:v>0.94467890944203636</c:v>
                </c:pt>
                <c:pt idx="178">
                  <c:v>0.79408083009101949</c:v>
                </c:pt>
                <c:pt idx="179">
                  <c:v>0.53695179593732445</c:v>
                </c:pt>
                <c:pt idx="180">
                  <c:v>0.49900972013177625</c:v>
                </c:pt>
                <c:pt idx="181">
                  <c:v>0.95907282520278714</c:v>
                </c:pt>
                <c:pt idx="182">
                  <c:v>0.66207956876903273</c:v>
                </c:pt>
                <c:pt idx="183">
                  <c:v>0.65404425747227846</c:v>
                </c:pt>
                <c:pt idx="184">
                  <c:v>0.86448600666193287</c:v>
                </c:pt>
                <c:pt idx="185">
                  <c:v>0.63858473227061163</c:v>
                </c:pt>
                <c:pt idx="186">
                  <c:v>0.50128840905983552</c:v>
                </c:pt>
                <c:pt idx="187">
                  <c:v>0.56978850204934106</c:v>
                </c:pt>
                <c:pt idx="188">
                  <c:v>0.66213946025387027</c:v>
                </c:pt>
                <c:pt idx="189">
                  <c:v>0.39300963403489819</c:v>
                </c:pt>
                <c:pt idx="190">
                  <c:v>0.69105119518358959</c:v>
                </c:pt>
                <c:pt idx="191">
                  <c:v>1.2964152374892159</c:v>
                </c:pt>
                <c:pt idx="192">
                  <c:v>1.273278591032228</c:v>
                </c:pt>
                <c:pt idx="193">
                  <c:v>0.50405365236381849</c:v>
                </c:pt>
                <c:pt idx="194">
                  <c:v>0.55751492063319252</c:v>
                </c:pt>
                <c:pt idx="195">
                  <c:v>1.1162478423304156</c:v>
                </c:pt>
                <c:pt idx="196">
                  <c:v>0.54781532257088561</c:v>
                </c:pt>
                <c:pt idx="197">
                  <c:v>0.52461514528976183</c:v>
                </c:pt>
                <c:pt idx="198">
                  <c:v>0.63853462070129197</c:v>
                </c:pt>
                <c:pt idx="199">
                  <c:v>0.4383864349584336</c:v>
                </c:pt>
                <c:pt idx="200">
                  <c:v>0.48195405432440386</c:v>
                </c:pt>
                <c:pt idx="201">
                  <c:v>0.47233095576688017</c:v>
                </c:pt>
                <c:pt idx="202">
                  <c:v>0.51426467030220857</c:v>
                </c:pt>
                <c:pt idx="203">
                  <c:v>0.44070689237135252</c:v>
                </c:pt>
                <c:pt idx="204">
                  <c:v>0.67131139341079149</c:v>
                </c:pt>
                <c:pt idx="205">
                  <c:v>0.70400668937551525</c:v>
                </c:pt>
                <c:pt idx="206">
                  <c:v>0.69740269311280478</c:v>
                </c:pt>
                <c:pt idx="207">
                  <c:v>0.79986162873861588</c:v>
                </c:pt>
                <c:pt idx="208">
                  <c:v>0.86496895938546048</c:v>
                </c:pt>
                <c:pt idx="209">
                  <c:v>1.9384803182009092</c:v>
                </c:pt>
                <c:pt idx="210">
                  <c:v>0.68108798234964207</c:v>
                </c:pt>
                <c:pt idx="211">
                  <c:v>0.68809100473525897</c:v>
                </c:pt>
                <c:pt idx="212">
                  <c:v>0.52950449812457467</c:v>
                </c:pt>
                <c:pt idx="213">
                  <c:v>0.5516552496462479</c:v>
                </c:pt>
                <c:pt idx="214">
                  <c:v>0.78222057196300798</c:v>
                </c:pt>
                <c:pt idx="215">
                  <c:v>0.99414017107356767</c:v>
                </c:pt>
                <c:pt idx="216">
                  <c:v>0.72139087916739131</c:v>
                </c:pt>
                <c:pt idx="217">
                  <c:v>0.5413724537247192</c:v>
                </c:pt>
                <c:pt idx="218">
                  <c:v>0.75792918052268332</c:v>
                </c:pt>
                <c:pt idx="219">
                  <c:v>1.2795360223366086</c:v>
                </c:pt>
                <c:pt idx="220">
                  <c:v>1.4016490811348263</c:v>
                </c:pt>
                <c:pt idx="221">
                  <c:v>0.3934205841019065</c:v>
                </c:pt>
                <c:pt idx="222">
                  <c:v>0.45013847799673262</c:v>
                </c:pt>
                <c:pt idx="223">
                  <c:v>0.65309364090586597</c:v>
                </c:pt>
                <c:pt idx="224">
                  <c:v>0.62962690421345491</c:v>
                </c:pt>
                <c:pt idx="225">
                  <c:v>0.93829287997013811</c:v>
                </c:pt>
                <c:pt idx="226">
                  <c:v>0.67774250545305015</c:v>
                </c:pt>
                <c:pt idx="227">
                  <c:v>0.84647772550514422</c:v>
                </c:pt>
                <c:pt idx="228">
                  <c:v>0.69488881395973834</c:v>
                </c:pt>
                <c:pt idx="229">
                  <c:v>0.50805485327936339</c:v>
                </c:pt>
                <c:pt idx="230">
                  <c:v>0.71374724974361947</c:v>
                </c:pt>
                <c:pt idx="231">
                  <c:v>2.2596755517144778</c:v>
                </c:pt>
                <c:pt idx="232">
                  <c:v>2.2381248804649569</c:v>
                </c:pt>
                <c:pt idx="233">
                  <c:v>0.8466203401232838</c:v>
                </c:pt>
                <c:pt idx="234">
                  <c:v>0.77064917272831956</c:v>
                </c:pt>
                <c:pt idx="235">
                  <c:v>0.80572150096201323</c:v>
                </c:pt>
                <c:pt idx="236">
                  <c:v>1.0301337448923009</c:v>
                </c:pt>
                <c:pt idx="237">
                  <c:v>1.3401223184815731</c:v>
                </c:pt>
                <c:pt idx="238">
                  <c:v>0.98960127646793172</c:v>
                </c:pt>
                <c:pt idx="239">
                  <c:v>0.96295755173431996</c:v>
                </c:pt>
                <c:pt idx="240">
                  <c:v>0.48795729552761169</c:v>
                </c:pt>
                <c:pt idx="241">
                  <c:v>0.67436177975638623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EE-48D6-902A-8F4E52053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09519"/>
        <c:axId val="389607439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242</c:v>
              </c:pt>
            </c:numLit>
          </c:xVal>
          <c:yVal>
            <c:numLit>
              <c:formatCode>General</c:formatCode>
              <c:ptCount val="2"/>
              <c:pt idx="0">
                <c:v>1.3581692694496068</c:v>
              </c:pt>
              <c:pt idx="1">
                <c:v>1.3581692694496068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CEE-48D6-902A-8F4E52053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570079"/>
        <c:axId val="681567583"/>
      </c:scatterChart>
      <c:catAx>
        <c:axId val="389609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389607439"/>
        <c:crosses val="autoZero"/>
        <c:auto val="1"/>
        <c:lblAlgn val="ctr"/>
        <c:lblOffset val="100"/>
        <c:noMultiLvlLbl val="0"/>
      </c:catAx>
      <c:valAx>
        <c:axId val="38960743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dModX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9609519"/>
        <c:crosses val="autoZero"/>
        <c:crossBetween val="between"/>
      </c:valAx>
      <c:valAx>
        <c:axId val="68156758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81570079"/>
        <c:crosses val="max"/>
        <c:crossBetween val="midCat"/>
      </c:valAx>
      <c:valAx>
        <c:axId val="681570079"/>
        <c:scaling>
          <c:orientation val="minMax"/>
          <c:max val="242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681567583"/>
        <c:crosses val="max"/>
        <c:crossBetween val="midCat"/>
        <c:majorUnit val="5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Outliers analysis
(DModY / DCrit(Y)=1.566)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Standardized dModY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cat>
            <c:strRef>
              <c:f>'PLS-R'!$B$1769:$B$2010</c:f>
              <c:strCache>
                <c:ptCount val="242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</c:strCache>
            </c:strRef>
          </c:cat>
          <c:val>
            <c:numRef>
              <c:f>'PLS-R'!$F$1769:$F$2010</c:f>
              <c:numCache>
                <c:formatCode>0.000</c:formatCode>
                <c:ptCount val="242"/>
                <c:pt idx="0">
                  <c:v>0.53451157074320632</c:v>
                </c:pt>
                <c:pt idx="1">
                  <c:v>0.73754963033527909</c:v>
                </c:pt>
                <c:pt idx="2">
                  <c:v>0.71671403402426836</c:v>
                </c:pt>
                <c:pt idx="3">
                  <c:v>0.608342346666496</c:v>
                </c:pt>
                <c:pt idx="4">
                  <c:v>1.4497433401616922</c:v>
                </c:pt>
                <c:pt idx="5">
                  <c:v>0.41786856167876774</c:v>
                </c:pt>
                <c:pt idx="6">
                  <c:v>0.25433151508474189</c:v>
                </c:pt>
                <c:pt idx="7">
                  <c:v>1.1047527947645441</c:v>
                </c:pt>
                <c:pt idx="8">
                  <c:v>1.3929608634851163</c:v>
                </c:pt>
                <c:pt idx="9">
                  <c:v>1.7267405061579075</c:v>
                </c:pt>
                <c:pt idx="10">
                  <c:v>0.30337459256173738</c:v>
                </c:pt>
                <c:pt idx="11">
                  <c:v>2.3173950522902436</c:v>
                </c:pt>
                <c:pt idx="12">
                  <c:v>0.31568365241726559</c:v>
                </c:pt>
                <c:pt idx="13">
                  <c:v>0.28296884655516025</c:v>
                </c:pt>
                <c:pt idx="14">
                  <c:v>0.61293587023111984</c:v>
                </c:pt>
                <c:pt idx="15">
                  <c:v>1.3989742923123019</c:v>
                </c:pt>
                <c:pt idx="16">
                  <c:v>0.21185190640671725</c:v>
                </c:pt>
                <c:pt idx="17">
                  <c:v>0.6638107285420658</c:v>
                </c:pt>
                <c:pt idx="18">
                  <c:v>0.25284595393761172</c:v>
                </c:pt>
                <c:pt idx="19">
                  <c:v>0.99912256062004967</c:v>
                </c:pt>
                <c:pt idx="20">
                  <c:v>0.76336993840400824</c:v>
                </c:pt>
                <c:pt idx="21">
                  <c:v>0.61092428483841787</c:v>
                </c:pt>
                <c:pt idx="22">
                  <c:v>1.8914822887939</c:v>
                </c:pt>
                <c:pt idx="23">
                  <c:v>0.93247789027933825</c:v>
                </c:pt>
                <c:pt idx="24">
                  <c:v>1.0123908213673121</c:v>
                </c:pt>
                <c:pt idx="25">
                  <c:v>0.84065795498964746</c:v>
                </c:pt>
                <c:pt idx="26">
                  <c:v>0.85985697159186159</c:v>
                </c:pt>
                <c:pt idx="27">
                  <c:v>5.5303285787821406E-2</c:v>
                </c:pt>
                <c:pt idx="28">
                  <c:v>0.3333499218633702</c:v>
                </c:pt>
                <c:pt idx="29">
                  <c:v>0.84519237470406328</c:v>
                </c:pt>
                <c:pt idx="30">
                  <c:v>0.92653225925208327</c:v>
                </c:pt>
                <c:pt idx="31">
                  <c:v>0.78706027724810512</c:v>
                </c:pt>
                <c:pt idx="32">
                  <c:v>1.8320009808815219</c:v>
                </c:pt>
                <c:pt idx="33">
                  <c:v>0.81515491714530675</c:v>
                </c:pt>
                <c:pt idx="34">
                  <c:v>2.1885844033412245</c:v>
                </c:pt>
                <c:pt idx="35">
                  <c:v>1.8790443085229542</c:v>
                </c:pt>
                <c:pt idx="36">
                  <c:v>1.7035288129411199</c:v>
                </c:pt>
                <c:pt idx="37">
                  <c:v>0.6371486710302795</c:v>
                </c:pt>
                <c:pt idx="38">
                  <c:v>0.28239257905465093</c:v>
                </c:pt>
                <c:pt idx="39">
                  <c:v>3.0549539068502116</c:v>
                </c:pt>
                <c:pt idx="40">
                  <c:v>3.3018723544333795</c:v>
                </c:pt>
                <c:pt idx="41">
                  <c:v>1.0845079700387883</c:v>
                </c:pt>
                <c:pt idx="42">
                  <c:v>2.3528777708811615</c:v>
                </c:pt>
                <c:pt idx="43">
                  <c:v>1.6455424903326568</c:v>
                </c:pt>
                <c:pt idx="44">
                  <c:v>0.39377699906051161</c:v>
                </c:pt>
                <c:pt idx="45">
                  <c:v>1.8612803273114347</c:v>
                </c:pt>
                <c:pt idx="46">
                  <c:v>0.99396865597288386</c:v>
                </c:pt>
                <c:pt idx="47">
                  <c:v>0.65505988335519871</c:v>
                </c:pt>
                <c:pt idx="48">
                  <c:v>3.2753589382579489</c:v>
                </c:pt>
                <c:pt idx="49">
                  <c:v>0.62524027323957998</c:v>
                </c:pt>
                <c:pt idx="50">
                  <c:v>0.33269996717528511</c:v>
                </c:pt>
                <c:pt idx="51">
                  <c:v>1.6941239184954531E-2</c:v>
                </c:pt>
                <c:pt idx="52">
                  <c:v>0.37356267710225033</c:v>
                </c:pt>
                <c:pt idx="53">
                  <c:v>0.22612106234225574</c:v>
                </c:pt>
                <c:pt idx="54">
                  <c:v>0.2155151171994043</c:v>
                </c:pt>
                <c:pt idx="55">
                  <c:v>1.0986459251326561</c:v>
                </c:pt>
                <c:pt idx="56">
                  <c:v>0.3863248962661518</c:v>
                </c:pt>
                <c:pt idx="57">
                  <c:v>0.786799713853786</c:v>
                </c:pt>
                <c:pt idx="58">
                  <c:v>1.5798052698296532</c:v>
                </c:pt>
                <c:pt idx="59">
                  <c:v>1.0243817626767511</c:v>
                </c:pt>
                <c:pt idx="60">
                  <c:v>0.932039414470345</c:v>
                </c:pt>
                <c:pt idx="61">
                  <c:v>0.10206195382945427</c:v>
                </c:pt>
                <c:pt idx="62">
                  <c:v>2.8057413760105749</c:v>
                </c:pt>
                <c:pt idx="63">
                  <c:v>0.63166195490095467</c:v>
                </c:pt>
                <c:pt idx="64">
                  <c:v>1.7774526012958221</c:v>
                </c:pt>
                <c:pt idx="65">
                  <c:v>0.57791195894936265</c:v>
                </c:pt>
                <c:pt idx="66">
                  <c:v>1.5137983110649855</c:v>
                </c:pt>
                <c:pt idx="67">
                  <c:v>0.50842127874558718</c:v>
                </c:pt>
                <c:pt idx="68">
                  <c:v>5.3933155030533808E-2</c:v>
                </c:pt>
                <c:pt idx="69">
                  <c:v>8.5891764132096076E-3</c:v>
                </c:pt>
                <c:pt idx="70">
                  <c:v>0.34690637516498452</c:v>
                </c:pt>
                <c:pt idx="71">
                  <c:v>1.3972663504379141</c:v>
                </c:pt>
                <c:pt idx="72">
                  <c:v>1.4916577094039898</c:v>
                </c:pt>
                <c:pt idx="73">
                  <c:v>0.32301547659890967</c:v>
                </c:pt>
                <c:pt idx="74">
                  <c:v>1.1593076328214116</c:v>
                </c:pt>
                <c:pt idx="75">
                  <c:v>1.4286691408322305</c:v>
                </c:pt>
                <c:pt idx="76">
                  <c:v>0.91116436406290136</c:v>
                </c:pt>
                <c:pt idx="77">
                  <c:v>0.35233780533905473</c:v>
                </c:pt>
                <c:pt idx="78">
                  <c:v>0.7479372805236737</c:v>
                </c:pt>
                <c:pt idx="79">
                  <c:v>0.98460429881671108</c:v>
                </c:pt>
                <c:pt idx="80">
                  <c:v>0.81197362245060045</c:v>
                </c:pt>
                <c:pt idx="81">
                  <c:v>1.0622974462874508</c:v>
                </c:pt>
                <c:pt idx="82">
                  <c:v>0.19590187420195551</c:v>
                </c:pt>
                <c:pt idx="83">
                  <c:v>0.53579354457410155</c:v>
                </c:pt>
                <c:pt idx="84">
                  <c:v>0.90349890453442905</c:v>
                </c:pt>
                <c:pt idx="85">
                  <c:v>0.6892635725771209</c:v>
                </c:pt>
                <c:pt idx="86">
                  <c:v>0.56918773813529877</c:v>
                </c:pt>
                <c:pt idx="87">
                  <c:v>0.50183550962043588</c:v>
                </c:pt>
                <c:pt idx="88">
                  <c:v>0.59306163682712887</c:v>
                </c:pt>
                <c:pt idx="89">
                  <c:v>0.68914749056330926</c:v>
                </c:pt>
                <c:pt idx="90">
                  <c:v>1.611559927567271</c:v>
                </c:pt>
                <c:pt idx="91">
                  <c:v>7.4551561932979293E-2</c:v>
                </c:pt>
                <c:pt idx="92">
                  <c:v>1.0823592794575172</c:v>
                </c:pt>
                <c:pt idx="93">
                  <c:v>0.68732529630942951</c:v>
                </c:pt>
                <c:pt idx="94">
                  <c:v>0.44982945288268622</c:v>
                </c:pt>
                <c:pt idx="95">
                  <c:v>0.57532693225339582</c:v>
                </c:pt>
                <c:pt idx="96">
                  <c:v>0.40892781833601721</c:v>
                </c:pt>
                <c:pt idx="97">
                  <c:v>0.78394694791841968</c:v>
                </c:pt>
                <c:pt idx="98">
                  <c:v>0.60550144818437779</c:v>
                </c:pt>
                <c:pt idx="99">
                  <c:v>0.35356796863429768</c:v>
                </c:pt>
                <c:pt idx="100">
                  <c:v>0.92105199589424291</c:v>
                </c:pt>
                <c:pt idx="101">
                  <c:v>0.66350517178410839</c:v>
                </c:pt>
                <c:pt idx="102">
                  <c:v>0.38795111276530408</c:v>
                </c:pt>
                <c:pt idx="103">
                  <c:v>0.2671720794463226</c:v>
                </c:pt>
                <c:pt idx="104">
                  <c:v>0.30209108850812982</c:v>
                </c:pt>
                <c:pt idx="105">
                  <c:v>1.2689045619752399</c:v>
                </c:pt>
                <c:pt idx="106">
                  <c:v>0.93769594374421861</c:v>
                </c:pt>
                <c:pt idx="107">
                  <c:v>1.654147158606154</c:v>
                </c:pt>
                <c:pt idx="108">
                  <c:v>0.42641709233006581</c:v>
                </c:pt>
                <c:pt idx="109">
                  <c:v>1.3316959388279186</c:v>
                </c:pt>
                <c:pt idx="110">
                  <c:v>1.6730542459654885</c:v>
                </c:pt>
                <c:pt idx="111">
                  <c:v>0.58533533781334846</c:v>
                </c:pt>
                <c:pt idx="112">
                  <c:v>0.52878793758126807</c:v>
                </c:pt>
                <c:pt idx="113">
                  <c:v>1.492287465667179</c:v>
                </c:pt>
                <c:pt idx="114">
                  <c:v>0.85563282711618227</c:v>
                </c:pt>
                <c:pt idx="115">
                  <c:v>0.21335454706073484</c:v>
                </c:pt>
                <c:pt idx="116">
                  <c:v>8.0526991807151144E-2</c:v>
                </c:pt>
                <c:pt idx="117">
                  <c:v>0.82416618592905944</c:v>
                </c:pt>
                <c:pt idx="118">
                  <c:v>1.0133241865005311</c:v>
                </c:pt>
                <c:pt idx="119">
                  <c:v>5.2610346773620038E-2</c:v>
                </c:pt>
                <c:pt idx="120">
                  <c:v>0.34202657836503525</c:v>
                </c:pt>
                <c:pt idx="121">
                  <c:v>0.35375298055025384</c:v>
                </c:pt>
                <c:pt idx="122">
                  <c:v>0.63575512035341242</c:v>
                </c:pt>
                <c:pt idx="123">
                  <c:v>0.93146591953788094</c:v>
                </c:pt>
                <c:pt idx="124">
                  <c:v>0.26826222791182275</c:v>
                </c:pt>
                <c:pt idx="125">
                  <c:v>0.17775367995494848</c:v>
                </c:pt>
                <c:pt idx="126">
                  <c:v>0.85166985293776565</c:v>
                </c:pt>
                <c:pt idx="127">
                  <c:v>3.2624821492819587</c:v>
                </c:pt>
                <c:pt idx="128">
                  <c:v>0.29586423456123029</c:v>
                </c:pt>
                <c:pt idx="129">
                  <c:v>0.24581788396161955</c:v>
                </c:pt>
                <c:pt idx="130">
                  <c:v>0.28852037800369201</c:v>
                </c:pt>
                <c:pt idx="131">
                  <c:v>0.17917780237093733</c:v>
                </c:pt>
                <c:pt idx="132">
                  <c:v>1.0295599442276018</c:v>
                </c:pt>
                <c:pt idx="133">
                  <c:v>0.33429597932155453</c:v>
                </c:pt>
                <c:pt idx="134">
                  <c:v>1.0014980676827532</c:v>
                </c:pt>
                <c:pt idx="135">
                  <c:v>4.7723789388315188E-2</c:v>
                </c:pt>
                <c:pt idx="136">
                  <c:v>1.5016820807425582</c:v>
                </c:pt>
                <c:pt idx="137">
                  <c:v>1.9458422434936804</c:v>
                </c:pt>
                <c:pt idx="138">
                  <c:v>1.0766968667137486</c:v>
                </c:pt>
                <c:pt idx="139">
                  <c:v>1.2756972656143093</c:v>
                </c:pt>
                <c:pt idx="140">
                  <c:v>0.16142744407778528</c:v>
                </c:pt>
                <c:pt idx="141">
                  <c:v>1.0028089121849804</c:v>
                </c:pt>
                <c:pt idx="142">
                  <c:v>0.37314423033485744</c:v>
                </c:pt>
                <c:pt idx="143">
                  <c:v>6.9169458021461933E-2</c:v>
                </c:pt>
                <c:pt idx="144">
                  <c:v>0.12888909245540989</c:v>
                </c:pt>
                <c:pt idx="145">
                  <c:v>7.747192532913548E-2</c:v>
                </c:pt>
                <c:pt idx="146">
                  <c:v>0.30234701652920726</c:v>
                </c:pt>
                <c:pt idx="147">
                  <c:v>0.46915460020473188</c:v>
                </c:pt>
                <c:pt idx="148">
                  <c:v>0.43512582045987697</c:v>
                </c:pt>
                <c:pt idx="149">
                  <c:v>0.22561040809314054</c:v>
                </c:pt>
                <c:pt idx="150">
                  <c:v>0.53168546450968823</c:v>
                </c:pt>
                <c:pt idx="151">
                  <c:v>0.42517288239485818</c:v>
                </c:pt>
                <c:pt idx="152">
                  <c:v>0.59204600928163831</c:v>
                </c:pt>
                <c:pt idx="153">
                  <c:v>0.40730545838222276</c:v>
                </c:pt>
                <c:pt idx="154">
                  <c:v>0.54952624208075296</c:v>
                </c:pt>
                <c:pt idx="155">
                  <c:v>0.61617775522232443</c:v>
                </c:pt>
                <c:pt idx="156">
                  <c:v>0.98824600678454289</c:v>
                </c:pt>
                <c:pt idx="157">
                  <c:v>0.76887854469150485</c:v>
                </c:pt>
                <c:pt idx="158">
                  <c:v>0.20747119672335723</c:v>
                </c:pt>
                <c:pt idx="159">
                  <c:v>0.94638513227044774</c:v>
                </c:pt>
                <c:pt idx="160">
                  <c:v>2.0258105551958595E-2</c:v>
                </c:pt>
                <c:pt idx="161">
                  <c:v>0.57449349305133723</c:v>
                </c:pt>
                <c:pt idx="162">
                  <c:v>1.19660657537684</c:v>
                </c:pt>
                <c:pt idx="163">
                  <c:v>1.1858974353117344</c:v>
                </c:pt>
                <c:pt idx="164">
                  <c:v>3.8541671311035877E-2</c:v>
                </c:pt>
                <c:pt idx="165">
                  <c:v>1.2866928030106384</c:v>
                </c:pt>
                <c:pt idx="166">
                  <c:v>1.0979523982679906</c:v>
                </c:pt>
                <c:pt idx="167">
                  <c:v>0.34583568136303927</c:v>
                </c:pt>
                <c:pt idx="168">
                  <c:v>0.39452034906072786</c:v>
                </c:pt>
                <c:pt idx="169">
                  <c:v>3.0109210693109636E-2</c:v>
                </c:pt>
                <c:pt idx="170">
                  <c:v>0.11605660286642683</c:v>
                </c:pt>
                <c:pt idx="171">
                  <c:v>0.81890914403975912</c:v>
                </c:pt>
                <c:pt idx="172">
                  <c:v>0.9788905284169519</c:v>
                </c:pt>
                <c:pt idx="173">
                  <c:v>7.2433144665121643E-2</c:v>
                </c:pt>
                <c:pt idx="174">
                  <c:v>0.87748144753567847</c:v>
                </c:pt>
                <c:pt idx="175">
                  <c:v>1.3501937748024899</c:v>
                </c:pt>
                <c:pt idx="176">
                  <c:v>0.38050218911149308</c:v>
                </c:pt>
                <c:pt idx="177">
                  <c:v>0.23341707755921007</c:v>
                </c:pt>
                <c:pt idx="178">
                  <c:v>0.63501772801924439</c:v>
                </c:pt>
                <c:pt idx="179">
                  <c:v>1.602729308328666</c:v>
                </c:pt>
                <c:pt idx="180">
                  <c:v>1.2650770998768037</c:v>
                </c:pt>
                <c:pt idx="181">
                  <c:v>0.81733782890659767</c:v>
                </c:pt>
                <c:pt idx="182">
                  <c:v>1.0076459903730597</c:v>
                </c:pt>
                <c:pt idx="183">
                  <c:v>1.1630772537146536</c:v>
                </c:pt>
                <c:pt idx="184">
                  <c:v>0.21841526698868693</c:v>
                </c:pt>
                <c:pt idx="185">
                  <c:v>4.564667730583287E-2</c:v>
                </c:pt>
                <c:pt idx="186">
                  <c:v>0.70290137514102391</c:v>
                </c:pt>
                <c:pt idx="187">
                  <c:v>0.87448598478455197</c:v>
                </c:pt>
                <c:pt idx="188">
                  <c:v>0.2486264449062692</c:v>
                </c:pt>
                <c:pt idx="189">
                  <c:v>1.006267076812364</c:v>
                </c:pt>
                <c:pt idx="190">
                  <c:v>0.25322777855099693</c:v>
                </c:pt>
                <c:pt idx="191">
                  <c:v>1.3631269972384361</c:v>
                </c:pt>
                <c:pt idx="192">
                  <c:v>0.65452334636982223</c:v>
                </c:pt>
                <c:pt idx="193">
                  <c:v>0.57831342145422404</c:v>
                </c:pt>
                <c:pt idx="194">
                  <c:v>1.3801462739171113</c:v>
                </c:pt>
                <c:pt idx="195">
                  <c:v>0.5695036248929225</c:v>
                </c:pt>
                <c:pt idx="196">
                  <c:v>0.97518368189787297</c:v>
                </c:pt>
                <c:pt idx="197">
                  <c:v>0.35567992891069744</c:v>
                </c:pt>
                <c:pt idx="198">
                  <c:v>0.44474370851779249</c:v>
                </c:pt>
                <c:pt idx="199">
                  <c:v>1.1666344189051372</c:v>
                </c:pt>
                <c:pt idx="200">
                  <c:v>0.81055690055523455</c:v>
                </c:pt>
                <c:pt idx="201">
                  <c:v>0.40898815432676588</c:v>
                </c:pt>
                <c:pt idx="202">
                  <c:v>0.51471689287196809</c:v>
                </c:pt>
                <c:pt idx="203">
                  <c:v>4.1716699980340034E-2</c:v>
                </c:pt>
                <c:pt idx="204">
                  <c:v>0.520658084058923</c:v>
                </c:pt>
                <c:pt idx="205">
                  <c:v>1.2551844415177948</c:v>
                </c:pt>
                <c:pt idx="206">
                  <c:v>0.55198899810780511</c:v>
                </c:pt>
                <c:pt idx="207">
                  <c:v>8.9572952647923143E-2</c:v>
                </c:pt>
                <c:pt idx="208">
                  <c:v>0.37095466571064573</c:v>
                </c:pt>
                <c:pt idx="209">
                  <c:v>0.60671871373934172</c:v>
                </c:pt>
                <c:pt idx="210">
                  <c:v>0.71506668927714689</c:v>
                </c:pt>
                <c:pt idx="211">
                  <c:v>7.6513801448340565E-2</c:v>
                </c:pt>
                <c:pt idx="212">
                  <c:v>2.956571300369092E-2</c:v>
                </c:pt>
                <c:pt idx="213">
                  <c:v>0.15190335721664011</c:v>
                </c:pt>
                <c:pt idx="214">
                  <c:v>0.61419807162517193</c:v>
                </c:pt>
                <c:pt idx="215">
                  <c:v>0.21183072850292398</c:v>
                </c:pt>
                <c:pt idx="216">
                  <c:v>0.47566059705152031</c:v>
                </c:pt>
                <c:pt idx="217">
                  <c:v>0.66585628682227904</c:v>
                </c:pt>
                <c:pt idx="218">
                  <c:v>0.17502126582830144</c:v>
                </c:pt>
                <c:pt idx="219">
                  <c:v>0.19859165247756291</c:v>
                </c:pt>
                <c:pt idx="220">
                  <c:v>1.0312593917217419</c:v>
                </c:pt>
                <c:pt idx="221">
                  <c:v>0.54295980166072366</c:v>
                </c:pt>
                <c:pt idx="222">
                  <c:v>0.16113507624586812</c:v>
                </c:pt>
                <c:pt idx="223">
                  <c:v>1.2359765426789264</c:v>
                </c:pt>
                <c:pt idx="224">
                  <c:v>1.4285847518063435</c:v>
                </c:pt>
                <c:pt idx="225">
                  <c:v>0.61367979772411663</c:v>
                </c:pt>
                <c:pt idx="226">
                  <c:v>1.5170628679956339</c:v>
                </c:pt>
                <c:pt idx="227">
                  <c:v>0.70719134908886105</c:v>
                </c:pt>
                <c:pt idx="228">
                  <c:v>0.72390865547512651</c:v>
                </c:pt>
                <c:pt idx="229">
                  <c:v>0.53375791997549793</c:v>
                </c:pt>
                <c:pt idx="230">
                  <c:v>0.17930844321454473</c:v>
                </c:pt>
                <c:pt idx="231">
                  <c:v>0.72575873796011814</c:v>
                </c:pt>
                <c:pt idx="232">
                  <c:v>0.93230396916679625</c:v>
                </c:pt>
                <c:pt idx="233">
                  <c:v>0.28630529468500182</c:v>
                </c:pt>
                <c:pt idx="234">
                  <c:v>2.5310933718183257</c:v>
                </c:pt>
                <c:pt idx="235">
                  <c:v>3.2408504965786365E-2</c:v>
                </c:pt>
                <c:pt idx="236">
                  <c:v>0.94396325263782555</c:v>
                </c:pt>
                <c:pt idx="237">
                  <c:v>1.6505407503716911</c:v>
                </c:pt>
                <c:pt idx="238">
                  <c:v>0.40700007410584355</c:v>
                </c:pt>
                <c:pt idx="239">
                  <c:v>0.41704245310417409</c:v>
                </c:pt>
                <c:pt idx="240">
                  <c:v>0.72217911684890757</c:v>
                </c:pt>
                <c:pt idx="241">
                  <c:v>2.4869958582389997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FC-4F79-ABE9-3C7D91256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10351"/>
        <c:axId val="389608271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242</c:v>
              </c:pt>
            </c:numLit>
          </c:xVal>
          <c:yVal>
            <c:numLit>
              <c:formatCode>General</c:formatCode>
              <c:ptCount val="2"/>
              <c:pt idx="0">
                <c:v>1.5656990802201975</c:v>
              </c:pt>
              <c:pt idx="1">
                <c:v>1.5656990802201975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FFC-4F79-ABE9-3C7D91256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263135"/>
        <c:axId val="683261471"/>
      </c:scatterChart>
      <c:catAx>
        <c:axId val="389610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389608271"/>
        <c:crosses val="autoZero"/>
        <c:auto val="1"/>
        <c:lblAlgn val="ctr"/>
        <c:lblOffset val="100"/>
        <c:noMultiLvlLbl val="0"/>
      </c:catAx>
      <c:valAx>
        <c:axId val="3896082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dModY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389610351"/>
        <c:crosses val="autoZero"/>
        <c:crossBetween val="between"/>
      </c:valAx>
      <c:valAx>
        <c:axId val="683261471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83263135"/>
        <c:crosses val="max"/>
        <c:crossBetween val="midCat"/>
      </c:valAx>
      <c:valAx>
        <c:axId val="683263135"/>
        <c:scaling>
          <c:orientation val="minMax"/>
          <c:max val="242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683261471"/>
        <c:crosses val="max"/>
        <c:crossBetween val="midCat"/>
        <c:majorUnit val="5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31" noThreeD="1" sel="1" val="0">
  <itemLst>
    <item val="Summary statistics"/>
    <item val="Correlation matrix"/>
    <item val="Model quality"/>
    <item val="Correlation matrix of the variables with the t and u~ components"/>
    <item val="w vectors"/>
    <item val="w* vectors"/>
    <item val="c vectors"/>
    <item val="p vectors"/>
    <item val="Scores on t"/>
    <item val="Standardized scores on t"/>
    <item val="Scores on u"/>
    <item val="Scores on u~"/>
    <item val="Q² quality index"/>
    <item val="Cumulative Q² quality index"/>
    <item val="Variable Importance in the Projection (VIP)"/>
    <item val="Model parameters"/>
    <item val="Equation of the model"/>
    <item val="Results for variable SY"/>
    <item val="Goodness of fit statistics (Variable SY)"/>
    <item val="VIDs (Variable SY)"/>
    <item val="Coefficients (Variable SY)"/>
    <item val="Standardized coefficients (Variable SY)"/>
    <item val="Predictions and residuals (Variable SY)"/>
    <item val="Outliers analysis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chart" Target="../charts/chart8.xml"/><Relationship Id="rId18" Type="http://schemas.openxmlformats.org/officeDocument/2006/relationships/chart" Target="../charts/chart13.xml"/><Relationship Id="rId3" Type="http://schemas.openxmlformats.org/officeDocument/2006/relationships/image" Target="../media/image3.png"/><Relationship Id="rId21" Type="http://schemas.openxmlformats.org/officeDocument/2006/relationships/chart" Target="../charts/chart16.xml"/><Relationship Id="rId7" Type="http://schemas.openxmlformats.org/officeDocument/2006/relationships/chart" Target="../charts/chart2.xml"/><Relationship Id="rId12" Type="http://schemas.openxmlformats.org/officeDocument/2006/relationships/chart" Target="../charts/chart7.xml"/><Relationship Id="rId17" Type="http://schemas.openxmlformats.org/officeDocument/2006/relationships/chart" Target="../charts/chart12.xml"/><Relationship Id="rId2" Type="http://schemas.openxmlformats.org/officeDocument/2006/relationships/image" Target="../media/image2.png"/><Relationship Id="rId16" Type="http://schemas.openxmlformats.org/officeDocument/2006/relationships/chart" Target="../charts/chart11.xml"/><Relationship Id="rId20" Type="http://schemas.openxmlformats.org/officeDocument/2006/relationships/chart" Target="../charts/chart15.xml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image" Target="../media/image5.png"/><Relationship Id="rId15" Type="http://schemas.openxmlformats.org/officeDocument/2006/relationships/chart" Target="../charts/chart10.xml"/><Relationship Id="rId10" Type="http://schemas.openxmlformats.org/officeDocument/2006/relationships/chart" Target="../charts/chart5.xml"/><Relationship Id="rId19" Type="http://schemas.openxmlformats.org/officeDocument/2006/relationships/chart" Target="../charts/chart14.xml"/><Relationship Id="rId4" Type="http://schemas.openxmlformats.org/officeDocument/2006/relationships/image" Target="../media/image4.png"/><Relationship Id="rId9" Type="http://schemas.openxmlformats.org/officeDocument/2006/relationships/chart" Target="../charts/chart4.xml"/><Relationship Id="rId14" Type="http://schemas.openxmlformats.org/officeDocument/2006/relationships/chart" Target="../charts/chart9.xml"/><Relationship Id="rId22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65278</xdr:colOff>
      <xdr:row>0</xdr:row>
      <xdr:rowOff>36830</xdr:rowOff>
    </xdr:from>
    <xdr:to>
      <xdr:col>12</xdr:col>
      <xdr:colOff>552958</xdr:colOff>
      <xdr:row>1</xdr:row>
      <xdr:rowOff>147320</xdr:rowOff>
    </xdr:to>
    <xdr:sp macro="[0]!OrderXLSTAT" textlink="">
      <xdr:nvSpPr>
        <xdr:cNvPr id="2" name="BT705548">
          <a:extLst>
            <a:ext uri="{FF2B5EF4-FFF2-40B4-BE49-F238E27FC236}">
              <a16:creationId xmlns:a16="http://schemas.microsoft.com/office/drawing/2014/main" id="{ED5F2E92-6F6B-495C-84E5-A04B96BEF6C6}"/>
            </a:ext>
          </a:extLst>
        </xdr:cNvPr>
        <xdr:cNvSpPr txBox="1"/>
      </xdr:nvSpPr>
      <xdr:spPr>
        <a:xfrm>
          <a:off x="6529578" y="36830"/>
          <a:ext cx="1097280" cy="29464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/>
            <a:t>Order</a:t>
          </a:r>
          <a:endParaRPr lang="ru-RU" sz="1100"/>
        </a:p>
      </xdr:txBody>
    </xdr:sp>
    <xdr:clientData/>
  </xdr:twoCellAnchor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3" name="TX697471" hidden="1">
          <a:extLst>
            <a:ext uri="{FF2B5EF4-FFF2-40B4-BE49-F238E27FC236}">
              <a16:creationId xmlns:a16="http://schemas.microsoft.com/office/drawing/2014/main" id="{0E31AB8C-BFCE-4770-AC2B-D2C3E8BBFD90}"/>
            </a:ext>
          </a:extLst>
        </xdr:cNvPr>
        <xdr:cNvSpPr txBox="1"/>
      </xdr:nvSpPr>
      <xdr:spPr>
        <a:xfrm>
          <a:off x="946150" y="20256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RunProcPLS
Form1.txt
TextBox_Conf,TextBox,95,True,100000000107_Options,True,Confidence interval (%):,False,,,
TextBoxTol,TextBox,0.0001,False,100000000205_Options,False,Tolerance:,False,,,
CheckBox_Intercept,CheckBox,False,False,100000000005_Options,False,Fixed Intercept,False,,,
TextBox_Intercept,TextBox,0,False,100000000105_Options,False,Fixed Intercept:,False,,,
CheckBox_Normed,CheckBox,True,True,100000000004_Options,True,Standardized PCA,False,,,
TextBoxCompMax,TextBox,5,True,100000040104_Options,True,,False,,,
TextBoxMinPerc,TextBox,80,True,100000020104_Options,True,,False,,,
OptionButtonCorrY,OptionButton,True,True,100000010204_Options,True,Correlations with Ys,False,,,
OptionButtonCompEigen,OptionButton,False,True,100000020204_Options,True,Eigenvalues,False,,,
CheckBoxMinFilter,CheckBox,False,True,100000010104_Options,True,Minimum %,False,,,
CheckBoxMaxFilter,CheckBox,False,True,100000030104_Options,True,Maximum number,False,,,
CheckBoxColors,CheckBox,False,True,600000000001_Charts,True,Colored labels,False,,,
CheckBoxCorrCharts,CheckBox,True,True,600000000000_Charts,True,Correlation charts,False,,,
CheckBoxVectors,CheckBox,True,True,600000000100_Charts,True,Vectors,False,,,
CheckBoxResidCharts,CheckBox,True,True,600000000202_Charts,True,Predictions and residuals,False,,,
CheckBoxRegCharts,CheckBox,True,True,600000000002_Charts,True,Regression charts,False,,,
CheckBoxChartsCoeff,CheckBox,True,True,600000000102_Charts,True,Standardized coefficients,False,,,
CheckBox_Conf,CheckBox,True,True,600000000302_Charts,True,Confidence intervals,False,,,
CheckBoxIndCharts,CheckBox,True,True,600000000300_Charts,True,Observations charts,False,,,
CheckBoxBiplots,CheckBox,True,True,600000000500_Charts,True,Biplots,False,,,
CheckBoxVectorsBip,CheckBox,True,True,600000000600_Charts,True,Vectors,False,,,
CheckBoxLabelsInd,CheckBox,True,True,600000000400_Charts,True,Labels,False,,,
CheckBoxLabelsBiplots,CheckBox,True,True,600000000700_Charts,True,Labels,False,,,
CheckBoxBoot,CheckBox,True,True,500000000402_Outputs,True,Confidence intervals,False,,,
CheckBoxLoadings,CheckBox,True,True,500000000001_Outputs,True,Factor loadings,False,,,
CheckBoxScores,CheckBox,True,True,500000000201_Outputs,True,Factor scores,False,,,
CheckBoxCorrFactVar,CheckBox,True,True,500000000101_Outputs,True,Variables/Factors correlations,False,,,
CheckBoxTU,CheckBox,True,True,500000000002_Outputs,True,t&lt;CM&gt; u and u~ components,False,,,
CheckBoxCW,CheckBox,True,True,500000000102_Outputs,True,c&lt;CM&gt; w&lt;CM&gt; w* and p vectors,False,,,
CheckBoxVIP,CheckBox,True,True,500000000302_Outputs,True,VIPs,False,,,
CheckBoxOut,CheckBox,True,True,500000000502_Outputs,True,Outliers analysis,False,,,
CheckBoxRed,CheckBox,False,True,500000000202_Outputs,True,Redundancies,False,,,
CheckBoxReduce,CheckBox,True,True,100000000002_Options,True,Reduce,False,,,
CheckBoxCenter,CheckBox,True,True,100000000102_Options,True,Center,False,,,
CheckBoxLinePlot,CheckBox,False,True,600000000800_Charts,True,Line loading plot,False,,,
CheckBoxConfusion,CheckBox,True,False,500000000602_Outputs,False,Confusion matrix,False,,,
CheckBox_AV,CheckBox,True,True,500000000003_Outputs,True,Analysis of variance,False,,,
CheckBoxDiag,CheckBox,False,True,500000000203_Outputs,True,Influence diagnostics,False,,,
CheckBoxAdjPred,CheckBox,False,True,500000000103_Outputs,True,Adjusted predictions,False,,,
CheckBox_Desc,CheckBox,True,True,500000000300_Outputs,True,Descriptive statistics,False,,,
CheckBox_Corr,CheckBox,True,True,500000000000_Outputs,True,Correlations,False,,,
CheckBox_Resid,CheckBox,True,True,500000000200_Outputs,True,Predictions and residuals,False,,,
CheckBoxStdCoeff,CheckBox,True,True,500000000100_Outputs,True,Standardized coefficients,False,,,
TextBoxJack,TextBox,7,True,100000000103_Options,True,Number of groups:,False,,,
CheckBox_Interactions,CheckBox,False,True,100000000006_Options,True,Interactions / Level,False,,,
TextBoxLevel,TextBox,2,True,100000000106_Options,True,,False,,,
OptionButtonFast,OptionButton,True,True,100000000001_Options,True,Fast,False,,,
OptionButtonPrecise,OptionButton,False,True,100000000101_Options,True,Precise,False,,,
ComboBoxCV,ComboBox,1,True,100000010203_Options,True,,False,,,
CheckBoxTuning,CheckBox,False,False,100000000303_Options,False,Tuning,False,,,
CheckBoxTrans,CheckBox,False,False,03,False,Trans,False,,,
TextBoxList,TextBox,,False,04,False,,False,,,
ScrollBarSelect,ScrollBar,0,False,05,False,,,,,
CheckBoxChartsFilter,CheckBox,True,True,600000000101_Charts,True,Filter,False,,,
ComboBoxFilter,ComboBox,1,True,600000010101_Charts,True,Select the filtering option,False,,,
TextBoxPoints,TextBox,100,True,600000010201_Charts,True,Number of observations:,False,,,
RefEditGroupFilter,RefEdit,,True,600000010301_Charts,True,Group variable:,False,,,
OptionButtonAutoStop,OptionButton,False,True,100000000000_Options,True,Automatic,False,,,
OptionButtonQi,OptionButton,False,True,100000010000_Options,True,Qi² threshold,False,,,
OptionButtonQiImp,OptionButton,False,True,100000020000_Options,True,Qi² improvement,False,,,
OptionButtonPress,OptionButton,False,True,100000030000_Options,True,Minimum Press,False,,,
OptionButtonFixed,OptionButton,True,True,100000040000_Options,True,Fixed number,False,,,
OptionButtonQiGlobal,OptionButton,False,True,100000050000_Options,True,Qi² threshold(Global),False,,,
TextBoxFixed,TextBox,4,True,100000000100_Options,True,Fixed number:,False,,,
TextBoxQi,TextBox,0.0975,True,100000010100_Options,True,Qi² threshold:,False,,,
TextBoxQiImp,TextBox,0.05,True,100000020100_Options,True,Qi² improvement:,False,,,
TextBoxQiGlobal,TextBox,0.0975,True,100000030100_Options,True,Qi² threshold(Global):,False,,,
CheckBoxInner,CheckBox,True,True,600000000200_Charts,True,Inner circle,False,,,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CheckBox_Validation,CheckBox,False,True,200000000000_Validation,True,Validation,False,,,
SpinButtonLevel,SpinButton,2,True,100000000206_Options,False,,,,,
SpinButtonPCR,SpinButton,5,True,100000050104_Options,False,,,,,
OptionButton_MVEstimate,OptionButton,False,True,400000000000_Missing data,True,Estimate missing data,False,,,
OptionButton_MeanMode,OptionButton,True,True,400000000100_Missing data,True,Mean or mode,False,,,
OptionButton_NN,OptionButton,False,True,400000010100_Missing data,True,Nearest neighbor,False,,,
OptionButton_MVRemove,OptionButton,True,True,400000000200_Missing data,True,Remove the observations,False,,,
OptionButtonEachY,OptionButton,False,True,400000000300_Missing data,True,Check for each Y separately,False,,,
OptionButtonAcrossAll,OptionButton,True,True,400000010300_Missing data,True,Across all Ys,False,,,
OptionButtonMVRefuse,OptionButton,False,True,400000000400_Missing data,True,Do not accept missing data,False,,,
OptionButton_MVIgnore,OptionButton,False,True,400000000500_Missing data,True,Ignore missing data,False,,,
CheckBox_Predict,CheckBox,False,True,300000000100_Prediction,True,Prediction,False,,,
RefEdit_XPred,RefEdit0,,True,300000000300_Prediction,True,Quantitative:,False,,,
RefEdit_QPred,RefEdit0,,True,300000000400_Prediction,True,Qualitative:,False,,,
CheckBox_ObsLabelsPred,CheckBox,False,True,300000000500_Prediction,True,Observation labels,False,,,
RefEdit_PredLabels,RefEdit0,,True,300000000600_Prediction,True,,False,,,
FileSelect2,CommandButton,,False,300000000700_Prediction,False,,False,,,
CheckBox_PredVarLabels,CheckBox,False,True,300000001000_Prediction,True,Variable labels,False,,,
RefEdit_Y,RefEdit0,'</a:t>
          </a:r>
          <a:r>
            <a:rPr lang="ru-RU" sz="1100"/>
            <a:t>Лист1'!$</a:t>
          </a:r>
          <a:r>
            <a:rPr lang="en-US" sz="1100"/>
            <a:t>A:$A,True,000000010000_General,True,Y / Dependent variables:,False,,243,1
FileSelect1,CommandButton,,False,000000020000_General,False,,False,,,
CheckBox_X,CheckBox,True,True,000000050000_General,True,Quantitative,False,,,
RefEdit_X,RefEdit0,'</a:t>
          </a:r>
          <a:r>
            <a:rPr lang="ru-RU" sz="1100"/>
            <a:t>Лист1'!$</a:t>
          </a:r>
          <a:r>
            <a:rPr lang="en-US" sz="1100"/>
            <a:t>B:$T,True,000002050000_General,True,X / Explanatory variables:,False,,243,19
CheckBox_Q,CheckBox,False,True,000003050000_General,True,Qualitative,False,,,
RefEdit_Q,RefEdit0,,True,000004050000_General,True,Qualitative:,False,,,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CheckBoxVarLabels,CheckBox,True,True,000000000201_General,True,Variable labels,False,,,
CheckBox_ObsLabels,CheckBox,False,True,000000010301_General,True,Observation labels,False,,,
RefEdit_Wr,RefEdit0,,False,000000060301_General,False,Regression weights:,False,,,
CheckBox_Wr,CheckBox,False,False,000000050301_General,False,Regression weights,False,,,
RefEdit_ObsLabels,RefEdit0,,True,000000020301_General,True,Observation labels:,False,,,
CheckBox_W,CheckBox,False,True,000000030301_General,True,Observation weights,False,,,
RefEdit_W,RefEdit0,,True,000000040301_General,True,Observation weights:,False,,,
ComboBoxMethod,ComboBox,1,True,000000010100_General,True,Method:,False,,,
</a:t>
          </a:r>
          <a:endParaRPr lang="ru-RU" sz="1100"/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4</xdr:col>
      <xdr:colOff>6350</xdr:colOff>
      <xdr:row>11</xdr:row>
      <xdr:rowOff>473075</xdr:rowOff>
    </xdr:to>
    <xdr:sp macro="" textlink="">
      <xdr:nvSpPr>
        <xdr:cNvPr id="4" name="BK697471">
          <a:extLst>
            <a:ext uri="{FF2B5EF4-FFF2-40B4-BE49-F238E27FC236}">
              <a16:creationId xmlns:a16="http://schemas.microsoft.com/office/drawing/2014/main" id="{DCDF0A9C-48D8-4952-8D6B-7BCA49EA27EE}"/>
            </a:ext>
          </a:extLst>
        </xdr:cNvPr>
        <xdr:cNvSpPr/>
      </xdr:nvSpPr>
      <xdr:spPr>
        <a:xfrm>
          <a:off x="330200" y="2032000"/>
          <a:ext cx="1828800" cy="46672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66040</xdr:colOff>
      <xdr:row>11</xdr:row>
      <xdr:rowOff>53975</xdr:rowOff>
    </xdr:from>
    <xdr:to>
      <xdr:col>1</xdr:col>
      <xdr:colOff>427990</xdr:colOff>
      <xdr:row>11</xdr:row>
      <xdr:rowOff>415925</xdr:rowOff>
    </xdr:to>
    <xdr:pic macro="[0]!ReRunXLSTAT">
      <xdr:nvPicPr>
        <xdr:cNvPr id="5" name="BT697471">
          <a:extLst>
            <a:ext uri="{FF2B5EF4-FFF2-40B4-BE49-F238E27FC236}">
              <a16:creationId xmlns:a16="http://schemas.microsoft.com/office/drawing/2014/main" id="{193C57F7-E777-485B-BA93-87493EA75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890" y="207962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11</xdr:row>
      <xdr:rowOff>53975</xdr:rowOff>
    </xdr:from>
    <xdr:to>
      <xdr:col>2</xdr:col>
      <xdr:colOff>267970</xdr:colOff>
      <xdr:row>11</xdr:row>
      <xdr:rowOff>415925</xdr:rowOff>
    </xdr:to>
    <xdr:pic macro="[0]!AddRemovGrid">
      <xdr:nvPicPr>
        <xdr:cNvPr id="6" name="RM697471">
          <a:extLst>
            <a:ext uri="{FF2B5EF4-FFF2-40B4-BE49-F238E27FC236}">
              <a16:creationId xmlns:a16="http://schemas.microsoft.com/office/drawing/2014/main" id="{F174A7C7-67BB-4F41-A139-1AE2DC87D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9470" y="207962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11</xdr:row>
      <xdr:rowOff>53975</xdr:rowOff>
    </xdr:from>
    <xdr:to>
      <xdr:col>2</xdr:col>
      <xdr:colOff>267970</xdr:colOff>
      <xdr:row>11</xdr:row>
      <xdr:rowOff>415925</xdr:rowOff>
    </xdr:to>
    <xdr:pic macro="[0]!AddRemovGrid">
      <xdr:nvPicPr>
        <xdr:cNvPr id="7" name="AD697471" hidden="1">
          <a:extLst>
            <a:ext uri="{FF2B5EF4-FFF2-40B4-BE49-F238E27FC236}">
              <a16:creationId xmlns:a16="http://schemas.microsoft.com/office/drawing/2014/main" id="{1B129847-DF5A-44D1-99A5-334798AF6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9470" y="207962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11</xdr:row>
      <xdr:rowOff>53975</xdr:rowOff>
    </xdr:from>
    <xdr:to>
      <xdr:col>3</xdr:col>
      <xdr:colOff>107950</xdr:colOff>
      <xdr:row>11</xdr:row>
      <xdr:rowOff>415925</xdr:rowOff>
    </xdr:to>
    <xdr:pic macro="[0]!SendToOfficeLocal">
      <xdr:nvPicPr>
        <xdr:cNvPr id="8" name="WD697471">
          <a:extLst>
            <a:ext uri="{FF2B5EF4-FFF2-40B4-BE49-F238E27FC236}">
              <a16:creationId xmlns:a16="http://schemas.microsoft.com/office/drawing/2014/main" id="{66852087-0DC4-4360-8F5E-997546C0F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9050" y="207962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11</xdr:row>
      <xdr:rowOff>53975</xdr:rowOff>
    </xdr:from>
    <xdr:to>
      <xdr:col>3</xdr:col>
      <xdr:colOff>557530</xdr:colOff>
      <xdr:row>11</xdr:row>
      <xdr:rowOff>415925</xdr:rowOff>
    </xdr:to>
    <xdr:pic macro="[0]!SendToOfficeLocal">
      <xdr:nvPicPr>
        <xdr:cNvPr id="9" name="PT697471">
          <a:extLst>
            <a:ext uri="{FF2B5EF4-FFF2-40B4-BE49-F238E27FC236}">
              <a16:creationId xmlns:a16="http://schemas.microsoft.com/office/drawing/2014/main" id="{FBB48A72-4994-4EED-93FD-75793BED8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38630" y="207962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73</xdr:row>
      <xdr:rowOff>0</xdr:rowOff>
    </xdr:from>
    <xdr:to>
      <xdr:col>7</xdr:col>
      <xdr:colOff>0</xdr:colOff>
      <xdr:row>91</xdr:row>
      <xdr:rowOff>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3AD97DF3-CC57-4630-ADBF-9BFBC41DE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118</xdr:row>
      <xdr:rowOff>0</xdr:rowOff>
    </xdr:from>
    <xdr:to>
      <xdr:col>6</xdr:col>
      <xdr:colOff>501650</xdr:colOff>
      <xdr:row>136</xdr:row>
      <xdr:rowOff>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638E10F-F50E-47F1-8B3E-CC52AD77CE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192</xdr:row>
      <xdr:rowOff>0</xdr:rowOff>
    </xdr:from>
    <xdr:to>
      <xdr:col>7</xdr:col>
      <xdr:colOff>0</xdr:colOff>
      <xdr:row>210</xdr:row>
      <xdr:rowOff>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463503D6-825F-4110-86A9-CE9AC46AA5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483</xdr:row>
      <xdr:rowOff>0</xdr:rowOff>
    </xdr:from>
    <xdr:to>
      <xdr:col>7</xdr:col>
      <xdr:colOff>0</xdr:colOff>
      <xdr:row>501</xdr:row>
      <xdr:rowOff>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F852A8B-1B19-48EA-B10B-219A2947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750</xdr:row>
      <xdr:rowOff>0</xdr:rowOff>
    </xdr:from>
    <xdr:to>
      <xdr:col>7</xdr:col>
      <xdr:colOff>0</xdr:colOff>
      <xdr:row>768</xdr:row>
      <xdr:rowOff>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A464BC93-A941-4A89-8285-3A556331FA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1264</xdr:row>
      <xdr:rowOff>0</xdr:rowOff>
    </xdr:from>
    <xdr:to>
      <xdr:col>7</xdr:col>
      <xdr:colOff>0</xdr:colOff>
      <xdr:row>1282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E4CBFD42-91CD-424C-A000-EC6D0D087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1322</xdr:row>
      <xdr:rowOff>0</xdr:rowOff>
    </xdr:from>
    <xdr:to>
      <xdr:col>7</xdr:col>
      <xdr:colOff>0</xdr:colOff>
      <xdr:row>1340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E64724F8-38AC-44CC-9F79-9B9D69350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127000</xdr:colOff>
      <xdr:row>1322</xdr:row>
      <xdr:rowOff>0</xdr:rowOff>
    </xdr:from>
    <xdr:to>
      <xdr:col>13</xdr:col>
      <xdr:colOff>171450</xdr:colOff>
      <xdr:row>1340</xdr:row>
      <xdr:rowOff>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852B50EE-7EEE-4FDC-B7BE-4C08839DF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298450</xdr:colOff>
      <xdr:row>1322</xdr:row>
      <xdr:rowOff>0</xdr:rowOff>
    </xdr:from>
    <xdr:to>
      <xdr:col>19</xdr:col>
      <xdr:colOff>342900</xdr:colOff>
      <xdr:row>1340</xdr:row>
      <xdr:rowOff>0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F95D03AB-F3AD-4ACE-91B1-1F48CB689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469900</xdr:colOff>
      <xdr:row>1322</xdr:row>
      <xdr:rowOff>0</xdr:rowOff>
    </xdr:from>
    <xdr:to>
      <xdr:col>25</xdr:col>
      <xdr:colOff>514350</xdr:colOff>
      <xdr:row>1340</xdr:row>
      <xdr:rowOff>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A3B61CA-1125-4A9D-83F5-6782F2F8C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1458</xdr:row>
      <xdr:rowOff>0</xdr:rowOff>
    </xdr:from>
    <xdr:to>
      <xdr:col>7</xdr:col>
      <xdr:colOff>0</xdr:colOff>
      <xdr:row>1476</xdr:row>
      <xdr:rowOff>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BF08A793-D914-4F87-B5CD-D945A3B9A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1725</xdr:row>
      <xdr:rowOff>0</xdr:rowOff>
    </xdr:from>
    <xdr:to>
      <xdr:col>7</xdr:col>
      <xdr:colOff>0</xdr:colOff>
      <xdr:row>1743</xdr:row>
      <xdr:rowOff>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D84EE626-B982-4035-929D-4B509C11E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127000</xdr:colOff>
      <xdr:row>1725</xdr:row>
      <xdr:rowOff>0</xdr:rowOff>
    </xdr:from>
    <xdr:to>
      <xdr:col>13</xdr:col>
      <xdr:colOff>171450</xdr:colOff>
      <xdr:row>1743</xdr:row>
      <xdr:rowOff>0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8A659C2F-5F24-4045-A439-6805D04DC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298450</xdr:colOff>
      <xdr:row>1725</xdr:row>
      <xdr:rowOff>0</xdr:rowOff>
    </xdr:from>
    <xdr:to>
      <xdr:col>19</xdr:col>
      <xdr:colOff>342900</xdr:colOff>
      <xdr:row>1743</xdr:row>
      <xdr:rowOff>0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352B7285-5A51-4D70-9312-8CF07EAC9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1745</xdr:row>
      <xdr:rowOff>0</xdr:rowOff>
    </xdr:from>
    <xdr:to>
      <xdr:col>7</xdr:col>
      <xdr:colOff>0</xdr:colOff>
      <xdr:row>1763</xdr:row>
      <xdr:rowOff>0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CB59555F-1470-4D69-9609-3BEB9D72A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2013</xdr:row>
      <xdr:rowOff>0</xdr:rowOff>
    </xdr:from>
    <xdr:to>
      <xdr:col>7</xdr:col>
      <xdr:colOff>0</xdr:colOff>
      <xdr:row>2031</xdr:row>
      <xdr:rowOff>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2B616284-0B5E-4949-9CE8-53FBE40B8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127000</xdr:colOff>
      <xdr:row>2013</xdr:row>
      <xdr:rowOff>0</xdr:rowOff>
    </xdr:from>
    <xdr:to>
      <xdr:col>13</xdr:col>
      <xdr:colOff>171450</xdr:colOff>
      <xdr:row>2031</xdr:row>
      <xdr:rowOff>0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C4D346B3-A68E-4553-8A77-03343A9C3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6350</xdr:rowOff>
        </xdr:from>
        <xdr:to>
          <xdr:col>6</xdr:col>
          <xdr:colOff>6350</xdr:colOff>
          <xdr:row>13</xdr:row>
          <xdr:rowOff>6350</xdr:rowOff>
        </xdr:to>
        <xdr:sp macro="" textlink="">
          <xdr:nvSpPr>
            <xdr:cNvPr id="1025" name="DD82175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D24FFB4-5BCF-4757-9681-D38492663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3A0F4-7432-4708-8ABB-C3FC1762BC6E}">
  <sheetPr codeName="Лист1"/>
  <dimension ref="A1:T243"/>
  <sheetViews>
    <sheetView topLeftCell="C1" workbookViewId="0">
      <selection activeCell="E8" sqref="E8"/>
    </sheetView>
  </sheetViews>
  <sheetFormatPr defaultRowHeight="14.5" x14ac:dyDescent="0.35"/>
  <sheetData>
    <row r="1" spans="1:2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35">
      <c r="A2">
        <v>2.88536122003151</v>
      </c>
      <c r="B2">
        <v>71.5</v>
      </c>
      <c r="C2">
        <v>557.85809326171898</v>
      </c>
      <c r="D2">
        <v>0.33416540654689503</v>
      </c>
      <c r="E2">
        <v>5.7846394721274799E-2</v>
      </c>
      <c r="F2">
        <v>51.318040246221699</v>
      </c>
      <c r="G2">
        <v>48.566955611891999</v>
      </c>
      <c r="H2">
        <v>3.5525365714285702</v>
      </c>
      <c r="I2">
        <v>60.342735290527301</v>
      </c>
      <c r="J2">
        <v>0</v>
      </c>
      <c r="K2">
        <v>797.97509765625</v>
      </c>
      <c r="L2">
        <v>6.6088609675892096</v>
      </c>
      <c r="M2">
        <v>562.64133390833103</v>
      </c>
      <c r="N2">
        <v>159.90859785236299</v>
      </c>
      <c r="O2">
        <v>40.378611423930202</v>
      </c>
      <c r="P2">
        <v>9.3379993438720703</v>
      </c>
      <c r="Q2">
        <v>31.033964157104499</v>
      </c>
      <c r="R2">
        <v>121.679656982422</v>
      </c>
      <c r="S2">
        <v>4.2113008499145499</v>
      </c>
      <c r="T2">
        <v>12.5348796844482</v>
      </c>
    </row>
    <row r="3" spans="1:20" x14ac:dyDescent="0.35">
      <c r="A3">
        <v>2.1945143418824702</v>
      </c>
      <c r="B3">
        <v>42.4</v>
      </c>
      <c r="C3">
        <v>1103.13684082031</v>
      </c>
      <c r="D3">
        <v>0.16913679752352501</v>
      </c>
      <c r="E3">
        <v>2.1399994097764798</v>
      </c>
      <c r="F3">
        <v>54.854348703617397</v>
      </c>
      <c r="G3">
        <v>42.891180126682002</v>
      </c>
      <c r="H3">
        <v>1.64181363333333</v>
      </c>
      <c r="I3">
        <v>55.902889251708999</v>
      </c>
      <c r="J3">
        <v>0</v>
      </c>
      <c r="K3">
        <v>822.83142089843795</v>
      </c>
      <c r="L3">
        <v>6.2661567906864404</v>
      </c>
      <c r="M3">
        <v>552.34721399526097</v>
      </c>
      <c r="N3">
        <v>162.10616640184699</v>
      </c>
      <c r="O3">
        <v>39.853348997772699</v>
      </c>
      <c r="P3">
        <v>10.3408613204956</v>
      </c>
      <c r="Q3">
        <v>33.5759086608887</v>
      </c>
      <c r="R3">
        <v>95.7501220703125</v>
      </c>
      <c r="S3">
        <v>4.1451644897460902</v>
      </c>
      <c r="T3">
        <v>10.75</v>
      </c>
    </row>
    <row r="4" spans="1:20" x14ac:dyDescent="0.35">
      <c r="A4">
        <v>2.3010299956639799</v>
      </c>
      <c r="B4">
        <v>1500</v>
      </c>
      <c r="C4">
        <v>38.245189666747997</v>
      </c>
      <c r="D4">
        <v>0.60294095718152696</v>
      </c>
      <c r="E4">
        <v>5.5975693637812904</v>
      </c>
      <c r="F4">
        <v>93.760846045161699</v>
      </c>
      <c r="G4">
        <v>0.59162889002866703</v>
      </c>
      <c r="H4">
        <v>1.50275359497908</v>
      </c>
      <c r="I4">
        <v>35.342418670654297</v>
      </c>
      <c r="J4">
        <v>0</v>
      </c>
      <c r="K4">
        <v>693.24450683593795</v>
      </c>
      <c r="L4">
        <v>3.6296762423437099</v>
      </c>
      <c r="M4">
        <v>427.95397949218801</v>
      </c>
      <c r="N4">
        <v>161.56962410348399</v>
      </c>
      <c r="O4">
        <v>32.124474947569801</v>
      </c>
      <c r="P4">
        <v>0.17407049238681799</v>
      </c>
      <c r="Q4">
        <v>22.429634094238299</v>
      </c>
      <c r="R4">
        <v>60.203330993652301</v>
      </c>
      <c r="S4">
        <v>3.2517957687377899</v>
      </c>
      <c r="T4">
        <v>17.586879730224599</v>
      </c>
    </row>
    <row r="5" spans="1:20" x14ac:dyDescent="0.35">
      <c r="A5">
        <v>2.9827233876685502</v>
      </c>
      <c r="B5">
        <v>407</v>
      </c>
      <c r="C5">
        <v>295.21685791015602</v>
      </c>
      <c r="D5">
        <v>0.47464800927224898</v>
      </c>
      <c r="E5">
        <v>7.1386790255876198</v>
      </c>
      <c r="F5">
        <v>52.755684896814799</v>
      </c>
      <c r="G5">
        <v>39.9440573242277</v>
      </c>
      <c r="H5">
        <v>3.6793623181818198</v>
      </c>
      <c r="I5">
        <v>67.438148498535199</v>
      </c>
      <c r="J5">
        <v>0</v>
      </c>
      <c r="K5">
        <v>739.8095703125</v>
      </c>
      <c r="L5">
        <v>4.4680768055993996</v>
      </c>
      <c r="M5">
        <v>557.45283983574495</v>
      </c>
      <c r="N5">
        <v>155.89273846735699</v>
      </c>
      <c r="O5">
        <v>42.088106155395501</v>
      </c>
      <c r="P5">
        <v>7.4179620742797896</v>
      </c>
      <c r="Q5">
        <v>31.478532791137699</v>
      </c>
      <c r="R5">
        <v>119.05426025390599</v>
      </c>
      <c r="S5">
        <v>3.88347291946411</v>
      </c>
      <c r="T5">
        <v>17.2249755859375</v>
      </c>
    </row>
    <row r="6" spans="1:20" x14ac:dyDescent="0.35">
      <c r="A6">
        <v>3.18752072083646</v>
      </c>
      <c r="B6">
        <v>237</v>
      </c>
      <c r="C6">
        <v>113.818367004395</v>
      </c>
      <c r="D6">
        <v>0.39740475677950099</v>
      </c>
      <c r="E6">
        <v>2.2360055512097399E-2</v>
      </c>
      <c r="F6">
        <v>43.551250116870499</v>
      </c>
      <c r="G6">
        <v>56.308555445564103</v>
      </c>
      <c r="H6">
        <v>1.83320728082192</v>
      </c>
      <c r="I6">
        <v>104.99558258056599</v>
      </c>
      <c r="J6">
        <v>0</v>
      </c>
      <c r="K6">
        <v>801.07092285156205</v>
      </c>
      <c r="L6">
        <v>2.1511961632087599</v>
      </c>
      <c r="M6">
        <v>480.63983904729099</v>
      </c>
      <c r="N6">
        <v>154.56909554903601</v>
      </c>
      <c r="O6">
        <v>37.980925450559504</v>
      </c>
      <c r="P6">
        <v>8.0110635757446307</v>
      </c>
      <c r="Q6">
        <v>25.5405368804932</v>
      </c>
      <c r="R6">
        <v>81.940452575683594</v>
      </c>
      <c r="S6">
        <v>3.8500885963439901</v>
      </c>
      <c r="T6">
        <v>10.5817918777466</v>
      </c>
    </row>
    <row r="7" spans="1:20" x14ac:dyDescent="0.35">
      <c r="A7">
        <v>3.02448566769917</v>
      </c>
      <c r="B7">
        <v>454</v>
      </c>
      <c r="C7">
        <v>626.05780029296898</v>
      </c>
      <c r="D7">
        <v>0.29638423247254497</v>
      </c>
      <c r="E7">
        <v>11.5241073846324</v>
      </c>
      <c r="F7">
        <v>72.816490347976995</v>
      </c>
      <c r="G7">
        <v>15.2366428184294</v>
      </c>
      <c r="H7">
        <v>4.2199791129032302</v>
      </c>
      <c r="I7">
        <v>60.052127838134801</v>
      </c>
      <c r="J7">
        <v>0</v>
      </c>
      <c r="K7">
        <v>631.71496582031205</v>
      </c>
      <c r="L7">
        <v>8.1758012146246202</v>
      </c>
      <c r="M7">
        <v>575.35495845607102</v>
      </c>
      <c r="N7">
        <v>162.68798803110599</v>
      </c>
      <c r="O7">
        <v>39.8601460378678</v>
      </c>
      <c r="P7">
        <v>3.5899074077606201</v>
      </c>
      <c r="Q7">
        <v>34.664436340332003</v>
      </c>
      <c r="R7">
        <v>175.23530578613301</v>
      </c>
      <c r="S7">
        <v>4.2167181968689</v>
      </c>
      <c r="T7">
        <v>11.131874084472701</v>
      </c>
    </row>
    <row r="8" spans="1:20" x14ac:dyDescent="0.35">
      <c r="A8">
        <v>2.8779469516291898</v>
      </c>
      <c r="B8">
        <v>137</v>
      </c>
      <c r="C8">
        <v>1669.27795410156</v>
      </c>
      <c r="D8">
        <v>0.18685927871361599</v>
      </c>
      <c r="E8">
        <v>24.488567918184</v>
      </c>
      <c r="F8">
        <v>74.214831129311506</v>
      </c>
      <c r="G8">
        <v>0.52390800913906999</v>
      </c>
      <c r="H8">
        <v>5.2837512911392404</v>
      </c>
      <c r="I8">
        <v>60.224323272705099</v>
      </c>
      <c r="J8">
        <v>0</v>
      </c>
      <c r="K8">
        <v>435.64859008789102</v>
      </c>
      <c r="L8">
        <v>13.200255714479001</v>
      </c>
      <c r="M8">
        <v>606.22677562275896</v>
      </c>
      <c r="N8">
        <v>166.59722350073599</v>
      </c>
      <c r="O8">
        <v>37.415699974435299</v>
      </c>
      <c r="P8">
        <v>0.55952137708663896</v>
      </c>
      <c r="Q8">
        <v>36.006507873535199</v>
      </c>
      <c r="R8">
        <v>208.02403259277301</v>
      </c>
      <c r="S8">
        <v>4.2206230163574201</v>
      </c>
      <c r="T8">
        <v>10.75</v>
      </c>
    </row>
    <row r="9" spans="1:20" x14ac:dyDescent="0.35">
      <c r="A9">
        <v>3.2281436075977399</v>
      </c>
      <c r="B9">
        <v>373</v>
      </c>
      <c r="C9">
        <v>355.61669921875</v>
      </c>
      <c r="D9">
        <v>0.46709171978263098</v>
      </c>
      <c r="E9">
        <v>1.71706527085064</v>
      </c>
      <c r="F9">
        <v>43.662939987977502</v>
      </c>
      <c r="G9">
        <v>54.431656927330003</v>
      </c>
      <c r="H9">
        <v>3.5890295086956501</v>
      </c>
      <c r="I9">
        <v>69.040618896484403</v>
      </c>
      <c r="J9">
        <v>0</v>
      </c>
      <c r="K9">
        <v>833.9833984375</v>
      </c>
      <c r="L9">
        <v>4.0894490734475601</v>
      </c>
      <c r="M9">
        <v>571.14929449362796</v>
      </c>
      <c r="N9">
        <v>155.1662312492</v>
      </c>
      <c r="O9">
        <v>43.6189820649194</v>
      </c>
      <c r="P9">
        <v>11.0351905822754</v>
      </c>
      <c r="Q9">
        <v>31.461851119995099</v>
      </c>
      <c r="R9">
        <v>132.66299438476599</v>
      </c>
      <c r="S9">
        <v>3.9026262760162398</v>
      </c>
      <c r="T9">
        <v>12.601672172546399</v>
      </c>
    </row>
    <row r="10" spans="1:20" x14ac:dyDescent="0.35">
      <c r="A10">
        <v>2.9680157139936401</v>
      </c>
      <c r="B10">
        <v>379</v>
      </c>
      <c r="C10">
        <v>1391.96142578125</v>
      </c>
      <c r="D10">
        <v>0.196249942733287</v>
      </c>
      <c r="E10">
        <v>8.7236911232954206</v>
      </c>
      <c r="F10">
        <v>88.291404103727402</v>
      </c>
      <c r="G10">
        <v>2.1497327615836399</v>
      </c>
      <c r="H10">
        <v>4.1576851870229001</v>
      </c>
      <c r="I10">
        <v>19.908388137817401</v>
      </c>
      <c r="J10">
        <v>0</v>
      </c>
      <c r="K10">
        <v>523.39483642578102</v>
      </c>
      <c r="L10">
        <v>11.6713168621063</v>
      </c>
      <c r="M10">
        <v>659.26513321673303</v>
      </c>
      <c r="N10">
        <v>162.82855449739</v>
      </c>
      <c r="O10">
        <v>43.401074769067002</v>
      </c>
      <c r="P10">
        <v>0.48375841975212103</v>
      </c>
      <c r="Q10">
        <v>33.8286743164062</v>
      </c>
      <c r="R10">
        <v>168.05807495117199</v>
      </c>
      <c r="S10">
        <v>4.0668029785156197</v>
      </c>
      <c r="T10">
        <v>10.5290012359619</v>
      </c>
    </row>
    <row r="11" spans="1:20" x14ac:dyDescent="0.35">
      <c r="A11">
        <v>2.0128372247051698</v>
      </c>
      <c r="B11">
        <v>862</v>
      </c>
      <c r="C11">
        <v>622.66711425781205</v>
      </c>
      <c r="D11">
        <v>0.27427634456119299</v>
      </c>
      <c r="E11">
        <v>7.2608449865166804</v>
      </c>
      <c r="F11">
        <v>80.604308355514505</v>
      </c>
      <c r="G11">
        <v>11.6100328565957</v>
      </c>
      <c r="H11">
        <v>4.0423253345132704</v>
      </c>
      <c r="I11">
        <v>22.596830368041999</v>
      </c>
      <c r="J11">
        <v>0</v>
      </c>
      <c r="K11">
        <v>541.9228515625</v>
      </c>
      <c r="L11">
        <v>11.5535566142348</v>
      </c>
      <c r="M11">
        <v>647.82806946801395</v>
      </c>
      <c r="N11">
        <v>161.592289408699</v>
      </c>
      <c r="O11">
        <v>42.563652351254298</v>
      </c>
      <c r="P11">
        <v>1.86114525794983</v>
      </c>
      <c r="Q11">
        <v>34.1710815429688</v>
      </c>
      <c r="R11">
        <v>150.61723327636699</v>
      </c>
      <c r="S11">
        <v>3.9460475444793701</v>
      </c>
      <c r="T11">
        <v>10.4214525222778</v>
      </c>
    </row>
    <row r="12" spans="1:20" x14ac:dyDescent="0.35">
      <c r="A12">
        <v>2.8830933585756902</v>
      </c>
      <c r="B12">
        <v>104</v>
      </c>
      <c r="C12">
        <v>2077.20092773438</v>
      </c>
      <c r="D12">
        <v>0.13435781127375901</v>
      </c>
      <c r="E12">
        <v>32.877688370001103</v>
      </c>
      <c r="F12">
        <v>65.553885218725199</v>
      </c>
      <c r="G12">
        <v>1.04821268884506</v>
      </c>
      <c r="H12">
        <v>5.2579019347826099</v>
      </c>
      <c r="I12">
        <v>60.362152099609403</v>
      </c>
      <c r="J12">
        <v>0</v>
      </c>
      <c r="K12">
        <v>431.51593017578102</v>
      </c>
      <c r="L12">
        <v>18.936649173986702</v>
      </c>
      <c r="M12">
        <v>645.38057821305097</v>
      </c>
      <c r="N12">
        <v>167.718149153913</v>
      </c>
      <c r="O12">
        <v>34.9681202622711</v>
      </c>
      <c r="P12">
        <v>0.25287663936615001</v>
      </c>
      <c r="Q12">
        <v>34.085079193115199</v>
      </c>
      <c r="R12">
        <v>248.94412231445301</v>
      </c>
      <c r="S12">
        <v>4.2171649932861301</v>
      </c>
      <c r="T12">
        <v>10.722448348999</v>
      </c>
    </row>
    <row r="13" spans="1:20" x14ac:dyDescent="0.35">
      <c r="A13">
        <v>3.6127838567197399</v>
      </c>
      <c r="B13">
        <v>66.400000000000006</v>
      </c>
      <c r="C13">
        <v>710.96343994140602</v>
      </c>
      <c r="D13">
        <v>0.22900553658377101</v>
      </c>
      <c r="E13">
        <v>0.43642961103963401</v>
      </c>
      <c r="F13">
        <v>35.789514240864101</v>
      </c>
      <c r="G13">
        <v>63.404921167285899</v>
      </c>
      <c r="H13">
        <v>4.7892201999999999</v>
      </c>
      <c r="I13">
        <v>38.766410827636697</v>
      </c>
      <c r="J13">
        <v>0</v>
      </c>
      <c r="K13">
        <v>752.87445068359398</v>
      </c>
      <c r="L13">
        <v>7.3815886368517001</v>
      </c>
      <c r="M13">
        <v>619.81333348008502</v>
      </c>
      <c r="N13">
        <v>163.352850491883</v>
      </c>
      <c r="O13">
        <v>44.371494105604803</v>
      </c>
      <c r="P13">
        <v>17.4728393554688</v>
      </c>
      <c r="Q13">
        <v>33.7470703125</v>
      </c>
      <c r="R13">
        <v>203.13308715820301</v>
      </c>
      <c r="S13">
        <v>4.1550526618957502</v>
      </c>
      <c r="T13">
        <v>13.732613563537599</v>
      </c>
    </row>
    <row r="14" spans="1:20" x14ac:dyDescent="0.35">
      <c r="A14">
        <v>3.1139433523068401</v>
      </c>
      <c r="B14">
        <v>308</v>
      </c>
      <c r="C14">
        <v>747.87078857421898</v>
      </c>
      <c r="D14">
        <v>0.31039787724592799</v>
      </c>
      <c r="E14">
        <v>10.3461895110739</v>
      </c>
      <c r="F14">
        <v>40.0508358063407</v>
      </c>
      <c r="G14">
        <v>49.437558961120203</v>
      </c>
      <c r="H14">
        <v>5.4194821166666696</v>
      </c>
      <c r="I14">
        <v>42.369396209716797</v>
      </c>
      <c r="J14">
        <v>0</v>
      </c>
      <c r="K14">
        <v>656.34747314453102</v>
      </c>
      <c r="L14">
        <v>10.5792853988585</v>
      </c>
      <c r="M14">
        <v>647.78142710201098</v>
      </c>
      <c r="N14">
        <v>162.622579855997</v>
      </c>
      <c r="O14">
        <v>43.511929809069997</v>
      </c>
      <c r="P14">
        <v>13.5190076828003</v>
      </c>
      <c r="Q14">
        <v>33.532264709472699</v>
      </c>
      <c r="R14">
        <v>220.28468322753901</v>
      </c>
      <c r="S14">
        <v>4.1897211074829102</v>
      </c>
      <c r="T14">
        <v>11.376568794250501</v>
      </c>
    </row>
    <row r="15" spans="1:20" x14ac:dyDescent="0.35">
      <c r="A15">
        <v>3.4323277922615998</v>
      </c>
      <c r="B15">
        <v>230</v>
      </c>
      <c r="C15">
        <v>972.72222900390602</v>
      </c>
      <c r="D15">
        <v>0.277077050186255</v>
      </c>
      <c r="E15">
        <v>44.264300037297701</v>
      </c>
      <c r="F15">
        <v>52.117453635469403</v>
      </c>
      <c r="G15">
        <v>1.96171886177927</v>
      </c>
      <c r="H15">
        <v>6.91121647058824</v>
      </c>
      <c r="I15">
        <v>41.9885864257812</v>
      </c>
      <c r="J15">
        <v>6.8946066091938496</v>
      </c>
      <c r="K15">
        <v>556.47668457031205</v>
      </c>
      <c r="L15">
        <v>19.739501679529901</v>
      </c>
      <c r="M15">
        <v>661.88395115586604</v>
      </c>
      <c r="N15">
        <v>166.510053290695</v>
      </c>
      <c r="O15">
        <v>35.544132826758201</v>
      </c>
      <c r="P15">
        <v>0.359294593334198</v>
      </c>
      <c r="Q15">
        <v>33.714973449707003</v>
      </c>
      <c r="R15">
        <v>259.42724609375</v>
      </c>
      <c r="S15">
        <v>4.2180085182189897</v>
      </c>
      <c r="T15">
        <v>10.711534500122101</v>
      </c>
    </row>
    <row r="16" spans="1:20" x14ac:dyDescent="0.35">
      <c r="A16">
        <v>2.8573324964312699</v>
      </c>
      <c r="B16">
        <v>1847</v>
      </c>
      <c r="C16">
        <v>729.84808349609398</v>
      </c>
      <c r="D16">
        <v>0.31950411279240198</v>
      </c>
      <c r="E16">
        <v>14.372395268701201</v>
      </c>
      <c r="F16">
        <v>80.948168956618105</v>
      </c>
      <c r="G16">
        <v>4.5035347575147</v>
      </c>
      <c r="H16">
        <v>3.7845976504132199</v>
      </c>
      <c r="I16">
        <v>42.905113220214801</v>
      </c>
      <c r="J16">
        <v>5.6487402387759902</v>
      </c>
      <c r="K16">
        <v>656.05322265625</v>
      </c>
      <c r="L16">
        <v>13.8362789075883</v>
      </c>
      <c r="M16">
        <v>664.82225611952504</v>
      </c>
      <c r="N16">
        <v>162.228222456135</v>
      </c>
      <c r="O16">
        <v>41.671364956214802</v>
      </c>
      <c r="P16">
        <v>0.86922240257263195</v>
      </c>
      <c r="Q16">
        <v>34.019824981689503</v>
      </c>
      <c r="R16">
        <v>146.48670959472699</v>
      </c>
      <c r="S16">
        <v>3.9142470359802202</v>
      </c>
      <c r="T16">
        <v>12.4383945465088</v>
      </c>
    </row>
    <row r="17" spans="1:20" x14ac:dyDescent="0.35">
      <c r="A17">
        <v>1.6989700043360201</v>
      </c>
      <c r="B17">
        <v>88.2</v>
      </c>
      <c r="C17">
        <v>590.39929199218795</v>
      </c>
      <c r="D17">
        <v>0.32466889499318502</v>
      </c>
      <c r="E17">
        <v>3.5627287815788097E-2</v>
      </c>
      <c r="F17">
        <v>76.736449183174599</v>
      </c>
      <c r="G17">
        <v>22.4706665675041</v>
      </c>
      <c r="H17">
        <v>1.2220705999999999</v>
      </c>
      <c r="I17">
        <v>38.766410827636697</v>
      </c>
      <c r="J17">
        <v>0</v>
      </c>
      <c r="K17">
        <v>964.00402832031205</v>
      </c>
      <c r="L17">
        <v>7.1038439078409201</v>
      </c>
      <c r="M17">
        <v>614.35783411244904</v>
      </c>
      <c r="N17">
        <v>162.17356047083101</v>
      </c>
      <c r="O17">
        <v>44.214580723496702</v>
      </c>
      <c r="P17">
        <v>4.7601361274719203</v>
      </c>
      <c r="Q17">
        <v>28.452692031860401</v>
      </c>
      <c r="R17">
        <v>75.499778747558594</v>
      </c>
      <c r="S17">
        <v>3.8976886272430402</v>
      </c>
      <c r="T17">
        <v>17.6450386047363</v>
      </c>
    </row>
    <row r="18" spans="1:20" x14ac:dyDescent="0.35">
      <c r="A18">
        <v>2.9790929006383302</v>
      </c>
      <c r="B18">
        <v>1201</v>
      </c>
      <c r="C18">
        <v>56.712020874023402</v>
      </c>
      <c r="D18">
        <v>0.79555180086647903</v>
      </c>
      <c r="E18">
        <v>0.28401937848047998</v>
      </c>
      <c r="F18">
        <v>42.221960258233999</v>
      </c>
      <c r="G18">
        <v>56.834838577818303</v>
      </c>
      <c r="H18">
        <v>2.1363704494892199</v>
      </c>
      <c r="I18">
        <v>143.87455749511699</v>
      </c>
      <c r="J18">
        <v>0</v>
      </c>
      <c r="K18">
        <v>816.51861572265602</v>
      </c>
      <c r="L18">
        <v>3.8836591849561599</v>
      </c>
      <c r="M18">
        <v>543.61010942302801</v>
      </c>
      <c r="N18">
        <v>154.798333840292</v>
      </c>
      <c r="O18">
        <v>41.511580826806203</v>
      </c>
      <c r="P18">
        <v>12.0095376968384</v>
      </c>
      <c r="Q18">
        <v>27.174943923950199</v>
      </c>
      <c r="R18">
        <v>85.8753662109375</v>
      </c>
      <c r="S18">
        <v>3.8921215534210201</v>
      </c>
      <c r="T18">
        <v>11.6725988388062</v>
      </c>
    </row>
    <row r="19" spans="1:20" x14ac:dyDescent="0.35">
      <c r="A19">
        <v>2.8597385661971502</v>
      </c>
      <c r="B19">
        <v>480</v>
      </c>
      <c r="C19">
        <v>1614.97375488281</v>
      </c>
      <c r="D19">
        <v>0.18571700610869499</v>
      </c>
      <c r="E19">
        <v>30.1316974613772</v>
      </c>
      <c r="F19">
        <v>61.584726968002101</v>
      </c>
      <c r="G19">
        <v>7.9823053663232004</v>
      </c>
      <c r="H19">
        <v>5.6781568233333299</v>
      </c>
      <c r="I19">
        <v>11.1519918441772</v>
      </c>
      <c r="J19">
        <v>0.27757137988851899</v>
      </c>
      <c r="K19">
        <v>541.95159912109398</v>
      </c>
      <c r="L19">
        <v>25.612850877105199</v>
      </c>
      <c r="M19">
        <v>762.04564329053505</v>
      </c>
      <c r="N19">
        <v>163.96734444039799</v>
      </c>
      <c r="O19">
        <v>38.003349241663201</v>
      </c>
      <c r="P19">
        <v>1.7916218042373699</v>
      </c>
      <c r="Q19">
        <v>29.641450881958001</v>
      </c>
      <c r="R19">
        <v>230.91221618652301</v>
      </c>
      <c r="S19">
        <v>3.7856791019439702</v>
      </c>
      <c r="T19">
        <v>10.26198387146</v>
      </c>
    </row>
    <row r="20" spans="1:20" x14ac:dyDescent="0.35">
      <c r="A20">
        <v>2.8202014594856402</v>
      </c>
      <c r="B20">
        <v>1460</v>
      </c>
      <c r="C20">
        <v>1052.1240234375</v>
      </c>
      <c r="D20">
        <v>0.26068557262742997</v>
      </c>
      <c r="E20">
        <v>21.4340056572013</v>
      </c>
      <c r="F20">
        <v>65.071156434732004</v>
      </c>
      <c r="G20">
        <v>12.889338135231</v>
      </c>
      <c r="H20">
        <v>5.2098371204569096</v>
      </c>
      <c r="I20">
        <v>19.143793106079102</v>
      </c>
      <c r="J20">
        <v>8.3944519988991804</v>
      </c>
      <c r="K20">
        <v>634.514892578125</v>
      </c>
      <c r="L20">
        <v>22.527496478596699</v>
      </c>
      <c r="M20">
        <v>753.58482085681396</v>
      </c>
      <c r="N20">
        <v>163.02643972928399</v>
      </c>
      <c r="O20">
        <v>40.346700887211</v>
      </c>
      <c r="P20">
        <v>2.8038666248321502</v>
      </c>
      <c r="Q20">
        <v>31.1849880218506</v>
      </c>
      <c r="R20">
        <v>210.95523071289099</v>
      </c>
      <c r="S20">
        <v>3.8747761249542201</v>
      </c>
      <c r="T20">
        <v>9.1019668579101598</v>
      </c>
    </row>
    <row r="21" spans="1:20" x14ac:dyDescent="0.35">
      <c r="A21">
        <v>3.5453071164658199</v>
      </c>
      <c r="B21">
        <v>953</v>
      </c>
      <c r="C21">
        <v>1068.64428710938</v>
      </c>
      <c r="D21">
        <v>0.20866354199539899</v>
      </c>
      <c r="E21">
        <v>42.644651879881899</v>
      </c>
      <c r="F21">
        <v>52.883463863913597</v>
      </c>
      <c r="G21">
        <v>3.40406477474771</v>
      </c>
      <c r="H21">
        <v>5.8969613017077798</v>
      </c>
      <c r="I21">
        <v>25.528480529785199</v>
      </c>
      <c r="J21">
        <v>0.61450667304003603</v>
      </c>
      <c r="K21">
        <v>516.54724121093795</v>
      </c>
      <c r="L21">
        <v>18.365344993403699</v>
      </c>
      <c r="M21">
        <v>684.05129154392898</v>
      </c>
      <c r="N21">
        <v>167.65427411188799</v>
      </c>
      <c r="O21">
        <v>38.760267476566497</v>
      </c>
      <c r="P21">
        <v>0.92706346511840798</v>
      </c>
      <c r="Q21">
        <v>31.905735015869102</v>
      </c>
      <c r="R21">
        <v>269.46633911132801</v>
      </c>
      <c r="S21">
        <v>4.1250524520873997</v>
      </c>
      <c r="T21">
        <v>10.262489318847701</v>
      </c>
    </row>
    <row r="22" spans="1:20" x14ac:dyDescent="0.35">
      <c r="A22">
        <v>3.1139433523068401</v>
      </c>
      <c r="B22">
        <v>92</v>
      </c>
      <c r="C22">
        <v>1207.7119140625</v>
      </c>
      <c r="D22">
        <v>0.216699340874388</v>
      </c>
      <c r="E22">
        <v>32.208947617004597</v>
      </c>
      <c r="F22">
        <v>43.335327050023601</v>
      </c>
      <c r="G22">
        <v>24.4070885840299</v>
      </c>
      <c r="H22">
        <v>6.1976984444444403</v>
      </c>
      <c r="I22">
        <v>33.469074249267599</v>
      </c>
      <c r="J22">
        <v>0</v>
      </c>
      <c r="K22">
        <v>590.50476074218795</v>
      </c>
      <c r="L22">
        <v>16.821458968959899</v>
      </c>
      <c r="M22">
        <v>709.14813732710002</v>
      </c>
      <c r="N22">
        <v>163.975525402632</v>
      </c>
      <c r="O22">
        <v>42.405800115866697</v>
      </c>
      <c r="P22">
        <v>5.6014757156372097</v>
      </c>
      <c r="Q22">
        <v>30.3381252288818</v>
      </c>
      <c r="R22">
        <v>263.81826782226602</v>
      </c>
      <c r="S22">
        <v>4.0437049865722701</v>
      </c>
      <c r="T22">
        <v>22.9215393066406</v>
      </c>
    </row>
    <row r="23" spans="1:20" x14ac:dyDescent="0.35">
      <c r="A23">
        <v>2.89762709129044</v>
      </c>
      <c r="B23">
        <v>561</v>
      </c>
      <c r="C23">
        <v>1917.13525390625</v>
      </c>
      <c r="D23">
        <v>0.14094919569145301</v>
      </c>
      <c r="E23">
        <v>43.532995736064699</v>
      </c>
      <c r="F23">
        <v>53.188414742836699</v>
      </c>
      <c r="G23">
        <v>2.4617133479590798</v>
      </c>
      <c r="H23">
        <v>4.9078609967948701</v>
      </c>
      <c r="I23">
        <v>13.6182146072388</v>
      </c>
      <c r="J23">
        <v>4.5159904639120798</v>
      </c>
      <c r="K23">
        <v>534.36474609375</v>
      </c>
      <c r="L23">
        <v>32.8738854674042</v>
      </c>
      <c r="M23">
        <v>813.67501981141095</v>
      </c>
      <c r="N23">
        <v>164.37083710217101</v>
      </c>
      <c r="O23">
        <v>35.0203786130811</v>
      </c>
      <c r="P23">
        <v>1.4742286205291699</v>
      </c>
      <c r="Q23">
        <v>29.237279891967798</v>
      </c>
      <c r="R23">
        <v>250.82196044921901</v>
      </c>
      <c r="S23">
        <v>3.75270700454712</v>
      </c>
      <c r="T23">
        <v>9.4341764450073207</v>
      </c>
    </row>
    <row r="24" spans="1:20" x14ac:dyDescent="0.35">
      <c r="A24">
        <v>3.2662316966898901</v>
      </c>
      <c r="B24">
        <v>67.2</v>
      </c>
      <c r="C24">
        <v>1630.09973144531</v>
      </c>
      <c r="D24">
        <v>0.15802825452135</v>
      </c>
      <c r="E24">
        <v>20.670796657940301</v>
      </c>
      <c r="F24">
        <v>65.773547068192002</v>
      </c>
      <c r="G24">
        <v>12.3128654277919</v>
      </c>
      <c r="H24">
        <v>5.4549687499999999</v>
      </c>
      <c r="I24">
        <v>33.659763336181598</v>
      </c>
      <c r="J24">
        <v>0</v>
      </c>
      <c r="K24">
        <v>561.45739746093795</v>
      </c>
      <c r="L24">
        <v>21.800316193064699</v>
      </c>
      <c r="M24">
        <v>756.344732565958</v>
      </c>
      <c r="N24">
        <v>163.68933830886601</v>
      </c>
      <c r="O24">
        <v>41.3161044198959</v>
      </c>
      <c r="P24">
        <v>2.3817944526672399</v>
      </c>
      <c r="Q24">
        <v>29.121038436889599</v>
      </c>
      <c r="R24">
        <v>271.20578002929699</v>
      </c>
      <c r="S24">
        <v>3.7859308719635001</v>
      </c>
      <c r="T24">
        <v>9.1287918090820295</v>
      </c>
    </row>
    <row r="25" spans="1:20" x14ac:dyDescent="0.35">
      <c r="A25">
        <v>3</v>
      </c>
      <c r="B25">
        <v>1340</v>
      </c>
      <c r="C25">
        <v>220.72052001953099</v>
      </c>
      <c r="D25">
        <v>0.79282183055495903</v>
      </c>
      <c r="E25">
        <v>11.025131170396801</v>
      </c>
      <c r="F25">
        <v>58.559811596578399</v>
      </c>
      <c r="G25">
        <v>27.223306213210702</v>
      </c>
      <c r="H25">
        <v>2.4506303922127302</v>
      </c>
      <c r="I25">
        <v>54.734603881835902</v>
      </c>
      <c r="J25">
        <v>0.40767361864655599</v>
      </c>
      <c r="K25">
        <v>947.74230957031205</v>
      </c>
      <c r="L25">
        <v>11.592705652362</v>
      </c>
      <c r="M25">
        <v>660.44020005523203</v>
      </c>
      <c r="N25">
        <v>162.313224417264</v>
      </c>
      <c r="O25">
        <v>43.559793315950003</v>
      </c>
      <c r="P25">
        <v>5.0229063034057599</v>
      </c>
      <c r="Q25">
        <v>25.825607299804702</v>
      </c>
      <c r="R25">
        <v>116.933456420898</v>
      </c>
      <c r="S25">
        <v>3.79997634887695</v>
      </c>
      <c r="T25">
        <v>16.6716117858887</v>
      </c>
    </row>
    <row r="26" spans="1:20" x14ac:dyDescent="0.35">
      <c r="A26">
        <v>3.4471580313422199</v>
      </c>
      <c r="B26">
        <v>136</v>
      </c>
      <c r="C26">
        <v>576.94689941406205</v>
      </c>
      <c r="D26">
        <v>0.338767820148209</v>
      </c>
      <c r="E26">
        <v>11.755034510946601</v>
      </c>
      <c r="F26">
        <v>28.055426692929998</v>
      </c>
      <c r="G26">
        <v>59.326293723369901</v>
      </c>
      <c r="H26">
        <v>6.4218826279069798</v>
      </c>
      <c r="I26">
        <v>81.709678649902301</v>
      </c>
      <c r="J26">
        <v>0</v>
      </c>
      <c r="K26">
        <v>897.53387451171898</v>
      </c>
      <c r="L26">
        <v>19.174451945257999</v>
      </c>
      <c r="M26">
        <v>785.88348388671898</v>
      </c>
      <c r="N26">
        <v>160.40267444047799</v>
      </c>
      <c r="O26">
        <v>46.435839043288901</v>
      </c>
      <c r="P26">
        <v>14.8293447494507</v>
      </c>
      <c r="Q26">
        <v>29.136589050293001</v>
      </c>
      <c r="R26">
        <v>298.96917724609398</v>
      </c>
      <c r="S26">
        <v>3.7505939006805402</v>
      </c>
      <c r="T26">
        <v>8.8778867721557599</v>
      </c>
    </row>
    <row r="27" spans="1:20" x14ac:dyDescent="0.35">
      <c r="A27">
        <v>2.6901960800285099</v>
      </c>
      <c r="B27">
        <v>236</v>
      </c>
      <c r="C27">
        <v>797.6494140625</v>
      </c>
      <c r="D27">
        <v>0.290858909050912</v>
      </c>
      <c r="E27">
        <v>9.5762083301585594</v>
      </c>
      <c r="F27">
        <v>34.818924283505801</v>
      </c>
      <c r="G27">
        <v>55.3848557861388</v>
      </c>
      <c r="H27">
        <v>7.6837360461538502</v>
      </c>
      <c r="I27">
        <v>92.362022399902301</v>
      </c>
      <c r="J27">
        <v>0</v>
      </c>
      <c r="K27">
        <v>823.07330322265602</v>
      </c>
      <c r="L27">
        <v>23.568307141788701</v>
      </c>
      <c r="M27">
        <v>804.32979996478002</v>
      </c>
      <c r="N27">
        <v>160.436005389104</v>
      </c>
      <c r="O27">
        <v>43.561315067478901</v>
      </c>
      <c r="P27">
        <v>14.4747619628906</v>
      </c>
      <c r="Q27">
        <v>29.3746337890625</v>
      </c>
      <c r="R27">
        <v>298.46969604492199</v>
      </c>
      <c r="S27">
        <v>3.7400131225585902</v>
      </c>
      <c r="T27">
        <v>7.5779705047607404</v>
      </c>
    </row>
    <row r="28" spans="1:20" x14ac:dyDescent="0.35">
      <c r="A28">
        <v>1.4471580313422201</v>
      </c>
      <c r="B28">
        <v>785</v>
      </c>
      <c r="C28">
        <v>178.81985473632801</v>
      </c>
      <c r="D28">
        <v>0.27686402910746999</v>
      </c>
      <c r="E28">
        <v>4.7537694326586999E-2</v>
      </c>
      <c r="F28">
        <v>94.092801179463194</v>
      </c>
      <c r="G28">
        <v>5.11635774150926</v>
      </c>
      <c r="H28">
        <v>0.604599157807309</v>
      </c>
      <c r="I28">
        <v>22.182701110839801</v>
      </c>
      <c r="J28">
        <v>0</v>
      </c>
      <c r="K28">
        <v>601.88073730468795</v>
      </c>
      <c r="L28">
        <v>4.0742747158300698</v>
      </c>
      <c r="M28">
        <v>482.15528994700901</v>
      </c>
      <c r="N28">
        <v>146.88043913294101</v>
      </c>
      <c r="O28">
        <v>36.201518731039101</v>
      </c>
      <c r="P28">
        <v>1.1021704673767101</v>
      </c>
      <c r="Q28">
        <v>18.658983230590799</v>
      </c>
      <c r="R28">
        <v>26.4918117523193</v>
      </c>
      <c r="S28">
        <v>2.63862156867981</v>
      </c>
      <c r="T28">
        <v>10.75</v>
      </c>
    </row>
    <row r="29" spans="1:20" x14ac:dyDescent="0.35">
      <c r="A29">
        <v>2.8350561017201201</v>
      </c>
      <c r="B29">
        <v>2962</v>
      </c>
      <c r="C29">
        <v>861.37927246093795</v>
      </c>
      <c r="D29">
        <v>0.24572667124582201</v>
      </c>
      <c r="E29">
        <v>21.3749841456202</v>
      </c>
      <c r="F29">
        <v>58.9851749691911</v>
      </c>
      <c r="G29">
        <v>18.9880115151125</v>
      </c>
      <c r="H29">
        <v>5.83347235864745</v>
      </c>
      <c r="I29">
        <v>23.120155334472699</v>
      </c>
      <c r="J29">
        <v>14.2265815047024</v>
      </c>
      <c r="K29">
        <v>669.835693359375</v>
      </c>
      <c r="L29">
        <v>25.8470337039135</v>
      </c>
      <c r="M29">
        <v>804.23537357517898</v>
      </c>
      <c r="N29">
        <v>162.76159893098401</v>
      </c>
      <c r="O29">
        <v>41.233949942667003</v>
      </c>
      <c r="P29">
        <v>4.4645147323608398</v>
      </c>
      <c r="Q29">
        <v>29.697944641113299</v>
      </c>
      <c r="R29">
        <v>254.83839416503901</v>
      </c>
      <c r="S29">
        <v>3.81850337982178</v>
      </c>
      <c r="T29">
        <v>8.1315870285034197</v>
      </c>
    </row>
    <row r="30" spans="1:20" x14ac:dyDescent="0.35">
      <c r="A30">
        <v>2.93951925261862</v>
      </c>
      <c r="B30">
        <v>498</v>
      </c>
      <c r="C30">
        <v>354.01739501953102</v>
      </c>
      <c r="D30">
        <v>0.48341586158266198</v>
      </c>
      <c r="E30">
        <v>0.90000580037184696</v>
      </c>
      <c r="F30">
        <v>16.845797468033901</v>
      </c>
      <c r="G30">
        <v>82.168411037439796</v>
      </c>
      <c r="H30">
        <v>3.4426342770270302</v>
      </c>
      <c r="I30">
        <v>102.182319641113</v>
      </c>
      <c r="J30">
        <v>0</v>
      </c>
      <c r="K30">
        <v>1165.30554199219</v>
      </c>
      <c r="L30">
        <v>12.899546607595999</v>
      </c>
      <c r="M30">
        <v>781.48245589459498</v>
      </c>
      <c r="N30">
        <v>155.13589652639899</v>
      </c>
      <c r="O30">
        <v>52.315488408823498</v>
      </c>
      <c r="P30">
        <v>20.326963424682599</v>
      </c>
      <c r="Q30">
        <v>29.126621246337901</v>
      </c>
      <c r="R30">
        <v>141.83082580566401</v>
      </c>
      <c r="S30">
        <v>3.6113092899322501</v>
      </c>
      <c r="T30">
        <v>12.675265312194799</v>
      </c>
    </row>
    <row r="31" spans="1:20" x14ac:dyDescent="0.35">
      <c r="A31">
        <v>2.1522883443830598</v>
      </c>
      <c r="B31">
        <v>359</v>
      </c>
      <c r="C31">
        <v>571.52545166015602</v>
      </c>
      <c r="D31">
        <v>0.170192014148526</v>
      </c>
      <c r="E31">
        <v>4.7117585672134004</v>
      </c>
      <c r="F31">
        <v>63.262466457896799</v>
      </c>
      <c r="G31">
        <v>18.473102657423699</v>
      </c>
      <c r="H31">
        <v>0.51701034999999995</v>
      </c>
      <c r="I31">
        <v>268.31204223632801</v>
      </c>
      <c r="J31">
        <v>0</v>
      </c>
      <c r="K31">
        <v>1435.1435546875</v>
      </c>
      <c r="L31">
        <v>12.6237388165271</v>
      </c>
      <c r="M31">
        <v>805.18059602330902</v>
      </c>
      <c r="N31">
        <v>154.43385414999</v>
      </c>
      <c r="O31">
        <v>54.571375737424802</v>
      </c>
      <c r="P31">
        <v>5.6482815742492702</v>
      </c>
      <c r="Q31">
        <v>24.947574615478501</v>
      </c>
      <c r="R31">
        <v>19.395391464233398</v>
      </c>
      <c r="S31">
        <v>3.6240046024322501</v>
      </c>
      <c r="T31">
        <v>10.75</v>
      </c>
    </row>
    <row r="32" spans="1:20" x14ac:dyDescent="0.35">
      <c r="A32">
        <v>3.13321945673249</v>
      </c>
      <c r="B32">
        <v>2777</v>
      </c>
      <c r="C32">
        <v>1018.46362304688</v>
      </c>
      <c r="D32">
        <v>0.21250938934510799</v>
      </c>
      <c r="E32">
        <v>22.903043429593499</v>
      </c>
      <c r="F32">
        <v>54.450813529697399</v>
      </c>
      <c r="G32">
        <v>21.615944884793201</v>
      </c>
      <c r="H32">
        <v>6.20022124057789</v>
      </c>
      <c r="I32">
        <v>17.638086318969702</v>
      </c>
      <c r="J32">
        <v>25.777185415541101</v>
      </c>
      <c r="K32">
        <v>709.35632324218795</v>
      </c>
      <c r="L32">
        <v>32.815557917610498</v>
      </c>
      <c r="M32">
        <v>893.73049776671405</v>
      </c>
      <c r="N32">
        <v>162.01567277752</v>
      </c>
      <c r="O32">
        <v>41.710376551893901</v>
      </c>
      <c r="P32">
        <v>5.1229014396667498</v>
      </c>
      <c r="Q32">
        <v>29.154813766479499</v>
      </c>
      <c r="R32">
        <v>282.7109375</v>
      </c>
      <c r="S32">
        <v>3.7847247123718302</v>
      </c>
      <c r="T32">
        <v>7.52183294296265</v>
      </c>
    </row>
    <row r="33" spans="1:20" x14ac:dyDescent="0.35">
      <c r="A33">
        <v>1.3979400086720399</v>
      </c>
      <c r="B33">
        <v>433</v>
      </c>
      <c r="C33">
        <v>122.597709655762</v>
      </c>
      <c r="D33">
        <v>0.29094760770108902</v>
      </c>
      <c r="E33">
        <v>0.13059157460423401</v>
      </c>
      <c r="F33">
        <v>92.764884579486804</v>
      </c>
      <c r="G33">
        <v>4.5531680108400101</v>
      </c>
      <c r="H33">
        <v>0.67543105466237896</v>
      </c>
      <c r="I33">
        <v>52.0672416687012</v>
      </c>
      <c r="J33">
        <v>0</v>
      </c>
      <c r="K33">
        <v>637.95745849609398</v>
      </c>
      <c r="L33">
        <v>4.3809736165844004</v>
      </c>
      <c r="M33">
        <v>517.59529689100896</v>
      </c>
      <c r="N33">
        <v>146.022400402632</v>
      </c>
      <c r="O33">
        <v>38.862518748299003</v>
      </c>
      <c r="P33">
        <v>1.3487868309021001</v>
      </c>
      <c r="Q33">
        <v>19.573205947876001</v>
      </c>
      <c r="R33">
        <v>18.578117370605501</v>
      </c>
      <c r="S33">
        <v>2.1853158473968501</v>
      </c>
      <c r="T33">
        <v>10.72975730896</v>
      </c>
    </row>
    <row r="34" spans="1:20" x14ac:dyDescent="0.35">
      <c r="A34">
        <v>1.88081359228079</v>
      </c>
      <c r="B34">
        <v>602</v>
      </c>
      <c r="C34">
        <v>404.89340209960898</v>
      </c>
      <c r="D34">
        <v>0.47440138041857199</v>
      </c>
      <c r="E34">
        <v>1.3714172995721701</v>
      </c>
      <c r="F34">
        <v>51.031477935418103</v>
      </c>
      <c r="G34">
        <v>46.3839142354378</v>
      </c>
      <c r="H34">
        <v>1.4391607939142499</v>
      </c>
      <c r="I34">
        <v>117.46340179443401</v>
      </c>
      <c r="J34">
        <v>0</v>
      </c>
      <c r="K34">
        <v>1320.82946777344</v>
      </c>
      <c r="L34">
        <v>12.8094910598192</v>
      </c>
      <c r="M34">
        <v>791.12985279521001</v>
      </c>
      <c r="N34">
        <v>154.98807863329299</v>
      </c>
      <c r="O34">
        <v>53.221405592121101</v>
      </c>
      <c r="P34">
        <v>12.473438262939499</v>
      </c>
      <c r="Q34">
        <v>26.4075031280518</v>
      </c>
      <c r="R34">
        <v>69.119102478027301</v>
      </c>
      <c r="S34">
        <v>3.6241078376770002</v>
      </c>
      <c r="T34">
        <v>12.069323539733899</v>
      </c>
    </row>
    <row r="35" spans="1:20" x14ac:dyDescent="0.35">
      <c r="A35">
        <v>3.1755118133634501</v>
      </c>
      <c r="B35">
        <v>1860</v>
      </c>
      <c r="C35">
        <v>574.38879394531205</v>
      </c>
      <c r="D35">
        <v>0.34184900391740303</v>
      </c>
      <c r="E35">
        <v>14.2031665750537</v>
      </c>
      <c r="F35">
        <v>50.682102653509098</v>
      </c>
      <c r="G35">
        <v>34.074918071250202</v>
      </c>
      <c r="H35">
        <v>6.5159623694817697</v>
      </c>
      <c r="I35">
        <v>7.9221253395080602</v>
      </c>
      <c r="J35">
        <v>9.7196967048205405</v>
      </c>
      <c r="K35">
        <v>886.10687255859398</v>
      </c>
      <c r="L35">
        <v>27.221672230079498</v>
      </c>
      <c r="M35">
        <v>872.53716840900404</v>
      </c>
      <c r="N35">
        <v>159.80615059274101</v>
      </c>
      <c r="O35">
        <v>45.564328303102599</v>
      </c>
      <c r="P35">
        <v>7.4843025207519496</v>
      </c>
      <c r="Q35">
        <v>29.756326675415</v>
      </c>
      <c r="R35">
        <v>270.04299926757801</v>
      </c>
      <c r="S35">
        <v>3.74373126029968</v>
      </c>
      <c r="T35">
        <v>9.1732435226440394</v>
      </c>
    </row>
    <row r="36" spans="1:20" x14ac:dyDescent="0.35">
      <c r="A36">
        <v>2.6190933306267401</v>
      </c>
      <c r="B36">
        <v>313</v>
      </c>
      <c r="C36">
        <v>264.39227294921898</v>
      </c>
      <c r="D36">
        <v>0.2304771694826</v>
      </c>
      <c r="E36">
        <v>0.83233418641648005</v>
      </c>
      <c r="F36">
        <v>78.3027688849713</v>
      </c>
      <c r="G36">
        <v>11.934907006868601</v>
      </c>
      <c r="H36">
        <v>0.84279534031413605</v>
      </c>
      <c r="I36">
        <v>91.721076965332003</v>
      </c>
      <c r="J36">
        <v>0</v>
      </c>
      <c r="K36">
        <v>655.27471923828102</v>
      </c>
      <c r="L36">
        <v>4.09625828852419</v>
      </c>
      <c r="M36">
        <v>535.45165165135097</v>
      </c>
      <c r="N36">
        <v>146.52402784003601</v>
      </c>
      <c r="O36">
        <v>40.627045865918802</v>
      </c>
      <c r="P36">
        <v>3.2933399677276598</v>
      </c>
      <c r="Q36">
        <v>19.634840011596701</v>
      </c>
      <c r="R36">
        <v>28.6699333190918</v>
      </c>
      <c r="S36">
        <v>2.4449293613433798</v>
      </c>
      <c r="T36">
        <v>10.75</v>
      </c>
    </row>
    <row r="37" spans="1:20" x14ac:dyDescent="0.35">
      <c r="A37">
        <v>2.2624510897304302</v>
      </c>
      <c r="B37">
        <v>764</v>
      </c>
      <c r="C37">
        <v>700.12561035156205</v>
      </c>
      <c r="D37">
        <v>0.35585918445000903</v>
      </c>
      <c r="E37">
        <v>19.545164061094301</v>
      </c>
      <c r="F37">
        <v>34.627968535160399</v>
      </c>
      <c r="G37">
        <v>45.169812015813697</v>
      </c>
      <c r="H37">
        <v>6.05448056542056</v>
      </c>
      <c r="I37">
        <v>33.634754180908203</v>
      </c>
      <c r="J37">
        <v>5.9293552768994404</v>
      </c>
      <c r="K37">
        <v>967.0361328125</v>
      </c>
      <c r="L37">
        <v>31.9821802983518</v>
      </c>
      <c r="M37">
        <v>942.40486820408603</v>
      </c>
      <c r="N37">
        <v>159.78721518594699</v>
      </c>
      <c r="O37">
        <v>46.620258393834803</v>
      </c>
      <c r="P37">
        <v>11.1077365875244</v>
      </c>
      <c r="Q37">
        <v>29.630569458007798</v>
      </c>
      <c r="R37">
        <v>251.97305297851599</v>
      </c>
      <c r="S37">
        <v>3.6706092357635498</v>
      </c>
      <c r="T37">
        <v>9.2324657440185494</v>
      </c>
    </row>
    <row r="38" spans="1:20" x14ac:dyDescent="0.35">
      <c r="A38">
        <v>2.3424226808222102</v>
      </c>
      <c r="B38">
        <v>1804</v>
      </c>
      <c r="C38">
        <v>210.22064208984401</v>
      </c>
      <c r="D38">
        <v>0.20749107749741599</v>
      </c>
      <c r="E38">
        <v>1.5169262108981499E-3</v>
      </c>
      <c r="F38">
        <v>97.096194953352907</v>
      </c>
      <c r="G38">
        <v>2.0868753170238601</v>
      </c>
      <c r="H38">
        <v>0.56986547944078902</v>
      </c>
      <c r="I38">
        <v>24.161098480224599</v>
      </c>
      <c r="J38">
        <v>0</v>
      </c>
      <c r="K38">
        <v>681.228759765625</v>
      </c>
      <c r="L38">
        <v>4.0721204222225804</v>
      </c>
      <c r="M38">
        <v>512.22926305552005</v>
      </c>
      <c r="N38">
        <v>147.63861934474301</v>
      </c>
      <c r="O38">
        <v>38.720733017217903</v>
      </c>
      <c r="P38">
        <v>0.57495319843292203</v>
      </c>
      <c r="Q38">
        <v>18.953346252441399</v>
      </c>
      <c r="R38">
        <v>30.094511032104499</v>
      </c>
      <c r="S38">
        <v>2.5342764854431201</v>
      </c>
      <c r="T38">
        <v>8.3442220687866193</v>
      </c>
    </row>
    <row r="39" spans="1:20" x14ac:dyDescent="0.35">
      <c r="A39">
        <v>3.23754373814287</v>
      </c>
      <c r="B39">
        <v>55.9</v>
      </c>
      <c r="C39">
        <v>1565.34924316406</v>
      </c>
      <c r="D39">
        <v>0.253537659658986</v>
      </c>
      <c r="E39">
        <v>38.860150884221802</v>
      </c>
      <c r="F39">
        <v>23.409209766442299</v>
      </c>
      <c r="G39">
        <v>13.4306671194815</v>
      </c>
      <c r="H39">
        <v>10.394392804878001</v>
      </c>
      <c r="I39">
        <v>57.753025054931598</v>
      </c>
      <c r="J39">
        <v>14.5278048989284</v>
      </c>
      <c r="K39">
        <v>906.130859375</v>
      </c>
      <c r="L39">
        <v>58.262507329221599</v>
      </c>
      <c r="M39">
        <v>1056.5923612000499</v>
      </c>
      <c r="N39">
        <v>162.95425214923799</v>
      </c>
      <c r="O39">
        <v>29.869659517632201</v>
      </c>
      <c r="P39">
        <v>15.2785091400146</v>
      </c>
      <c r="Q39">
        <v>31.660026550293001</v>
      </c>
      <c r="R39">
        <v>343.61911010742199</v>
      </c>
      <c r="S39">
        <v>3.7231810092925999</v>
      </c>
      <c r="T39">
        <v>8.8107452392578107</v>
      </c>
    </row>
    <row r="40" spans="1:20" x14ac:dyDescent="0.35">
      <c r="A40">
        <v>2.6263403673750401</v>
      </c>
      <c r="B40">
        <v>129</v>
      </c>
      <c r="C40">
        <v>1473.14416503906</v>
      </c>
      <c r="D40">
        <v>0.28416800111773299</v>
      </c>
      <c r="E40">
        <v>30.749875386647101</v>
      </c>
      <c r="F40">
        <v>37.0361517068973</v>
      </c>
      <c r="G40">
        <v>11.551362334916099</v>
      </c>
      <c r="H40">
        <v>6.5597437222222199</v>
      </c>
      <c r="I40">
        <v>56.197277069091797</v>
      </c>
      <c r="J40">
        <v>18.9492501960443</v>
      </c>
      <c r="K40">
        <v>921.61608886718795</v>
      </c>
      <c r="L40">
        <v>54.156340427086</v>
      </c>
      <c r="M40">
        <v>1050.2991312996301</v>
      </c>
      <c r="N40">
        <v>162.72267976354399</v>
      </c>
      <c r="O40">
        <v>33.468848462964701</v>
      </c>
      <c r="P40">
        <v>9.6800003051757795</v>
      </c>
      <c r="Q40">
        <v>29.880880355835</v>
      </c>
      <c r="R40">
        <v>282.80978393554699</v>
      </c>
      <c r="S40">
        <v>3.71497583389282</v>
      </c>
      <c r="T40">
        <v>8.2234296798706108</v>
      </c>
    </row>
    <row r="41" spans="1:20" x14ac:dyDescent="0.35">
      <c r="A41">
        <v>0.69897000433601897</v>
      </c>
      <c r="B41">
        <v>841</v>
      </c>
      <c r="C41">
        <v>215.25958251953099</v>
      </c>
      <c r="D41">
        <v>0.46686485321747601</v>
      </c>
      <c r="E41">
        <v>6.0831835511289699E-2</v>
      </c>
      <c r="F41">
        <v>96.323115079207895</v>
      </c>
      <c r="G41">
        <v>2.9982303173921601</v>
      </c>
      <c r="H41">
        <v>0.78730959590043903</v>
      </c>
      <c r="I41">
        <v>39.908737182617202</v>
      </c>
      <c r="J41">
        <v>0</v>
      </c>
      <c r="K41">
        <v>810.20379638671898</v>
      </c>
      <c r="L41">
        <v>6.2821626604580496</v>
      </c>
      <c r="M41">
        <v>594.62321146980696</v>
      </c>
      <c r="N41">
        <v>151.007605880987</v>
      </c>
      <c r="O41">
        <v>43.362776240364397</v>
      </c>
      <c r="P41">
        <v>0.69830644130706798</v>
      </c>
      <c r="Q41">
        <v>25.357282638549801</v>
      </c>
      <c r="R41">
        <v>21.8348712921143</v>
      </c>
      <c r="S41">
        <v>2.4111301898956299</v>
      </c>
      <c r="T41">
        <v>13.630201339721699</v>
      </c>
    </row>
    <row r="42" spans="1:20" x14ac:dyDescent="0.35">
      <c r="A42">
        <v>1.3979400086720399</v>
      </c>
      <c r="B42">
        <v>153</v>
      </c>
      <c r="C42">
        <v>26.643671035766602</v>
      </c>
      <c r="D42">
        <v>0.63602215739592405</v>
      </c>
      <c r="E42">
        <v>1</v>
      </c>
      <c r="F42">
        <v>39.858196288004599</v>
      </c>
      <c r="G42">
        <v>59.956629122499699</v>
      </c>
      <c r="H42">
        <v>3.75662456666667</v>
      </c>
      <c r="I42">
        <v>195.74348449707</v>
      </c>
      <c r="J42">
        <v>0</v>
      </c>
      <c r="K42">
        <v>1401.11108398438</v>
      </c>
      <c r="L42">
        <v>14.658208362391701</v>
      </c>
      <c r="M42">
        <v>674.10144042968795</v>
      </c>
      <c r="N42">
        <v>165.26793282931001</v>
      </c>
      <c r="O42">
        <v>41.612852127825597</v>
      </c>
      <c r="P42">
        <v>15.2212724685669</v>
      </c>
      <c r="Q42">
        <v>22.644935607910199</v>
      </c>
      <c r="R42">
        <v>155.292236328125</v>
      </c>
      <c r="S42">
        <v>3.4987831115722701</v>
      </c>
      <c r="T42">
        <v>17.4083042144775</v>
      </c>
    </row>
    <row r="43" spans="1:20" x14ac:dyDescent="0.35">
      <c r="A43">
        <v>2.3443922736851102</v>
      </c>
      <c r="B43">
        <v>304</v>
      </c>
      <c r="C43">
        <v>646.99688720703102</v>
      </c>
      <c r="D43">
        <v>0.448594368727393</v>
      </c>
      <c r="E43">
        <v>7.5541146052153003</v>
      </c>
      <c r="F43">
        <v>20.873434156707699</v>
      </c>
      <c r="G43">
        <v>71.188669540192706</v>
      </c>
      <c r="H43">
        <v>4.1876292989690702</v>
      </c>
      <c r="I43">
        <v>25.834306716918899</v>
      </c>
      <c r="J43">
        <v>0</v>
      </c>
      <c r="K43">
        <v>1094.76184082031</v>
      </c>
      <c r="L43">
        <v>29.806300022563001</v>
      </c>
      <c r="M43">
        <v>989.27728171426702</v>
      </c>
      <c r="N43">
        <v>154.76719915671401</v>
      </c>
      <c r="O43">
        <v>52.745682012839403</v>
      </c>
      <c r="P43">
        <v>16.286226272583001</v>
      </c>
      <c r="Q43">
        <v>32.647216796875</v>
      </c>
      <c r="R43">
        <v>162.90011596679699</v>
      </c>
      <c r="S43">
        <v>3.6763057708740199</v>
      </c>
      <c r="T43">
        <v>15.524329185485801</v>
      </c>
    </row>
    <row r="44" spans="1:20" x14ac:dyDescent="0.35">
      <c r="A44">
        <v>2.1271047983648099</v>
      </c>
      <c r="B44">
        <v>238</v>
      </c>
      <c r="C44">
        <v>1277.5986328125</v>
      </c>
      <c r="D44">
        <v>0.25204815431672301</v>
      </c>
      <c r="E44">
        <v>37.347743120395698</v>
      </c>
      <c r="F44">
        <v>43.547992231139297</v>
      </c>
      <c r="G44">
        <v>14.117827234238</v>
      </c>
      <c r="H44">
        <v>7.7662413840579703</v>
      </c>
      <c r="I44">
        <v>19.4784126281738</v>
      </c>
      <c r="J44">
        <v>12.6852985696784</v>
      </c>
      <c r="K44">
        <v>855.0029296875</v>
      </c>
      <c r="L44">
        <v>51.0912734485063</v>
      </c>
      <c r="M44">
        <v>1064.51193487449</v>
      </c>
      <c r="N44">
        <v>161.86360268514699</v>
      </c>
      <c r="O44">
        <v>37.683912933849903</v>
      </c>
      <c r="P44">
        <v>3.8679139614105198</v>
      </c>
      <c r="Q44">
        <v>30.6658821105957</v>
      </c>
      <c r="R44">
        <v>325.15002441406199</v>
      </c>
      <c r="S44">
        <v>3.7156329154968302</v>
      </c>
      <c r="T44">
        <v>7.9668040275573704</v>
      </c>
    </row>
    <row r="45" spans="1:20" x14ac:dyDescent="0.35">
      <c r="A45">
        <v>3.1112625136590699</v>
      </c>
      <c r="B45">
        <v>778</v>
      </c>
      <c r="C45">
        <v>1786.68786621094</v>
      </c>
      <c r="D45">
        <v>0.17729493102372099</v>
      </c>
      <c r="E45">
        <v>35.997800694737798</v>
      </c>
      <c r="F45">
        <v>51.625429395462</v>
      </c>
      <c r="G45">
        <v>6.8417250380214503</v>
      </c>
      <c r="H45">
        <v>5.10530968025751</v>
      </c>
      <c r="I45">
        <v>4.5363030433654803</v>
      </c>
      <c r="J45">
        <v>39.439625408023502</v>
      </c>
      <c r="K45">
        <v>780.51959228515602</v>
      </c>
      <c r="L45">
        <v>57.780570045846403</v>
      </c>
      <c r="M45">
        <v>1123.6729676293501</v>
      </c>
      <c r="N45">
        <v>162.32101365386501</v>
      </c>
      <c r="O45">
        <v>35.897833714719702</v>
      </c>
      <c r="P45">
        <v>3.9481003284454301</v>
      </c>
      <c r="Q45">
        <v>30.6594123840332</v>
      </c>
      <c r="R45">
        <v>244.34017944335901</v>
      </c>
      <c r="S45">
        <v>3.75466012954712</v>
      </c>
      <c r="T45">
        <v>8.6642885208129901</v>
      </c>
    </row>
    <row r="46" spans="1:20" x14ac:dyDescent="0.35">
      <c r="A46">
        <v>2.04139268515822</v>
      </c>
      <c r="B46">
        <v>893</v>
      </c>
      <c r="C46">
        <v>84.455581665039105</v>
      </c>
      <c r="D46">
        <v>0.43368471456402502</v>
      </c>
      <c r="E46">
        <v>0.56370290947796298</v>
      </c>
      <c r="F46">
        <v>73.755751432958903</v>
      </c>
      <c r="G46">
        <v>25.603685626743399</v>
      </c>
      <c r="H46">
        <v>3.7604822521739099</v>
      </c>
      <c r="I46">
        <v>80.700347900390597</v>
      </c>
      <c r="J46">
        <v>0</v>
      </c>
      <c r="K46">
        <v>743.770263671875</v>
      </c>
      <c r="L46">
        <v>8.0335748938263407</v>
      </c>
      <c r="M46">
        <v>534.29716416656004</v>
      </c>
      <c r="N46">
        <v>168.86757072073499</v>
      </c>
      <c r="O46">
        <v>36.594953505719303</v>
      </c>
      <c r="P46">
        <v>6.4969334602356001</v>
      </c>
      <c r="Q46">
        <v>26.434139251708999</v>
      </c>
      <c r="R46">
        <v>128.449462890625</v>
      </c>
      <c r="S46">
        <v>3.2291390895843501</v>
      </c>
      <c r="T46">
        <v>16.717004776001001</v>
      </c>
    </row>
    <row r="47" spans="1:20" x14ac:dyDescent="0.35">
      <c r="A47">
        <v>3.1089031276673098</v>
      </c>
      <c r="B47">
        <v>140</v>
      </c>
      <c r="C47">
        <v>796.614501953125</v>
      </c>
      <c r="D47">
        <v>0.31721949856277298</v>
      </c>
      <c r="E47">
        <v>2.6534679466995499</v>
      </c>
      <c r="F47">
        <v>35.234376210291799</v>
      </c>
      <c r="G47">
        <v>62.054372208043901</v>
      </c>
      <c r="H47">
        <v>3.6332501063829801</v>
      </c>
      <c r="I47">
        <v>48.3058471679688</v>
      </c>
      <c r="J47">
        <v>0</v>
      </c>
      <c r="K47">
        <v>839.444580078125</v>
      </c>
      <c r="L47">
        <v>27.059840327403599</v>
      </c>
      <c r="M47">
        <v>910.54954453765401</v>
      </c>
      <c r="N47">
        <v>152.23062609062799</v>
      </c>
      <c r="O47">
        <v>48.919439784816099</v>
      </c>
      <c r="P47">
        <v>13.249448776245099</v>
      </c>
      <c r="Q47">
        <v>34.356723785400398</v>
      </c>
      <c r="R47">
        <v>127.96792602539099</v>
      </c>
      <c r="S47">
        <v>3.2364149093627899</v>
      </c>
      <c r="T47">
        <v>12.609194755554199</v>
      </c>
    </row>
    <row r="48" spans="1:20" x14ac:dyDescent="0.35">
      <c r="A48">
        <v>1.3664229572259701</v>
      </c>
      <c r="B48">
        <v>315</v>
      </c>
      <c r="C48">
        <v>785.96038818359398</v>
      </c>
      <c r="D48">
        <v>0.21043407325942301</v>
      </c>
      <c r="E48">
        <v>8.2361623598248196E-2</v>
      </c>
      <c r="F48">
        <v>87.742564021524402</v>
      </c>
      <c r="G48">
        <v>12.0824658472155</v>
      </c>
      <c r="H48">
        <v>3.7309718823529399</v>
      </c>
      <c r="I48">
        <v>74.790252685546903</v>
      </c>
      <c r="J48">
        <v>0</v>
      </c>
      <c r="K48">
        <v>442.82308959960898</v>
      </c>
      <c r="L48">
        <v>4.3421662811373096</v>
      </c>
      <c r="M48">
        <v>466.77618308145497</v>
      </c>
      <c r="N48">
        <v>170.765125212122</v>
      </c>
      <c r="O48">
        <v>34.665814602961298</v>
      </c>
      <c r="P48">
        <v>3.9000759124755899</v>
      </c>
      <c r="Q48">
        <v>28.601198196411101</v>
      </c>
      <c r="R48">
        <v>126.216552734375</v>
      </c>
      <c r="S48">
        <v>2.7261297702789302</v>
      </c>
      <c r="T48">
        <v>17.0722141265869</v>
      </c>
    </row>
    <row r="49" spans="1:20" x14ac:dyDescent="0.35">
      <c r="A49">
        <v>1.5797835966168099</v>
      </c>
      <c r="B49">
        <v>148</v>
      </c>
      <c r="C49">
        <v>827.30364990234398</v>
      </c>
      <c r="D49">
        <v>0.22827694494394701</v>
      </c>
      <c r="E49">
        <v>4.9398239419866999E-2</v>
      </c>
      <c r="F49">
        <v>75.4230927945042</v>
      </c>
      <c r="G49">
        <v>23.177889804783302</v>
      </c>
      <c r="H49">
        <v>2.7447103736263698</v>
      </c>
      <c r="I49">
        <v>38.2409477233887</v>
      </c>
      <c r="J49">
        <v>0</v>
      </c>
      <c r="K49">
        <v>691.062255859375</v>
      </c>
      <c r="L49">
        <v>10.5353851318359</v>
      </c>
      <c r="M49">
        <v>670.21843331759101</v>
      </c>
      <c r="N49">
        <v>154.215728259477</v>
      </c>
      <c r="O49">
        <v>45.398109123355098</v>
      </c>
      <c r="P49">
        <v>3.49431347846985</v>
      </c>
      <c r="Q49">
        <v>30.513257980346701</v>
      </c>
      <c r="R49">
        <v>78.949279785156193</v>
      </c>
      <c r="S49">
        <v>2.2594799995422399</v>
      </c>
      <c r="T49">
        <v>10.75</v>
      </c>
    </row>
    <row r="50" spans="1:20" x14ac:dyDescent="0.35">
      <c r="A50">
        <v>0.95424250943932498</v>
      </c>
      <c r="B50">
        <v>144</v>
      </c>
      <c r="C50">
        <v>1242.99853515625</v>
      </c>
      <c r="D50">
        <v>0.25022594940583298</v>
      </c>
      <c r="E50">
        <v>16.178018809927199</v>
      </c>
      <c r="F50">
        <v>67.071836124141498</v>
      </c>
      <c r="G50">
        <v>16.7103390465373</v>
      </c>
      <c r="H50">
        <v>6.1486651428571397</v>
      </c>
      <c r="I50">
        <v>50.2711372375488</v>
      </c>
      <c r="J50">
        <v>0</v>
      </c>
      <c r="K50">
        <v>677.75238037109398</v>
      </c>
      <c r="L50">
        <v>18.431955532949502</v>
      </c>
      <c r="M50">
        <v>718.85039232598001</v>
      </c>
      <c r="N50">
        <v>167.81799491507101</v>
      </c>
      <c r="O50">
        <v>41.5461230356185</v>
      </c>
      <c r="P50">
        <v>3.7025997638702401</v>
      </c>
      <c r="Q50">
        <v>29.782777786254901</v>
      </c>
      <c r="R50">
        <v>179.45951843261699</v>
      </c>
      <c r="S50">
        <v>2.9670701026916499</v>
      </c>
      <c r="T50">
        <v>17.2638053894043</v>
      </c>
    </row>
    <row r="51" spans="1:20" x14ac:dyDescent="0.35">
      <c r="A51">
        <v>2.5502283530550902</v>
      </c>
      <c r="B51">
        <v>1150</v>
      </c>
      <c r="C51">
        <v>694.945068359375</v>
      </c>
      <c r="D51">
        <v>0.34945202815099202</v>
      </c>
      <c r="E51">
        <v>19.185027404170299</v>
      </c>
      <c r="F51">
        <v>35.997979605167401</v>
      </c>
      <c r="G51">
        <v>27.3767180871119</v>
      </c>
      <c r="H51">
        <v>6.6080512660300101</v>
      </c>
      <c r="I51">
        <v>13.448693275451699</v>
      </c>
      <c r="J51">
        <v>115.086081083853</v>
      </c>
      <c r="K51">
        <v>874.82873535156205</v>
      </c>
      <c r="L51">
        <v>46.8297212944656</v>
      </c>
      <c r="M51">
        <v>1036.8570386542599</v>
      </c>
      <c r="N51">
        <v>160.34555453941499</v>
      </c>
      <c r="O51">
        <v>39.674049877729601</v>
      </c>
      <c r="P51">
        <v>15.171317100524901</v>
      </c>
      <c r="Q51">
        <v>32.541637420654297</v>
      </c>
      <c r="R51">
        <v>241.28480529785199</v>
      </c>
      <c r="S51">
        <v>3.7113492488861102</v>
      </c>
      <c r="T51">
        <v>9.8754339218139595</v>
      </c>
    </row>
    <row r="52" spans="1:20" x14ac:dyDescent="0.35">
      <c r="A52">
        <v>2.2671717284030102</v>
      </c>
      <c r="B52">
        <v>552</v>
      </c>
      <c r="C52">
        <v>1847.70251464844</v>
      </c>
      <c r="D52">
        <v>0.16273711519533801</v>
      </c>
      <c r="E52">
        <v>24.7506337182894</v>
      </c>
      <c r="F52">
        <v>57.5943751661748</v>
      </c>
      <c r="G52">
        <v>13.6720112300337</v>
      </c>
      <c r="H52">
        <v>5.2023676500000002</v>
      </c>
      <c r="I52">
        <v>17.996599197387699</v>
      </c>
      <c r="J52">
        <v>19.643487550972399</v>
      </c>
      <c r="K52">
        <v>761.93328857421898</v>
      </c>
      <c r="L52">
        <v>53.794568421410702</v>
      </c>
      <c r="M52">
        <v>1095.2273119316701</v>
      </c>
      <c r="N52">
        <v>163.255078425173</v>
      </c>
      <c r="O52">
        <v>37.5269445200435</v>
      </c>
      <c r="P52">
        <v>3.6724319458007799</v>
      </c>
      <c r="Q52">
        <v>31.9821262359619</v>
      </c>
      <c r="R52">
        <v>247.96311950683599</v>
      </c>
      <c r="S52">
        <v>3.7284026145935099</v>
      </c>
      <c r="T52">
        <v>9.1679058074951207</v>
      </c>
    </row>
    <row r="53" spans="1:20" x14ac:dyDescent="0.35">
      <c r="A53">
        <v>1.6901960800285101</v>
      </c>
      <c r="B53">
        <v>268</v>
      </c>
      <c r="C53">
        <v>996.107421875</v>
      </c>
      <c r="D53">
        <v>0.212967150807265</v>
      </c>
      <c r="E53">
        <v>7.0448784362036998E-2</v>
      </c>
      <c r="F53">
        <v>86.614204027495404</v>
      </c>
      <c r="G53">
        <v>13.2809072546429</v>
      </c>
      <c r="H53">
        <v>2.7401693043478299</v>
      </c>
      <c r="I53">
        <v>34.939712524414098</v>
      </c>
      <c r="J53">
        <v>0</v>
      </c>
      <c r="K53">
        <v>606.66680908203102</v>
      </c>
      <c r="L53">
        <v>17.924592143199501</v>
      </c>
      <c r="M53">
        <v>745.882861027952</v>
      </c>
      <c r="N53">
        <v>154.470257868532</v>
      </c>
      <c r="O53">
        <v>44.324097492655802</v>
      </c>
      <c r="P53">
        <v>1.34156405925751</v>
      </c>
      <c r="Q53">
        <v>30.216844558715799</v>
      </c>
      <c r="R53">
        <v>101.36863708496099</v>
      </c>
      <c r="S53">
        <v>2.2920479774475102</v>
      </c>
      <c r="T53">
        <v>12.173552513122599</v>
      </c>
    </row>
    <row r="54" spans="1:20" x14ac:dyDescent="0.35">
      <c r="A54">
        <v>1.90308998699194</v>
      </c>
      <c r="B54">
        <v>439</v>
      </c>
      <c r="C54">
        <v>718.1806640625</v>
      </c>
      <c r="D54">
        <v>0.35232472590567898</v>
      </c>
      <c r="E54">
        <v>6.40014517724362</v>
      </c>
      <c r="F54">
        <v>70.955701255508899</v>
      </c>
      <c r="G54">
        <v>22.4283703330245</v>
      </c>
      <c r="H54">
        <v>4.4087019262820499</v>
      </c>
      <c r="I54">
        <v>55.424369812011697</v>
      </c>
      <c r="J54">
        <v>0</v>
      </c>
      <c r="K54">
        <v>800.23883056640602</v>
      </c>
      <c r="L54">
        <v>12.463154292497499</v>
      </c>
      <c r="M54">
        <v>675.68526471247401</v>
      </c>
      <c r="N54">
        <v>166.450381919986</v>
      </c>
      <c r="O54">
        <v>43.927878082775699</v>
      </c>
      <c r="P54">
        <v>3.7706441879272501</v>
      </c>
      <c r="Q54">
        <v>27.988075256347699</v>
      </c>
      <c r="R54">
        <v>132.74485778808599</v>
      </c>
      <c r="S54">
        <v>3.0171031951904301</v>
      </c>
      <c r="T54">
        <v>19.837530136108398</v>
      </c>
    </row>
    <row r="55" spans="1:20" x14ac:dyDescent="0.35">
      <c r="A55">
        <v>2.85369821177617</v>
      </c>
      <c r="B55">
        <v>695</v>
      </c>
      <c r="C55">
        <v>782.78765869140602</v>
      </c>
      <c r="D55">
        <v>0.31824014656296101</v>
      </c>
      <c r="E55">
        <v>19.0060398539026</v>
      </c>
      <c r="F55">
        <v>34.041433842472301</v>
      </c>
      <c r="G55">
        <v>18.301108509425799</v>
      </c>
      <c r="H55">
        <v>7.2553221353210997</v>
      </c>
      <c r="I55">
        <v>13.099668502807599</v>
      </c>
      <c r="J55">
        <v>115.06528730932899</v>
      </c>
      <c r="K55">
        <v>819.87170410156205</v>
      </c>
      <c r="L55">
        <v>52.364635029777197</v>
      </c>
      <c r="M55">
        <v>1057.27433101466</v>
      </c>
      <c r="N55">
        <v>160.226370389344</v>
      </c>
      <c r="O55">
        <v>35.847329811971697</v>
      </c>
      <c r="P55">
        <v>20.794879913330099</v>
      </c>
      <c r="Q55">
        <v>32.827522277832003</v>
      </c>
      <c r="R55">
        <v>284.43588256835898</v>
      </c>
      <c r="S55">
        <v>3.7012193202972399</v>
      </c>
      <c r="T55">
        <v>8.8078212738037092</v>
      </c>
    </row>
    <row r="56" spans="1:20" x14ac:dyDescent="0.35">
      <c r="A56">
        <v>1.8195439355418701</v>
      </c>
      <c r="B56">
        <v>415</v>
      </c>
      <c r="C56">
        <v>684.95721435546898</v>
      </c>
      <c r="D56">
        <v>0.238990432571209</v>
      </c>
      <c r="E56">
        <v>2.1682806023871301E-3</v>
      </c>
      <c r="F56">
        <v>75.748023970214803</v>
      </c>
      <c r="G56">
        <v>24.149523025912401</v>
      </c>
      <c r="H56">
        <v>2.3280082267658</v>
      </c>
      <c r="I56">
        <v>44.195014953613303</v>
      </c>
      <c r="J56">
        <v>0</v>
      </c>
      <c r="K56">
        <v>724.14251708984398</v>
      </c>
      <c r="L56">
        <v>12.5914191496177</v>
      </c>
      <c r="M56">
        <v>692.637687307889</v>
      </c>
      <c r="N56">
        <v>153.94126591916901</v>
      </c>
      <c r="O56">
        <v>45.232185426305499</v>
      </c>
      <c r="P56">
        <v>3.8889715671539302</v>
      </c>
      <c r="Q56">
        <v>30.158239364623999</v>
      </c>
      <c r="R56">
        <v>81.954086303710895</v>
      </c>
      <c r="S56">
        <v>2.25457739830017</v>
      </c>
      <c r="T56">
        <v>15.2818517684937</v>
      </c>
    </row>
    <row r="57" spans="1:20" x14ac:dyDescent="0.35">
      <c r="A57">
        <v>2.2121876044039599</v>
      </c>
      <c r="B57">
        <v>433</v>
      </c>
      <c r="C57">
        <v>1739.79541015625</v>
      </c>
      <c r="D57">
        <v>0.17993774801173901</v>
      </c>
      <c r="E57">
        <v>35.505603909924403</v>
      </c>
      <c r="F57">
        <v>29.975267483117001</v>
      </c>
      <c r="G57">
        <v>8.1889459382256895</v>
      </c>
      <c r="H57">
        <v>7.4200162740384599</v>
      </c>
      <c r="I57">
        <v>45.160499572753899</v>
      </c>
      <c r="J57">
        <v>70.6793677594152</v>
      </c>
      <c r="K57">
        <v>762.03363037109398</v>
      </c>
      <c r="L57">
        <v>62.01014546879</v>
      </c>
      <c r="M57">
        <v>1050.8696949442899</v>
      </c>
      <c r="N57">
        <v>163.11110674748701</v>
      </c>
      <c r="O57">
        <v>25.746012171760899</v>
      </c>
      <c r="P57">
        <v>15.497662544250501</v>
      </c>
      <c r="Q57">
        <v>32.284950256347699</v>
      </c>
      <c r="R57">
        <v>273.96139526367199</v>
      </c>
      <c r="S57">
        <v>3.6587858200073198</v>
      </c>
      <c r="T57">
        <v>8.9061927795410192</v>
      </c>
    </row>
    <row r="58" spans="1:20" x14ac:dyDescent="0.35">
      <c r="A58">
        <v>2.6434526764861901</v>
      </c>
      <c r="B58">
        <v>222</v>
      </c>
      <c r="C58">
        <v>1488.54211425781</v>
      </c>
      <c r="D58">
        <v>0.21360062588953099</v>
      </c>
      <c r="E58">
        <v>12.7230310286849</v>
      </c>
      <c r="F58">
        <v>34.931256053306299</v>
      </c>
      <c r="G58">
        <v>36.832664208759503</v>
      </c>
      <c r="H58">
        <v>5.8143700406504104</v>
      </c>
      <c r="I58">
        <v>4.45452833175659</v>
      </c>
      <c r="J58">
        <v>15.3936907009046</v>
      </c>
      <c r="K58">
        <v>802.924072265625</v>
      </c>
      <c r="L58">
        <v>59.135964440517697</v>
      </c>
      <c r="M58">
        <v>1192.69923676037</v>
      </c>
      <c r="N58">
        <v>160.21641765657</v>
      </c>
      <c r="O58">
        <v>40.348799533531299</v>
      </c>
      <c r="P58">
        <v>13.203243255615201</v>
      </c>
      <c r="Q58">
        <v>37.457447052002003</v>
      </c>
      <c r="R58">
        <v>246.96728515625</v>
      </c>
      <c r="S58">
        <v>3.7397778034210201</v>
      </c>
      <c r="T58">
        <v>9.4339437484741193</v>
      </c>
    </row>
    <row r="59" spans="1:20" x14ac:dyDescent="0.35">
      <c r="A59">
        <v>1.4771212547196599</v>
      </c>
      <c r="B59">
        <v>105</v>
      </c>
      <c r="C59">
        <v>1335.75769042969</v>
      </c>
      <c r="D59">
        <v>9.1181251180425804E-2</v>
      </c>
      <c r="E59">
        <v>0.23804801868684999</v>
      </c>
      <c r="F59">
        <v>97.787768908029406</v>
      </c>
      <c r="G59">
        <v>1.20271871537147</v>
      </c>
      <c r="H59">
        <v>2.1575941428571399</v>
      </c>
      <c r="I59">
        <v>33.953617095947301</v>
      </c>
      <c r="J59">
        <v>0</v>
      </c>
      <c r="K59">
        <v>804.77655029296898</v>
      </c>
      <c r="L59">
        <v>10.301812046864001</v>
      </c>
      <c r="M59">
        <v>664.36062972271998</v>
      </c>
      <c r="N59">
        <v>167.20415884549499</v>
      </c>
      <c r="O59">
        <v>45.147897689068898</v>
      </c>
      <c r="P59">
        <v>0.51414006948471103</v>
      </c>
      <c r="Q59">
        <v>30.261753082275401</v>
      </c>
      <c r="R59">
        <v>92.893814086914105</v>
      </c>
      <c r="S59">
        <v>3.2283384799957302</v>
      </c>
      <c r="T59">
        <v>12.0412702560425</v>
      </c>
    </row>
    <row r="60" spans="1:20" x14ac:dyDescent="0.35">
      <c r="A60">
        <v>1.43136376415899</v>
      </c>
      <c r="B60">
        <v>201</v>
      </c>
      <c r="C60">
        <v>718.109130859375</v>
      </c>
      <c r="D60">
        <v>0.26934895459306801</v>
      </c>
      <c r="E60">
        <v>1</v>
      </c>
      <c r="F60">
        <v>41.544459202312503</v>
      </c>
      <c r="G60">
        <v>58.443395071012297</v>
      </c>
      <c r="H60">
        <v>4.1508516806722699</v>
      </c>
      <c r="I60">
        <v>33.449531555175803</v>
      </c>
      <c r="J60">
        <v>0</v>
      </c>
      <c r="K60">
        <v>892.06768798828102</v>
      </c>
      <c r="L60">
        <v>8.6529471874237096</v>
      </c>
      <c r="M60">
        <v>624.15991911340905</v>
      </c>
      <c r="N60">
        <v>169.43858362416799</v>
      </c>
      <c r="O60">
        <v>43.4551380970439</v>
      </c>
      <c r="P60">
        <v>10.306282043456999</v>
      </c>
      <c r="Q60">
        <v>27.316385269165</v>
      </c>
      <c r="R60">
        <v>150.32156372070301</v>
      </c>
      <c r="S60">
        <v>2.70350885391235</v>
      </c>
      <c r="T60">
        <v>14.759579658508301</v>
      </c>
    </row>
    <row r="61" spans="1:20" x14ac:dyDescent="0.35">
      <c r="A61">
        <v>1.4771212547196599</v>
      </c>
      <c r="B61">
        <v>238</v>
      </c>
      <c r="C61">
        <v>753.52355957031205</v>
      </c>
      <c r="D61">
        <v>0.24076570117579599</v>
      </c>
      <c r="E61">
        <v>0.18069568858948801</v>
      </c>
      <c r="F61">
        <v>67.226250374043104</v>
      </c>
      <c r="G61">
        <v>32.262281905809203</v>
      </c>
      <c r="H61">
        <v>3.68251271052632</v>
      </c>
      <c r="I61">
        <v>63.635868072509801</v>
      </c>
      <c r="J61">
        <v>0</v>
      </c>
      <c r="K61">
        <v>945.84521484375</v>
      </c>
      <c r="L61">
        <v>8.6167421223687306</v>
      </c>
      <c r="M61">
        <v>647.75169397572995</v>
      </c>
      <c r="N61">
        <v>169.11549477499</v>
      </c>
      <c r="O61">
        <v>45.4417376283739</v>
      </c>
      <c r="P61">
        <v>5.6040625572204599</v>
      </c>
      <c r="Q61">
        <v>26.223587036132798</v>
      </c>
      <c r="R61">
        <v>127.70645904541</v>
      </c>
      <c r="S61">
        <v>2.7535815238952601</v>
      </c>
      <c r="T61">
        <v>16.644006729126001</v>
      </c>
    </row>
    <row r="62" spans="1:20" x14ac:dyDescent="0.35">
      <c r="A62">
        <v>1.79865064544527</v>
      </c>
      <c r="B62">
        <v>319.39999999999998</v>
      </c>
      <c r="C62">
        <v>949.70233154296898</v>
      </c>
      <c r="D62">
        <v>0.26354188700485998</v>
      </c>
      <c r="E62">
        <v>2.7383194596178302</v>
      </c>
      <c r="F62">
        <v>65.051452810531799</v>
      </c>
      <c r="G62">
        <v>32.2026633615124</v>
      </c>
      <c r="H62">
        <v>4.6948317777777797</v>
      </c>
      <c r="I62">
        <v>39.228500366210902</v>
      </c>
      <c r="J62">
        <v>0</v>
      </c>
      <c r="K62">
        <v>739.02600097656205</v>
      </c>
      <c r="L62">
        <v>11.913645122872</v>
      </c>
      <c r="M62">
        <v>670.23541559938496</v>
      </c>
      <c r="N62">
        <v>168.56506672843599</v>
      </c>
      <c r="O62">
        <v>44.0213866937356</v>
      </c>
      <c r="P62">
        <v>5.6785206794738796</v>
      </c>
      <c r="Q62">
        <v>29.894584655761701</v>
      </c>
      <c r="R62">
        <v>167.39549255371099</v>
      </c>
      <c r="S62">
        <v>3.2984929084777801</v>
      </c>
      <c r="T62">
        <v>16.647710800170898</v>
      </c>
    </row>
    <row r="63" spans="1:20" x14ac:dyDescent="0.35">
      <c r="A63">
        <v>2.17318626841227</v>
      </c>
      <c r="B63">
        <v>1080</v>
      </c>
      <c r="C63">
        <v>992.95281982421898</v>
      </c>
      <c r="D63">
        <v>0.30020046336901901</v>
      </c>
      <c r="E63">
        <v>9.5389202296230806</v>
      </c>
      <c r="F63">
        <v>66.188495058433801</v>
      </c>
      <c r="G63">
        <v>18.896130912693099</v>
      </c>
      <c r="H63">
        <v>4.26562766176471</v>
      </c>
      <c r="I63">
        <v>24.701032638549801</v>
      </c>
      <c r="J63">
        <v>65.192926301092101</v>
      </c>
      <c r="K63">
        <v>575.30511474609398</v>
      </c>
      <c r="L63">
        <v>33.4581665289207</v>
      </c>
      <c r="M63">
        <v>866.83396236232102</v>
      </c>
      <c r="N63">
        <v>157.27711211657899</v>
      </c>
      <c r="O63">
        <v>38.157107931668598</v>
      </c>
      <c r="P63">
        <v>6.7617855072021502</v>
      </c>
      <c r="Q63">
        <v>31.982154846191399</v>
      </c>
      <c r="R63">
        <v>148.62466430664099</v>
      </c>
      <c r="S63">
        <v>2.9458529949188201</v>
      </c>
      <c r="T63">
        <v>9.2042016983032209</v>
      </c>
    </row>
    <row r="64" spans="1:20" x14ac:dyDescent="0.35">
      <c r="A64">
        <v>0.89762709129044105</v>
      </c>
      <c r="B64">
        <v>114</v>
      </c>
      <c r="C64">
        <v>816.83380126953102</v>
      </c>
      <c r="D64">
        <v>0.179545745269481</v>
      </c>
      <c r="E64">
        <v>1</v>
      </c>
      <c r="F64">
        <v>65.206964167768007</v>
      </c>
      <c r="G64">
        <v>34.789509496271599</v>
      </c>
      <c r="H64">
        <v>2.8623735312499998</v>
      </c>
      <c r="I64">
        <v>86.884231567382798</v>
      </c>
      <c r="J64">
        <v>0</v>
      </c>
      <c r="K64">
        <v>801.23889160156205</v>
      </c>
      <c r="L64">
        <v>5.9639026649662696</v>
      </c>
      <c r="M64">
        <v>609.76560548876103</v>
      </c>
      <c r="N64">
        <v>167.39421531802299</v>
      </c>
      <c r="O64">
        <v>44.944785352613103</v>
      </c>
      <c r="P64">
        <v>7.0521240234375</v>
      </c>
      <c r="Q64">
        <v>28.585218429565401</v>
      </c>
      <c r="R64">
        <v>113.027351379395</v>
      </c>
      <c r="S64">
        <v>2.6566922664642298</v>
      </c>
      <c r="T64">
        <v>13.2383518218994</v>
      </c>
    </row>
    <row r="65" spans="1:20" x14ac:dyDescent="0.35">
      <c r="A65">
        <v>1.91381385238372</v>
      </c>
      <c r="B65">
        <v>453</v>
      </c>
      <c r="C65">
        <v>1398.68347167969</v>
      </c>
      <c r="D65">
        <v>0.18610250608187501</v>
      </c>
      <c r="E65">
        <v>11.625393483341901</v>
      </c>
      <c r="F65">
        <v>54.777224929651098</v>
      </c>
      <c r="G65">
        <v>33.322641883718802</v>
      </c>
      <c r="H65">
        <v>4.1368762101167302</v>
      </c>
      <c r="I65">
        <v>16.0521430969238</v>
      </c>
      <c r="J65">
        <v>0</v>
      </c>
      <c r="K65">
        <v>530.28704833984398</v>
      </c>
      <c r="L65">
        <v>42.611109624143502</v>
      </c>
      <c r="M65">
        <v>979.10726978739797</v>
      </c>
      <c r="N65">
        <v>159.272650546715</v>
      </c>
      <c r="O65">
        <v>39.083904391429499</v>
      </c>
      <c r="P65">
        <v>4.3118786811828604</v>
      </c>
      <c r="Q65">
        <v>32.634658813476598</v>
      </c>
      <c r="R65">
        <v>143.35281372070301</v>
      </c>
      <c r="S65">
        <v>3.2263779640197798</v>
      </c>
      <c r="T65">
        <v>8.6677761077880895</v>
      </c>
    </row>
    <row r="66" spans="1:20" x14ac:dyDescent="0.35">
      <c r="A66">
        <v>2.6901960800285099</v>
      </c>
      <c r="B66">
        <v>363</v>
      </c>
      <c r="C66">
        <v>1373.91687011719</v>
      </c>
      <c r="D66">
        <v>0.191897219867113</v>
      </c>
      <c r="E66">
        <v>5.9087661084455201</v>
      </c>
      <c r="F66">
        <v>82.561367318466196</v>
      </c>
      <c r="G66">
        <v>11.4741168354193</v>
      </c>
      <c r="H66">
        <v>4.8519971642512099</v>
      </c>
      <c r="I66">
        <v>32.053062438964801</v>
      </c>
      <c r="J66">
        <v>0</v>
      </c>
      <c r="K66">
        <v>605.06561279296898</v>
      </c>
      <c r="L66">
        <v>13.0346341172203</v>
      </c>
      <c r="M66">
        <v>668.38400118468201</v>
      </c>
      <c r="N66">
        <v>170.85882393258501</v>
      </c>
      <c r="O66">
        <v>42.747422515368903</v>
      </c>
      <c r="P66">
        <v>2.29844045639038</v>
      </c>
      <c r="Q66">
        <v>30.5362453460693</v>
      </c>
      <c r="R66">
        <v>200.301025390625</v>
      </c>
      <c r="S66">
        <v>3.5471363067627002</v>
      </c>
      <c r="T66">
        <v>18.5084629058838</v>
      </c>
    </row>
    <row r="67" spans="1:20" x14ac:dyDescent="0.35">
      <c r="A67">
        <v>2.4183012913197501</v>
      </c>
      <c r="B67">
        <v>838</v>
      </c>
      <c r="C67">
        <v>1410.50708007812</v>
      </c>
      <c r="D67">
        <v>0.216549539409124</v>
      </c>
      <c r="E67">
        <v>32.159539217629899</v>
      </c>
      <c r="F67">
        <v>32.182879193828001</v>
      </c>
      <c r="G67">
        <v>11.6683837982035</v>
      </c>
      <c r="H67">
        <v>7.2965065573440597</v>
      </c>
      <c r="I67">
        <v>20.981655120849599</v>
      </c>
      <c r="J67">
        <v>177.324955323029</v>
      </c>
      <c r="K67">
        <v>729.43280029296898</v>
      </c>
      <c r="L67">
        <v>61.497557905853803</v>
      </c>
      <c r="M67">
        <v>1072.9476078221101</v>
      </c>
      <c r="N67">
        <v>162.20689392089801</v>
      </c>
      <c r="O67">
        <v>27.338379687950301</v>
      </c>
      <c r="P67">
        <v>16.0611267089844</v>
      </c>
      <c r="Q67">
        <v>33.048988342285199</v>
      </c>
      <c r="R67">
        <v>290.64447021484398</v>
      </c>
      <c r="S67">
        <v>3.6513731479644802</v>
      </c>
      <c r="T67">
        <v>9.4356527328491193</v>
      </c>
    </row>
    <row r="68" spans="1:20" x14ac:dyDescent="0.35">
      <c r="A68">
        <v>1.6020599913279601</v>
      </c>
      <c r="B68">
        <v>102</v>
      </c>
      <c r="C68">
        <v>973.07476806640602</v>
      </c>
      <c r="D68">
        <v>0.142208296403708</v>
      </c>
      <c r="E68">
        <v>1</v>
      </c>
      <c r="F68">
        <v>20.816885568071498</v>
      </c>
      <c r="G68">
        <v>79.170684692170198</v>
      </c>
      <c r="H68">
        <v>3.19171671666667</v>
      </c>
      <c r="I68">
        <v>37.263450622558601</v>
      </c>
      <c r="J68">
        <v>0</v>
      </c>
      <c r="K68">
        <v>764.85174560546898</v>
      </c>
      <c r="L68">
        <v>6.8619083928280196</v>
      </c>
      <c r="M68">
        <v>627.24571903416404</v>
      </c>
      <c r="N68">
        <v>167.10456522957199</v>
      </c>
      <c r="O68">
        <v>45.503506832435498</v>
      </c>
      <c r="P68">
        <v>15.8033800125122</v>
      </c>
      <c r="Q68">
        <v>30.4840297698975</v>
      </c>
      <c r="R68">
        <v>121.309211730957</v>
      </c>
      <c r="S68">
        <v>2.78899002075195</v>
      </c>
      <c r="T68">
        <v>8.7644329071044904</v>
      </c>
    </row>
    <row r="69" spans="1:20" x14ac:dyDescent="0.35">
      <c r="A69">
        <v>1.98136550907854</v>
      </c>
      <c r="B69">
        <v>920</v>
      </c>
      <c r="C69">
        <v>862.83044433593795</v>
      </c>
      <c r="D69">
        <v>0.26802932509817301</v>
      </c>
      <c r="E69">
        <v>2.3221207555857202</v>
      </c>
      <c r="F69">
        <v>73.417351510428205</v>
      </c>
      <c r="G69">
        <v>24.194095873950001</v>
      </c>
      <c r="H69">
        <v>4.3031677411971803</v>
      </c>
      <c r="I69">
        <v>56.499359130859403</v>
      </c>
      <c r="J69">
        <v>0</v>
      </c>
      <c r="K69">
        <v>706.15344238281205</v>
      </c>
      <c r="L69">
        <v>9.80439596097977</v>
      </c>
      <c r="M69">
        <v>637.14910888671898</v>
      </c>
      <c r="N69">
        <v>169.30956505947401</v>
      </c>
      <c r="O69">
        <v>43.370832474505299</v>
      </c>
      <c r="P69">
        <v>4.6654019355773899</v>
      </c>
      <c r="Q69">
        <v>31.783988952636701</v>
      </c>
      <c r="R69">
        <v>155.35501098632801</v>
      </c>
      <c r="S69">
        <v>3.35488700866699</v>
      </c>
      <c r="T69">
        <v>16.2577610015869</v>
      </c>
    </row>
    <row r="70" spans="1:20" x14ac:dyDescent="0.35">
      <c r="A70">
        <v>2.5051499783199098</v>
      </c>
      <c r="B70">
        <v>146</v>
      </c>
      <c r="C70">
        <v>1395.98217773438</v>
      </c>
      <c r="D70">
        <v>0.24459934107842099</v>
      </c>
      <c r="E70">
        <v>16.191777457174901</v>
      </c>
      <c r="F70">
        <v>22.5785967574576</v>
      </c>
      <c r="G70">
        <v>21.564791023717699</v>
      </c>
      <c r="H70">
        <v>6.5581246694915301</v>
      </c>
      <c r="I70">
        <v>5.0534338951110804</v>
      </c>
      <c r="J70">
        <v>46.995170418308703</v>
      </c>
      <c r="K70">
        <v>750.850341796875</v>
      </c>
      <c r="L70">
        <v>67.181258154697105</v>
      </c>
      <c r="M70">
        <v>1195.9386826812199</v>
      </c>
      <c r="N70">
        <v>160.167788145972</v>
      </c>
      <c r="O70">
        <v>32.6016750335693</v>
      </c>
      <c r="P70">
        <v>24.8828239440918</v>
      </c>
      <c r="Q70">
        <v>37.113086700439503</v>
      </c>
      <c r="R70">
        <v>274.65515136718801</v>
      </c>
      <c r="S70">
        <v>3.7349162101745601</v>
      </c>
      <c r="T70">
        <v>10.4258518218994</v>
      </c>
    </row>
    <row r="71" spans="1:20" x14ac:dyDescent="0.35">
      <c r="A71">
        <v>2.6020599913279598</v>
      </c>
      <c r="B71">
        <v>506</v>
      </c>
      <c r="C71">
        <v>1236.39489746094</v>
      </c>
      <c r="D71">
        <v>0.22699509800438</v>
      </c>
      <c r="E71">
        <v>11.7723015484684</v>
      </c>
      <c r="F71">
        <v>30.074224404069401</v>
      </c>
      <c r="G71">
        <v>52.752713430798401</v>
      </c>
      <c r="H71">
        <v>5.7848462607142901</v>
      </c>
      <c r="I71">
        <v>4.5752792358398402</v>
      </c>
      <c r="J71">
        <v>10.4714043377938</v>
      </c>
      <c r="K71">
        <v>815.43157958984398</v>
      </c>
      <c r="L71">
        <v>59.917253025242502</v>
      </c>
      <c r="M71">
        <v>1224.6865254386501</v>
      </c>
      <c r="N71">
        <v>160.57878462994699</v>
      </c>
      <c r="O71">
        <v>42.243478368540302</v>
      </c>
      <c r="P71">
        <v>10.5345134735107</v>
      </c>
      <c r="Q71">
        <v>36.361988067627003</v>
      </c>
      <c r="R71">
        <v>258.29959106445301</v>
      </c>
      <c r="S71">
        <v>3.7314651012420699</v>
      </c>
      <c r="T71">
        <v>8.5034742355346697</v>
      </c>
    </row>
    <row r="72" spans="1:20" x14ac:dyDescent="0.35">
      <c r="A72">
        <v>1.86923171973098</v>
      </c>
      <c r="B72">
        <v>543</v>
      </c>
      <c r="C72">
        <v>383.04592895507801</v>
      </c>
      <c r="D72">
        <v>0.18876766899363701</v>
      </c>
      <c r="E72">
        <v>3.6742882901046798E-3</v>
      </c>
      <c r="F72">
        <v>79.3283355720137</v>
      </c>
      <c r="G72">
        <v>17.8577867412289</v>
      </c>
      <c r="H72">
        <v>0.76371313624678705</v>
      </c>
      <c r="I72">
        <v>48.147842407226598</v>
      </c>
      <c r="J72">
        <v>0</v>
      </c>
      <c r="K72">
        <v>1124.58544921875</v>
      </c>
      <c r="L72">
        <v>12.3007303691301</v>
      </c>
      <c r="M72">
        <v>792.85040583375996</v>
      </c>
      <c r="N72">
        <v>150.39529869204699</v>
      </c>
      <c r="O72">
        <v>53.895004522604999</v>
      </c>
      <c r="P72">
        <v>2.9485449790954599</v>
      </c>
      <c r="Q72">
        <v>23.306892395019499</v>
      </c>
      <c r="R72">
        <v>31.418052673339801</v>
      </c>
      <c r="S72">
        <v>2.26119160652161</v>
      </c>
      <c r="T72">
        <v>10.550988197326699</v>
      </c>
    </row>
    <row r="73" spans="1:20" x14ac:dyDescent="0.35">
      <c r="A73">
        <v>2.53147891704225</v>
      </c>
      <c r="B73">
        <v>740</v>
      </c>
      <c r="C73">
        <v>512.124267578125</v>
      </c>
      <c r="D73">
        <v>0.29080230272271901</v>
      </c>
      <c r="E73">
        <v>6.07083526463673E-2</v>
      </c>
      <c r="F73">
        <v>78.669898590114997</v>
      </c>
      <c r="G73">
        <v>21.214855185714299</v>
      </c>
      <c r="H73">
        <v>3.3268010656660398</v>
      </c>
      <c r="I73">
        <v>78.756317138671903</v>
      </c>
      <c r="J73">
        <v>0</v>
      </c>
      <c r="K73">
        <v>738.44720458984398</v>
      </c>
      <c r="L73">
        <v>6.7133218108630599</v>
      </c>
      <c r="M73">
        <v>603.23410084208501</v>
      </c>
      <c r="N73">
        <v>168.44531275014401</v>
      </c>
      <c r="O73">
        <v>43.639167222820298</v>
      </c>
      <c r="P73">
        <v>4.4627113342285201</v>
      </c>
      <c r="Q73">
        <v>29.520765304565401</v>
      </c>
      <c r="R73">
        <v>126.626457214355</v>
      </c>
      <c r="S73">
        <v>3.0599658489227299</v>
      </c>
      <c r="T73">
        <v>17.228895187377901</v>
      </c>
    </row>
    <row r="74" spans="1:20" x14ac:dyDescent="0.35">
      <c r="A74">
        <v>1.5563025007672899</v>
      </c>
      <c r="B74">
        <v>169</v>
      </c>
      <c r="C74">
        <v>822.731201171875</v>
      </c>
      <c r="D74">
        <v>0.24426406638475501</v>
      </c>
      <c r="E74">
        <v>4.1870721023723897E-2</v>
      </c>
      <c r="F74">
        <v>44.250433432253601</v>
      </c>
      <c r="G74">
        <v>55.705610711749102</v>
      </c>
      <c r="H74">
        <v>3.8788924351851901</v>
      </c>
      <c r="I74">
        <v>11.7085123062134</v>
      </c>
      <c r="J74">
        <v>0</v>
      </c>
      <c r="K74">
        <v>708.332275390625</v>
      </c>
      <c r="L74">
        <v>8.5191322955928896</v>
      </c>
      <c r="M74">
        <v>641.02355907002402</v>
      </c>
      <c r="N74">
        <v>167.515087190222</v>
      </c>
      <c r="O74">
        <v>44.989153189737301</v>
      </c>
      <c r="P74">
        <v>10.1649713516235</v>
      </c>
      <c r="Q74">
        <v>29.476509094238299</v>
      </c>
      <c r="R74">
        <v>136.88470458984401</v>
      </c>
      <c r="S74">
        <v>2.8227777481079102</v>
      </c>
      <c r="T74">
        <v>10.082797050476101</v>
      </c>
    </row>
    <row r="75" spans="1:20" x14ac:dyDescent="0.35">
      <c r="A75">
        <v>1.76342799356294</v>
      </c>
      <c r="B75">
        <v>522</v>
      </c>
      <c r="C75">
        <v>1267.38879394531</v>
      </c>
      <c r="D75">
        <v>0.19206467815752001</v>
      </c>
      <c r="E75">
        <v>1.7122700040010901</v>
      </c>
      <c r="F75">
        <v>79.030152785404397</v>
      </c>
      <c r="G75">
        <v>19.2095291221463</v>
      </c>
      <c r="H75">
        <v>3.9952220793650799</v>
      </c>
      <c r="I75">
        <v>30.446418762206999</v>
      </c>
      <c r="J75">
        <v>0</v>
      </c>
      <c r="K75">
        <v>714.19317626953102</v>
      </c>
      <c r="L75">
        <v>8.3055586619455308</v>
      </c>
      <c r="M75">
        <v>643.38522238809605</v>
      </c>
      <c r="N75">
        <v>170.33386355540799</v>
      </c>
      <c r="O75">
        <v>45.429503706635003</v>
      </c>
      <c r="P75">
        <v>4.0195350646972701</v>
      </c>
      <c r="Q75">
        <v>31.464561462402301</v>
      </c>
      <c r="R75">
        <v>148.53363037109401</v>
      </c>
      <c r="S75">
        <v>3.3485240936279301</v>
      </c>
      <c r="T75">
        <v>21.6246337890625</v>
      </c>
    </row>
    <row r="76" spans="1:20" x14ac:dyDescent="0.35">
      <c r="A76">
        <v>1.4471580313422201</v>
      </c>
      <c r="B76">
        <v>328</v>
      </c>
      <c r="C76">
        <v>1314.60717773438</v>
      </c>
      <c r="D76">
        <v>0.133119257512756</v>
      </c>
      <c r="E76">
        <v>1.9497390644307E-2</v>
      </c>
      <c r="F76">
        <v>91.240083680648794</v>
      </c>
      <c r="G76">
        <v>8.6985868125777603</v>
      </c>
      <c r="H76">
        <v>3.5407833619047602</v>
      </c>
      <c r="I76">
        <v>31.807111740112301</v>
      </c>
      <c r="J76">
        <v>0</v>
      </c>
      <c r="K76">
        <v>554.79669189453102</v>
      </c>
      <c r="L76">
        <v>9.1632387833517104</v>
      </c>
      <c r="M76">
        <v>631.41993138047496</v>
      </c>
      <c r="N76">
        <v>171.465958392034</v>
      </c>
      <c r="O76">
        <v>43.531011675224903</v>
      </c>
      <c r="P76">
        <v>1.3022706508636499</v>
      </c>
      <c r="Q76">
        <v>30.826919555664102</v>
      </c>
      <c r="R76">
        <v>130.12991333007801</v>
      </c>
      <c r="S76">
        <v>3.4526290893554701</v>
      </c>
      <c r="T76">
        <v>15.586627960205099</v>
      </c>
    </row>
    <row r="77" spans="1:20" x14ac:dyDescent="0.35">
      <c r="A77">
        <v>2.1139433523068401</v>
      </c>
      <c r="B77">
        <v>231</v>
      </c>
      <c r="C77">
        <v>655.343994140625</v>
      </c>
      <c r="D77">
        <v>0.30439780804688699</v>
      </c>
      <c r="E77">
        <v>1.03749121001756</v>
      </c>
      <c r="F77">
        <v>18.3385157845882</v>
      </c>
      <c r="G77">
        <v>80.495593271696194</v>
      </c>
      <c r="H77">
        <v>5.9190141746031699</v>
      </c>
      <c r="I77">
        <v>14.728167533874499</v>
      </c>
      <c r="J77">
        <v>0</v>
      </c>
      <c r="K77">
        <v>1214.17333984375</v>
      </c>
      <c r="L77">
        <v>58.513543988837597</v>
      </c>
      <c r="M77">
        <v>1298.9896180199801</v>
      </c>
      <c r="N77">
        <v>159.80084678775</v>
      </c>
      <c r="O77">
        <v>49.9094607869133</v>
      </c>
      <c r="P77">
        <v>14.7620191574097</v>
      </c>
      <c r="Q77">
        <v>34.098789215087898</v>
      </c>
      <c r="R77">
        <v>260.68008422851602</v>
      </c>
      <c r="S77">
        <v>3.65730977058411</v>
      </c>
      <c r="T77">
        <v>11.6897029876709</v>
      </c>
    </row>
    <row r="78" spans="1:20" x14ac:dyDescent="0.35">
      <c r="A78">
        <v>2.2900346113625201</v>
      </c>
      <c r="B78">
        <v>582</v>
      </c>
      <c r="C78">
        <v>1521.83264160156</v>
      </c>
      <c r="D78">
        <v>0.19556500214116701</v>
      </c>
      <c r="E78">
        <v>33.328120872699103</v>
      </c>
      <c r="F78">
        <v>33.090957165895198</v>
      </c>
      <c r="G78">
        <v>16.8263909529248</v>
      </c>
      <c r="H78">
        <v>6.3338045125786202</v>
      </c>
      <c r="I78">
        <v>7.9429512023925799</v>
      </c>
      <c r="J78">
        <v>66.642696279662502</v>
      </c>
      <c r="K78">
        <v>646.060791015625</v>
      </c>
      <c r="L78">
        <v>67.047963126761005</v>
      </c>
      <c r="M78">
        <v>1173.3689184970499</v>
      </c>
      <c r="N78">
        <v>161.604812121782</v>
      </c>
      <c r="O78">
        <v>30.665652540863501</v>
      </c>
      <c r="P78">
        <v>9.9409980773925799</v>
      </c>
      <c r="Q78">
        <v>35.291141510009801</v>
      </c>
      <c r="R78">
        <v>266.01046752929699</v>
      </c>
      <c r="S78">
        <v>3.6506917476654102</v>
      </c>
      <c r="T78">
        <v>9.2162218093872106</v>
      </c>
    </row>
    <row r="79" spans="1:20" x14ac:dyDescent="0.35">
      <c r="A79">
        <v>1.91907809237607</v>
      </c>
      <c r="B79">
        <v>2310</v>
      </c>
      <c r="C79">
        <v>580.25787353515602</v>
      </c>
      <c r="D79">
        <v>0.34880750627569002</v>
      </c>
      <c r="E79">
        <v>4.7281716783773797</v>
      </c>
      <c r="F79">
        <v>76.886871965938198</v>
      </c>
      <c r="G79">
        <v>18.014743926043</v>
      </c>
      <c r="H79">
        <v>3.5304576977198701</v>
      </c>
      <c r="I79">
        <v>42.9297065734863</v>
      </c>
      <c r="J79">
        <v>0</v>
      </c>
      <c r="K79">
        <v>803.736083984375</v>
      </c>
      <c r="L79">
        <v>8.5237589351466401</v>
      </c>
      <c r="M79">
        <v>626.17008396836604</v>
      </c>
      <c r="N79">
        <v>171.62906659235699</v>
      </c>
      <c r="O79">
        <v>43.746141214839703</v>
      </c>
      <c r="P79">
        <v>2.9389882087707502</v>
      </c>
      <c r="Q79">
        <v>29.1888313293457</v>
      </c>
      <c r="R79">
        <v>114.16520690918</v>
      </c>
      <c r="S79">
        <v>3.2470166683196999</v>
      </c>
      <c r="T79">
        <v>18.750551223754901</v>
      </c>
    </row>
    <row r="80" spans="1:20" x14ac:dyDescent="0.35">
      <c r="A80">
        <v>1.94448267215017</v>
      </c>
      <c r="B80">
        <v>136</v>
      </c>
      <c r="C80">
        <v>849.24890136718795</v>
      </c>
      <c r="D80">
        <v>0.20938808268297401</v>
      </c>
      <c r="E80">
        <v>1</v>
      </c>
      <c r="F80">
        <v>4.5405483459629501</v>
      </c>
      <c r="G80">
        <v>95.410025600748696</v>
      </c>
      <c r="H80">
        <v>3.3870480652173902</v>
      </c>
      <c r="I80">
        <v>11.4241495132446</v>
      </c>
      <c r="J80">
        <v>0</v>
      </c>
      <c r="K80">
        <v>1379.09851074219</v>
      </c>
      <c r="L80">
        <v>53.240138569816203</v>
      </c>
      <c r="M80">
        <v>1283.0211691934601</v>
      </c>
      <c r="N80">
        <v>162.69771888607801</v>
      </c>
      <c r="O80">
        <v>53.876199128197797</v>
      </c>
      <c r="P80">
        <v>21.6310329437256</v>
      </c>
      <c r="Q80">
        <v>33.159984588622997</v>
      </c>
      <c r="R80">
        <v>145.60015869140599</v>
      </c>
      <c r="S80">
        <v>3.3508710861206099</v>
      </c>
      <c r="T80">
        <v>15.4115190505981</v>
      </c>
    </row>
    <row r="81" spans="1:20" x14ac:dyDescent="0.35">
      <c r="A81">
        <v>2.80482067872116</v>
      </c>
      <c r="B81">
        <v>147</v>
      </c>
      <c r="C81">
        <v>1566.05212402344</v>
      </c>
      <c r="D81">
        <v>0.179964865118106</v>
      </c>
      <c r="E81">
        <v>19.614456720643499</v>
      </c>
      <c r="F81">
        <v>29.999539167654699</v>
      </c>
      <c r="G81">
        <v>22.345056168272201</v>
      </c>
      <c r="H81">
        <v>4.6044810760869597</v>
      </c>
      <c r="I81">
        <v>8.0803413391113299</v>
      </c>
      <c r="J81">
        <v>15.7724634368726</v>
      </c>
      <c r="K81">
        <v>650.28009033203102</v>
      </c>
      <c r="L81">
        <v>80.933155685174697</v>
      </c>
      <c r="M81">
        <v>1398.2268826844299</v>
      </c>
      <c r="N81">
        <v>160.57436683529701</v>
      </c>
      <c r="O81">
        <v>35.682330803793</v>
      </c>
      <c r="P81">
        <v>15.346798896789601</v>
      </c>
      <c r="Q81">
        <v>34.602123260497997</v>
      </c>
      <c r="R81">
        <v>322.518310546875</v>
      </c>
      <c r="S81">
        <v>3.7781116962432901</v>
      </c>
      <c r="T81">
        <v>8.8360271453857404</v>
      </c>
    </row>
    <row r="82" spans="1:20" x14ac:dyDescent="0.35">
      <c r="A82">
        <v>1.72427586960079</v>
      </c>
      <c r="B82">
        <v>222</v>
      </c>
      <c r="C82">
        <v>1296.12719726562</v>
      </c>
      <c r="D82">
        <v>0.170318161522613</v>
      </c>
      <c r="E82">
        <v>3.3927505418302403E-2</v>
      </c>
      <c r="F82">
        <v>56.492627985436101</v>
      </c>
      <c r="G82">
        <v>43.417996746469299</v>
      </c>
      <c r="H82">
        <v>3.4641837761194001</v>
      </c>
      <c r="I82">
        <v>54.577110290527301</v>
      </c>
      <c r="J82">
        <v>0</v>
      </c>
      <c r="K82">
        <v>521.93762207031205</v>
      </c>
      <c r="L82">
        <v>10.9996420379545</v>
      </c>
      <c r="M82">
        <v>656.03866226946695</v>
      </c>
      <c r="N82">
        <v>172.52206821128999</v>
      </c>
      <c r="O82">
        <v>43.739191086565903</v>
      </c>
      <c r="P82">
        <v>7.7021327018737802</v>
      </c>
      <c r="Q82">
        <v>28.882991790771499</v>
      </c>
      <c r="R82">
        <v>150.53257751464801</v>
      </c>
      <c r="S82">
        <v>3.5827107429504399</v>
      </c>
      <c r="T82">
        <v>17.002843856811499</v>
      </c>
    </row>
    <row r="83" spans="1:20" x14ac:dyDescent="0.35">
      <c r="A83">
        <v>1.2041199826559199</v>
      </c>
      <c r="B83">
        <v>105</v>
      </c>
      <c r="C83">
        <v>2055.36865234375</v>
      </c>
      <c r="D83">
        <v>0.11409766787723501</v>
      </c>
      <c r="E83">
        <v>5.58075012643872</v>
      </c>
      <c r="F83">
        <v>94.191631159892097</v>
      </c>
      <c r="G83">
        <v>0.17091983538938599</v>
      </c>
      <c r="H83">
        <v>3.2786725882352901</v>
      </c>
      <c r="I83">
        <v>49.152023315429702</v>
      </c>
      <c r="J83">
        <v>0</v>
      </c>
      <c r="K83">
        <v>454.77227783203102</v>
      </c>
      <c r="L83">
        <v>14.5506843074423</v>
      </c>
      <c r="M83">
        <v>604.56384477459005</v>
      </c>
      <c r="N83">
        <v>177.37820134397401</v>
      </c>
      <c r="O83">
        <v>35.875259305610001</v>
      </c>
      <c r="P83">
        <v>0.355840474367142</v>
      </c>
      <c r="Q83">
        <v>36.220340728759801</v>
      </c>
      <c r="R83">
        <v>119.91803741455099</v>
      </c>
      <c r="S83">
        <v>3.1407067775726301</v>
      </c>
      <c r="T83">
        <v>15.742395401001</v>
      </c>
    </row>
    <row r="84" spans="1:20" x14ac:dyDescent="0.35">
      <c r="A84">
        <v>2.1789769472931702</v>
      </c>
      <c r="B84">
        <v>312</v>
      </c>
      <c r="C84">
        <v>1088.13732910156</v>
      </c>
      <c r="D84">
        <v>0.236142221463297</v>
      </c>
      <c r="E84">
        <v>12.384011482834699</v>
      </c>
      <c r="F84">
        <v>41.312522908948601</v>
      </c>
      <c r="G84">
        <v>43.665605261478703</v>
      </c>
      <c r="H84">
        <v>4.3615288631578899</v>
      </c>
      <c r="I84">
        <v>17.797742843627901</v>
      </c>
      <c r="J84">
        <v>3.77538020205971</v>
      </c>
      <c r="K84">
        <v>692.12390136718795</v>
      </c>
      <c r="L84">
        <v>61.949720539030501</v>
      </c>
      <c r="M84">
        <v>1214.5219156234</v>
      </c>
      <c r="N84">
        <v>156.57484260934299</v>
      </c>
      <c r="O84">
        <v>39.3578182282995</v>
      </c>
      <c r="P84">
        <v>9.3666429519653303</v>
      </c>
      <c r="Q84">
        <v>34.019073486328097</v>
      </c>
      <c r="R84">
        <v>188.29039001464801</v>
      </c>
      <c r="S84">
        <v>3.28386354446411</v>
      </c>
      <c r="T84">
        <v>11.6800031661987</v>
      </c>
    </row>
    <row r="85" spans="1:20" x14ac:dyDescent="0.35">
      <c r="A85">
        <v>2.2041199826559201</v>
      </c>
      <c r="B85">
        <v>564</v>
      </c>
      <c r="C85">
        <v>1142.73583984375</v>
      </c>
      <c r="D85">
        <v>0.241496464782159</v>
      </c>
      <c r="E85">
        <v>16.9634430000511</v>
      </c>
      <c r="F85">
        <v>36.132310449356503</v>
      </c>
      <c r="G85">
        <v>38.284351219597802</v>
      </c>
      <c r="H85">
        <v>5.2657547515151499</v>
      </c>
      <c r="I85">
        <v>16.1986198425293</v>
      </c>
      <c r="J85">
        <v>26.398545439484401</v>
      </c>
      <c r="K85">
        <v>676.16607666015602</v>
      </c>
      <c r="L85">
        <v>66.3993577175453</v>
      </c>
      <c r="M85">
        <v>1239.0500788454101</v>
      </c>
      <c r="N85">
        <v>157.93791899133899</v>
      </c>
      <c r="O85">
        <v>36.963240107551897</v>
      </c>
      <c r="P85">
        <v>10.922665596008301</v>
      </c>
      <c r="Q85">
        <v>33.920475006103501</v>
      </c>
      <c r="R85">
        <v>214.79544067382801</v>
      </c>
      <c r="S85">
        <v>3.3834025859832799</v>
      </c>
      <c r="T85">
        <v>8.7658500671386701</v>
      </c>
    </row>
    <row r="86" spans="1:20" x14ac:dyDescent="0.35">
      <c r="A86">
        <v>2.4265112613645798</v>
      </c>
      <c r="B86">
        <v>1401</v>
      </c>
      <c r="C86">
        <v>559.32183837890602</v>
      </c>
      <c r="D86">
        <v>0.37882333990669098</v>
      </c>
      <c r="E86">
        <v>1.4653181016112899</v>
      </c>
      <c r="F86">
        <v>40.8637391222818</v>
      </c>
      <c r="G86">
        <v>57.306377433837802</v>
      </c>
      <c r="H86">
        <v>2.1904282899343501</v>
      </c>
      <c r="I86">
        <v>14.539857864379901</v>
      </c>
      <c r="J86">
        <v>0</v>
      </c>
      <c r="K86">
        <v>1052.3876953125</v>
      </c>
      <c r="L86">
        <v>30.122064168335999</v>
      </c>
      <c r="M86">
        <v>930.92088943231295</v>
      </c>
      <c r="N86">
        <v>152.96996294865801</v>
      </c>
      <c r="O86">
        <v>47.601764428811002</v>
      </c>
      <c r="P86">
        <v>13.5298805236816</v>
      </c>
      <c r="Q86">
        <v>31.3022556304932</v>
      </c>
      <c r="R86">
        <v>97.689926147460895</v>
      </c>
      <c r="S86">
        <v>2.7173800468444802</v>
      </c>
      <c r="T86">
        <v>12.278657913208001</v>
      </c>
    </row>
    <row r="87" spans="1:20" x14ac:dyDescent="0.35">
      <c r="A87">
        <v>1.7558748556724899</v>
      </c>
      <c r="B87">
        <v>95</v>
      </c>
      <c r="C87">
        <v>1754.71704101562</v>
      </c>
      <c r="D87">
        <v>0.12579225033385899</v>
      </c>
      <c r="E87">
        <v>0.214429047359491</v>
      </c>
      <c r="F87">
        <v>89.218842452142297</v>
      </c>
      <c r="G87">
        <v>10.0483363466514</v>
      </c>
      <c r="H87">
        <v>4.4322654923076898</v>
      </c>
      <c r="I87">
        <v>22.862817764282202</v>
      </c>
      <c r="J87">
        <v>0</v>
      </c>
      <c r="K87">
        <v>496.35037231445301</v>
      </c>
      <c r="L87">
        <v>6.8019234137456897</v>
      </c>
      <c r="M87">
        <v>539.15361998511105</v>
      </c>
      <c r="N87">
        <v>179.796871998271</v>
      </c>
      <c r="O87">
        <v>38.1840830943624</v>
      </c>
      <c r="P87">
        <v>1.0265203714370701</v>
      </c>
      <c r="Q87">
        <v>31.671047210693398</v>
      </c>
      <c r="R87">
        <v>133.90739440918</v>
      </c>
      <c r="S87">
        <v>3.0110218524932901</v>
      </c>
      <c r="T87">
        <v>17.860000610351602</v>
      </c>
    </row>
    <row r="88" spans="1:20" x14ac:dyDescent="0.35">
      <c r="A88">
        <v>2.2405492482825999</v>
      </c>
      <c r="B88">
        <v>143</v>
      </c>
      <c r="C88">
        <v>1511.6826171875</v>
      </c>
      <c r="D88">
        <v>0.197199668679505</v>
      </c>
      <c r="E88">
        <v>18.9571350027935</v>
      </c>
      <c r="F88">
        <v>31.698049985731899</v>
      </c>
      <c r="G88">
        <v>37.470909838614297</v>
      </c>
      <c r="H88">
        <v>4.17278705825243</v>
      </c>
      <c r="I88">
        <v>18.7977294921875</v>
      </c>
      <c r="J88">
        <v>12.2514714145104</v>
      </c>
      <c r="K88">
        <v>699.55755615234398</v>
      </c>
      <c r="L88">
        <v>73.373445104380096</v>
      </c>
      <c r="M88">
        <v>1345.81236992508</v>
      </c>
      <c r="N88">
        <v>157.99202140432899</v>
      </c>
      <c r="O88">
        <v>38.874642293961301</v>
      </c>
      <c r="P88">
        <v>13.226513862609901</v>
      </c>
      <c r="Q88">
        <v>34.579349517822301</v>
      </c>
      <c r="R88">
        <v>254.37020874023401</v>
      </c>
      <c r="S88">
        <v>3.6773543357849099</v>
      </c>
      <c r="T88">
        <v>8.6379814147949201</v>
      </c>
    </row>
    <row r="89" spans="1:20" x14ac:dyDescent="0.35">
      <c r="A89">
        <v>2.2041199826559201</v>
      </c>
      <c r="B89">
        <v>1190</v>
      </c>
      <c r="C89">
        <v>301.77923583984398</v>
      </c>
      <c r="D89">
        <v>0.40161022998190399</v>
      </c>
      <c r="E89">
        <v>9.2692269310839601E-3</v>
      </c>
      <c r="F89">
        <v>16.9839262191675</v>
      </c>
      <c r="G89">
        <v>82.862449145276102</v>
      </c>
      <c r="H89">
        <v>2.66738731875882</v>
      </c>
      <c r="I89">
        <v>44.5763969421387</v>
      </c>
      <c r="J89">
        <v>0</v>
      </c>
      <c r="K89">
        <v>1055.69323730469</v>
      </c>
      <c r="L89">
        <v>34.080918859262901</v>
      </c>
      <c r="M89">
        <v>1074.9078879434601</v>
      </c>
      <c r="N89">
        <v>164.32681374471699</v>
      </c>
      <c r="O89">
        <v>55.623246302370198</v>
      </c>
      <c r="P89">
        <v>14.2216529846191</v>
      </c>
      <c r="Q89">
        <v>33.445178985595703</v>
      </c>
      <c r="R89">
        <v>120.721160888672</v>
      </c>
      <c r="S89">
        <v>3.2437982559204102</v>
      </c>
      <c r="T89">
        <v>16.225917816162099</v>
      </c>
    </row>
    <row r="90" spans="1:20" x14ac:dyDescent="0.35">
      <c r="A90">
        <v>2.2624510897304302</v>
      </c>
      <c r="B90">
        <v>370</v>
      </c>
      <c r="C90">
        <v>503.76687622070301</v>
      </c>
      <c r="D90">
        <v>0.30967633815810303</v>
      </c>
      <c r="E90">
        <v>0.12722153579157999</v>
      </c>
      <c r="F90">
        <v>3.3695263266043298</v>
      </c>
      <c r="G90">
        <v>96.3586133366274</v>
      </c>
      <c r="H90">
        <v>2.03880183208955</v>
      </c>
      <c r="I90">
        <v>16.2154541015625</v>
      </c>
      <c r="J90">
        <v>0</v>
      </c>
      <c r="K90">
        <v>1294.58984375</v>
      </c>
      <c r="L90">
        <v>47.353015305565997</v>
      </c>
      <c r="M90">
        <v>1227.45029436956</v>
      </c>
      <c r="N90">
        <v>150.87166232750101</v>
      </c>
      <c r="O90">
        <v>55.129092044517598</v>
      </c>
      <c r="P90">
        <v>24.388475418090799</v>
      </c>
      <c r="Q90">
        <v>33.238689422607401</v>
      </c>
      <c r="R90">
        <v>91.888267517089801</v>
      </c>
      <c r="S90">
        <v>2.3998231887817401</v>
      </c>
      <c r="T90">
        <v>14.4718990325928</v>
      </c>
    </row>
    <row r="91" spans="1:20" x14ac:dyDescent="0.35">
      <c r="A91">
        <v>2.63648789635337</v>
      </c>
      <c r="B91">
        <v>513</v>
      </c>
      <c r="C91">
        <v>1495.82214355469</v>
      </c>
      <c r="D91">
        <v>0.18356297504553401</v>
      </c>
      <c r="E91">
        <v>18.619956903553899</v>
      </c>
      <c r="F91">
        <v>36.468452942796503</v>
      </c>
      <c r="G91">
        <v>36.4646075646098</v>
      </c>
      <c r="H91">
        <v>4.4247351186440698</v>
      </c>
      <c r="I91">
        <v>17.1257133483887</v>
      </c>
      <c r="J91">
        <v>19.992095242871901</v>
      </c>
      <c r="K91">
        <v>690.61749267578102</v>
      </c>
      <c r="L91">
        <v>72.727491222444101</v>
      </c>
      <c r="M91">
        <v>1333.5835541271799</v>
      </c>
      <c r="N91">
        <v>157.014834544698</v>
      </c>
      <c r="O91">
        <v>38.496703538738302</v>
      </c>
      <c r="P91">
        <v>10.2339935302734</v>
      </c>
      <c r="Q91">
        <v>34.446273803710902</v>
      </c>
      <c r="R91">
        <v>205.96258544921901</v>
      </c>
      <c r="S91">
        <v>3.6957929134368901</v>
      </c>
      <c r="T91">
        <v>8.4072523117065394</v>
      </c>
    </row>
    <row r="92" spans="1:20" x14ac:dyDescent="0.35">
      <c r="A92">
        <v>1.2304489213782701</v>
      </c>
      <c r="B92">
        <v>387</v>
      </c>
      <c r="C92">
        <v>1804.72033691406</v>
      </c>
      <c r="D92">
        <v>0.123216460301178</v>
      </c>
      <c r="E92">
        <v>0.66541421196369999</v>
      </c>
      <c r="F92">
        <v>81.041526073252399</v>
      </c>
      <c r="G92">
        <v>18.136502725989899</v>
      </c>
      <c r="H92">
        <v>3.3803940978723399</v>
      </c>
      <c r="I92">
        <v>19.6242160797119</v>
      </c>
      <c r="J92">
        <v>0</v>
      </c>
      <c r="K92">
        <v>428.20065307617199</v>
      </c>
      <c r="L92">
        <v>15.090885861975201</v>
      </c>
      <c r="M92">
        <v>677.09753417968795</v>
      </c>
      <c r="N92">
        <v>176.04533236143999</v>
      </c>
      <c r="O92">
        <v>41.383921701399998</v>
      </c>
      <c r="P92">
        <v>2.2396945953369101</v>
      </c>
      <c r="Q92">
        <v>31.986845016479499</v>
      </c>
      <c r="R92">
        <v>142.53079223632801</v>
      </c>
      <c r="S92">
        <v>3.4706575870513898</v>
      </c>
      <c r="T92">
        <v>11.1285648345947</v>
      </c>
    </row>
    <row r="93" spans="1:20" x14ac:dyDescent="0.35">
      <c r="A93">
        <v>1.6989700043360201</v>
      </c>
      <c r="B93">
        <v>1000</v>
      </c>
      <c r="C93">
        <v>1391.81311035156</v>
      </c>
      <c r="D93">
        <v>0.213968178589515</v>
      </c>
      <c r="E93">
        <v>3.0823764727407998</v>
      </c>
      <c r="F93">
        <v>89.997399930075602</v>
      </c>
      <c r="G93">
        <v>5.8644112168566904</v>
      </c>
      <c r="H93">
        <v>1.88996672634271</v>
      </c>
      <c r="I93">
        <v>30.3980617523193</v>
      </c>
      <c r="J93">
        <v>0</v>
      </c>
      <c r="K93">
        <v>531.34033203125</v>
      </c>
      <c r="L93">
        <v>18.470031323980098</v>
      </c>
      <c r="M93">
        <v>758.91835497246404</v>
      </c>
      <c r="N93">
        <v>170.21179524406099</v>
      </c>
      <c r="O93">
        <v>44.842879873807298</v>
      </c>
      <c r="P93">
        <v>1.02301609516144</v>
      </c>
      <c r="Q93">
        <v>25.549562454223601</v>
      </c>
      <c r="R93">
        <v>85.234756469726605</v>
      </c>
      <c r="S93">
        <v>3.5363638401031499</v>
      </c>
      <c r="T93">
        <v>15.32945728302</v>
      </c>
    </row>
    <row r="94" spans="1:20" x14ac:dyDescent="0.35">
      <c r="A94">
        <v>1.1553360374650601</v>
      </c>
      <c r="B94">
        <v>105</v>
      </c>
      <c r="C94">
        <v>1980.07556152344</v>
      </c>
      <c r="D94">
        <v>0.13816504630396201</v>
      </c>
      <c r="E94">
        <v>9.1041009407685003</v>
      </c>
      <c r="F94">
        <v>90.198602536966703</v>
      </c>
      <c r="G94">
        <v>0.67522023591063296</v>
      </c>
      <c r="H94">
        <v>4.2232193571428596</v>
      </c>
      <c r="I94">
        <v>39.6038818359375</v>
      </c>
      <c r="J94">
        <v>0</v>
      </c>
      <c r="K94">
        <v>375.86337280273398</v>
      </c>
      <c r="L94">
        <v>8.8328904792910699</v>
      </c>
      <c r="M94">
        <v>517.94607243772396</v>
      </c>
      <c r="N94">
        <v>179.089560336754</v>
      </c>
      <c r="O94">
        <v>34.374413255785299</v>
      </c>
      <c r="P94">
        <v>6.2960147857666002E-2</v>
      </c>
      <c r="Q94">
        <v>30.945814132690401</v>
      </c>
      <c r="R94">
        <v>161.80447387695301</v>
      </c>
      <c r="S94">
        <v>2.8186798095703098</v>
      </c>
      <c r="T94">
        <v>16.1175842285156</v>
      </c>
    </row>
    <row r="95" spans="1:20" x14ac:dyDescent="0.35">
      <c r="A95">
        <v>1.9493900066449099</v>
      </c>
      <c r="B95">
        <v>458</v>
      </c>
      <c r="C95">
        <v>1337.974609375</v>
      </c>
      <c r="D95">
        <v>0.20866081416059201</v>
      </c>
      <c r="E95">
        <v>4.1485113734167403</v>
      </c>
      <c r="F95">
        <v>91.026872763708297</v>
      </c>
      <c r="G95">
        <v>4.7685409164747599</v>
      </c>
      <c r="H95">
        <v>4.91480186120996</v>
      </c>
      <c r="I95">
        <v>11.6065816879272</v>
      </c>
      <c r="J95">
        <v>0</v>
      </c>
      <c r="K95">
        <v>476.30010986328102</v>
      </c>
      <c r="L95">
        <v>9.6040131107705502</v>
      </c>
      <c r="M95">
        <v>547.80491613169204</v>
      </c>
      <c r="N95">
        <v>178.26139731485301</v>
      </c>
      <c r="O95">
        <v>36.088922813290502</v>
      </c>
      <c r="P95">
        <v>0.90086072683334395</v>
      </c>
      <c r="Q95">
        <v>32.0972709655762</v>
      </c>
      <c r="R95">
        <v>147.06710815429699</v>
      </c>
      <c r="S95">
        <v>2.92924928665161</v>
      </c>
      <c r="T95">
        <v>15.694415092468301</v>
      </c>
    </row>
    <row r="96" spans="1:20" x14ac:dyDescent="0.35">
      <c r="A96">
        <v>2.14612803567824</v>
      </c>
      <c r="B96">
        <v>274</v>
      </c>
      <c r="C96">
        <v>692.46783447265602</v>
      </c>
      <c r="D96">
        <v>0.30388242995548598</v>
      </c>
      <c r="E96">
        <v>3.85090368804758</v>
      </c>
      <c r="F96">
        <v>76.317593132711195</v>
      </c>
      <c r="G96">
        <v>19.746425729062601</v>
      </c>
      <c r="H96">
        <v>5.9425949534883697</v>
      </c>
      <c r="I96">
        <v>8.9362306594848597</v>
      </c>
      <c r="J96">
        <v>0</v>
      </c>
      <c r="K96">
        <v>379.51531982421898</v>
      </c>
      <c r="L96">
        <v>5.6149000027140596</v>
      </c>
      <c r="M96">
        <v>446.37375078045</v>
      </c>
      <c r="N96">
        <v>176.90843250712399</v>
      </c>
      <c r="O96">
        <v>31.6274019460209</v>
      </c>
      <c r="P96">
        <v>1.9311333894729601</v>
      </c>
      <c r="Q96">
        <v>30.800033569335898</v>
      </c>
      <c r="R96">
        <v>186.71522521972699</v>
      </c>
      <c r="S96">
        <v>2.7462399005889901</v>
      </c>
      <c r="T96">
        <v>12.986411094665501</v>
      </c>
    </row>
    <row r="97" spans="1:20" x14ac:dyDescent="0.35">
      <c r="A97">
        <v>2.6020599913279598</v>
      </c>
      <c r="B97">
        <v>1420</v>
      </c>
      <c r="C97">
        <v>367.18359375</v>
      </c>
      <c r="D97">
        <v>0.36235199619168401</v>
      </c>
      <c r="E97">
        <v>12.0020970869135</v>
      </c>
      <c r="F97">
        <v>21.890462337643498</v>
      </c>
      <c r="G97">
        <v>57.378483581768897</v>
      </c>
      <c r="H97">
        <v>6.8593632304038001</v>
      </c>
      <c r="I97">
        <v>11.700885772705099</v>
      </c>
      <c r="J97">
        <v>64.6793405978447</v>
      </c>
      <c r="K97">
        <v>1146.63549804688</v>
      </c>
      <c r="L97">
        <v>82.001192249235601</v>
      </c>
      <c r="M97">
        <v>1500.0171378714099</v>
      </c>
      <c r="N97">
        <v>157.32348432697199</v>
      </c>
      <c r="O97">
        <v>43.1328203795386</v>
      </c>
      <c r="P97">
        <v>15.586423873901399</v>
      </c>
      <c r="Q97">
        <v>35.026763916015597</v>
      </c>
      <c r="R97">
        <v>282.45910644531199</v>
      </c>
      <c r="S97">
        <v>3.7652666568756099</v>
      </c>
      <c r="T97">
        <v>9.3416423797607404</v>
      </c>
    </row>
    <row r="98" spans="1:20" x14ac:dyDescent="0.35">
      <c r="A98">
        <v>1.3802112417116099</v>
      </c>
      <c r="B98">
        <v>366</v>
      </c>
      <c r="C98">
        <v>1953.51477050781</v>
      </c>
      <c r="D98">
        <v>0.10198361554091501</v>
      </c>
      <c r="E98">
        <v>2.35901287733933</v>
      </c>
      <c r="F98">
        <v>97.506508993120903</v>
      </c>
      <c r="G98">
        <v>6.00684647958823E-2</v>
      </c>
      <c r="H98">
        <v>1.5057717660377401</v>
      </c>
      <c r="I98">
        <v>39.4085502624512</v>
      </c>
      <c r="J98">
        <v>0</v>
      </c>
      <c r="K98">
        <v>431.62063598632801</v>
      </c>
      <c r="L98">
        <v>8.9986192926031592</v>
      </c>
      <c r="M98">
        <v>543.54392580126103</v>
      </c>
      <c r="N98">
        <v>179.79942021604401</v>
      </c>
      <c r="O98">
        <v>36.340925341746797</v>
      </c>
      <c r="P98">
        <v>4.4412098824977903E-2</v>
      </c>
      <c r="Q98">
        <v>32.767765045166001</v>
      </c>
      <c r="R98">
        <v>60.491985321044901</v>
      </c>
      <c r="S98">
        <v>2.7957396507263201</v>
      </c>
      <c r="T98">
        <v>16.558834075927699</v>
      </c>
    </row>
    <row r="99" spans="1:20" x14ac:dyDescent="0.35">
      <c r="A99">
        <v>2.2041199826559201</v>
      </c>
      <c r="B99">
        <v>1012</v>
      </c>
      <c r="C99">
        <v>1011.79443359375</v>
      </c>
      <c r="D99">
        <v>0.235556132645172</v>
      </c>
      <c r="E99">
        <v>11.7287747255748</v>
      </c>
      <c r="F99">
        <v>31.092642309129602</v>
      </c>
      <c r="G99">
        <v>55.783615607330198</v>
      </c>
      <c r="H99">
        <v>5.2585068969230804</v>
      </c>
      <c r="I99">
        <v>9.8741197586059606</v>
      </c>
      <c r="J99">
        <v>6.9844078388342901</v>
      </c>
      <c r="K99">
        <v>822.00823974609398</v>
      </c>
      <c r="L99">
        <v>65.690123010854293</v>
      </c>
      <c r="M99">
        <v>1285.4828751360801</v>
      </c>
      <c r="N99">
        <v>155.02535860655701</v>
      </c>
      <c r="O99">
        <v>41.536155262931501</v>
      </c>
      <c r="P99">
        <v>12.9014987945557</v>
      </c>
      <c r="Q99">
        <v>32.826705932617202</v>
      </c>
      <c r="R99">
        <v>215.70594787597699</v>
      </c>
      <c r="S99">
        <v>3.6683511734008798</v>
      </c>
      <c r="T99">
        <v>10.5189561843872</v>
      </c>
    </row>
    <row r="100" spans="1:20" x14ac:dyDescent="0.35">
      <c r="A100">
        <v>1.8750612633917001</v>
      </c>
      <c r="B100">
        <v>1220</v>
      </c>
      <c r="C100">
        <v>1166.73010253906</v>
      </c>
      <c r="D100">
        <v>0.23717727578442199</v>
      </c>
      <c r="E100">
        <v>1.37901189263825</v>
      </c>
      <c r="F100">
        <v>93.849014989399805</v>
      </c>
      <c r="G100">
        <v>4.4591018053701497</v>
      </c>
      <c r="H100">
        <v>3.4166442523255798</v>
      </c>
      <c r="I100">
        <v>20.083320617675799</v>
      </c>
      <c r="J100">
        <v>0</v>
      </c>
      <c r="K100">
        <v>507.79040527343801</v>
      </c>
      <c r="L100">
        <v>6.6025098347273001</v>
      </c>
      <c r="M100">
        <v>518.35243049996802</v>
      </c>
      <c r="N100">
        <v>179.08846095350901</v>
      </c>
      <c r="O100">
        <v>36.646654816924503</v>
      </c>
      <c r="P100">
        <v>0.63836985826492298</v>
      </c>
      <c r="Q100">
        <v>31.370611190795898</v>
      </c>
      <c r="R100">
        <v>104.945518493652</v>
      </c>
      <c r="S100">
        <v>2.9991543292999299</v>
      </c>
      <c r="T100">
        <v>14.6626300811768</v>
      </c>
    </row>
    <row r="101" spans="1:20" x14ac:dyDescent="0.35">
      <c r="A101">
        <v>2</v>
      </c>
      <c r="B101">
        <v>34</v>
      </c>
      <c r="C101">
        <v>1401.07165527344</v>
      </c>
      <c r="D101">
        <v>0.22210413607245999</v>
      </c>
      <c r="E101">
        <v>3.8895400190584</v>
      </c>
      <c r="F101">
        <v>95.434333822604501</v>
      </c>
      <c r="G101">
        <v>0.58379377523578702</v>
      </c>
      <c r="H101">
        <v>6.2841312941176497</v>
      </c>
      <c r="I101">
        <v>36.303951263427699</v>
      </c>
      <c r="J101">
        <v>0</v>
      </c>
      <c r="K101">
        <v>336.938720703125</v>
      </c>
      <c r="L101">
        <v>7.0017162405076601</v>
      </c>
      <c r="M101">
        <v>438.072273629611</v>
      </c>
      <c r="N101">
        <v>180.608148293417</v>
      </c>
      <c r="O101">
        <v>29.529922235207501</v>
      </c>
      <c r="P101">
        <v>5.03402650356293E-2</v>
      </c>
      <c r="Q101">
        <v>32.166259765625</v>
      </c>
      <c r="R101">
        <v>276.10528564453102</v>
      </c>
      <c r="S101">
        <v>2.7541573047637899</v>
      </c>
      <c r="T101">
        <v>10.947196960449199</v>
      </c>
    </row>
    <row r="102" spans="1:20" x14ac:dyDescent="0.35">
      <c r="A102">
        <v>2.3304137733491901</v>
      </c>
      <c r="B102">
        <v>40</v>
      </c>
      <c r="C102">
        <v>776.93560791015602</v>
      </c>
      <c r="D102">
        <v>0.22837563726260199</v>
      </c>
      <c r="E102">
        <v>5.5834191850214501E-2</v>
      </c>
      <c r="F102">
        <v>3.2758798564821801</v>
      </c>
      <c r="G102">
        <v>96.504042300079504</v>
      </c>
      <c r="H102">
        <v>3.19522885714286</v>
      </c>
      <c r="I102">
        <v>15.90074634552</v>
      </c>
      <c r="J102">
        <v>0</v>
      </c>
      <c r="K102">
        <v>1220.41625976562</v>
      </c>
      <c r="L102">
        <v>63.604669101902701</v>
      </c>
      <c r="M102">
        <v>1355.42191102075</v>
      </c>
      <c r="N102">
        <v>151.06265283803501</v>
      </c>
      <c r="O102">
        <v>49.543591045942499</v>
      </c>
      <c r="P102">
        <v>27.5146160125732</v>
      </c>
      <c r="Q102">
        <v>34.495922088622997</v>
      </c>
      <c r="R102">
        <v>131.03700256347699</v>
      </c>
      <c r="S102">
        <v>2.2520301342010498</v>
      </c>
      <c r="T102">
        <v>7.9244589805603001</v>
      </c>
    </row>
    <row r="103" spans="1:20" x14ac:dyDescent="0.35">
      <c r="A103">
        <v>2.2900346113625201</v>
      </c>
      <c r="B103">
        <v>258</v>
      </c>
      <c r="C103">
        <v>438.28652954101602</v>
      </c>
      <c r="D103">
        <v>0.33088815688944201</v>
      </c>
      <c r="E103">
        <v>0.14341128912124601</v>
      </c>
      <c r="F103">
        <v>15.9846221777608</v>
      </c>
      <c r="G103">
        <v>83.451835984542399</v>
      </c>
      <c r="H103">
        <v>3.3578068586956502</v>
      </c>
      <c r="I103">
        <v>36.3988037109375</v>
      </c>
      <c r="J103">
        <v>0</v>
      </c>
      <c r="K103">
        <v>1160.40222167969</v>
      </c>
      <c r="L103">
        <v>60.022707266885703</v>
      </c>
      <c r="M103">
        <v>1337.05694680136</v>
      </c>
      <c r="N103">
        <v>149.59421201612099</v>
      </c>
      <c r="O103">
        <v>51.5696288562212</v>
      </c>
      <c r="P103">
        <v>23.174259185791001</v>
      </c>
      <c r="Q103">
        <v>35.9202270507812</v>
      </c>
      <c r="R103">
        <v>104.57374572753901</v>
      </c>
      <c r="S103">
        <v>2.15207743644714</v>
      </c>
      <c r="T103">
        <v>10.4807844161987</v>
      </c>
    </row>
    <row r="104" spans="1:20" x14ac:dyDescent="0.35">
      <c r="A104">
        <v>2.5797835966168101</v>
      </c>
      <c r="B104">
        <v>558</v>
      </c>
      <c r="C104">
        <v>158.25086975097699</v>
      </c>
      <c r="D104">
        <v>0.65753296336651101</v>
      </c>
      <c r="E104">
        <v>0.70960189160452103</v>
      </c>
      <c r="F104">
        <v>27.398694711508298</v>
      </c>
      <c r="G104">
        <v>71.165972821158107</v>
      </c>
      <c r="H104">
        <v>3.9561035656836498</v>
      </c>
      <c r="I104">
        <v>42.621105194091797</v>
      </c>
      <c r="J104">
        <v>0</v>
      </c>
      <c r="K104">
        <v>2283.9638671875</v>
      </c>
      <c r="L104">
        <v>75.844296940037495</v>
      </c>
      <c r="M104">
        <v>1581.99574354828</v>
      </c>
      <c r="N104">
        <v>158.89688635654099</v>
      </c>
      <c r="O104">
        <v>56.140852380971403</v>
      </c>
      <c r="P104">
        <v>12.388617515564</v>
      </c>
      <c r="Q104">
        <v>30.7905158996582</v>
      </c>
      <c r="R104">
        <v>168.91763305664099</v>
      </c>
      <c r="S104">
        <v>3.3205943107604998</v>
      </c>
      <c r="T104">
        <v>12.7269840240479</v>
      </c>
    </row>
    <row r="105" spans="1:20" x14ac:dyDescent="0.35">
      <c r="A105">
        <v>1.50514997831991</v>
      </c>
      <c r="B105">
        <v>359</v>
      </c>
      <c r="C105">
        <v>1689.27392578125</v>
      </c>
      <c r="D105">
        <v>0.133667503947827</v>
      </c>
      <c r="E105">
        <v>1.1057909513057599E-2</v>
      </c>
      <c r="F105">
        <v>96.316261329173102</v>
      </c>
      <c r="G105">
        <v>3.6324927828408899</v>
      </c>
      <c r="H105">
        <v>2.0061122900432902</v>
      </c>
      <c r="I105">
        <v>26.588615417480501</v>
      </c>
      <c r="J105">
        <v>0</v>
      </c>
      <c r="K105">
        <v>439.28997802734398</v>
      </c>
      <c r="L105">
        <v>14.317164100584399</v>
      </c>
      <c r="M105">
        <v>659.49886984903299</v>
      </c>
      <c r="N105">
        <v>178.50030442534899</v>
      </c>
      <c r="O105">
        <v>40.701566352218897</v>
      </c>
      <c r="P105">
        <v>0.61511760950088501</v>
      </c>
      <c r="Q105">
        <v>31.914808273315401</v>
      </c>
      <c r="R105">
        <v>107.77529144287099</v>
      </c>
      <c r="S105">
        <v>3.63880515098572</v>
      </c>
      <c r="T105">
        <v>18.256525039672901</v>
      </c>
    </row>
    <row r="106" spans="1:20" x14ac:dyDescent="0.35">
      <c r="A106">
        <v>2.49136169383427</v>
      </c>
      <c r="B106">
        <v>163</v>
      </c>
      <c r="C106">
        <v>101.08871459960901</v>
      </c>
      <c r="D106">
        <v>0.93465952488645199</v>
      </c>
      <c r="E106">
        <v>1.12127463103862E-2</v>
      </c>
      <c r="F106">
        <v>12.8217099693662</v>
      </c>
      <c r="G106">
        <v>81.455750915416104</v>
      </c>
      <c r="H106">
        <v>2.41631385714286</v>
      </c>
      <c r="I106">
        <v>31.927173614501999</v>
      </c>
      <c r="J106">
        <v>0</v>
      </c>
      <c r="K106">
        <v>4230.95947265625</v>
      </c>
      <c r="L106">
        <v>82.839177553770995</v>
      </c>
      <c r="M106">
        <v>1770.93588707095</v>
      </c>
      <c r="N106">
        <v>155.58825133276801</v>
      </c>
      <c r="O106">
        <v>64.847734420025901</v>
      </c>
      <c r="P106">
        <v>18.466157913208001</v>
      </c>
      <c r="Q106">
        <v>24.043012619018601</v>
      </c>
      <c r="R106">
        <v>121.68491363525401</v>
      </c>
      <c r="S106">
        <v>3.3567047119140598</v>
      </c>
      <c r="T106">
        <v>14.4469499588013</v>
      </c>
    </row>
    <row r="107" spans="1:20" x14ac:dyDescent="0.35">
      <c r="A107">
        <v>1.82607480270083</v>
      </c>
      <c r="B107">
        <v>495</v>
      </c>
      <c r="C107">
        <v>820.840576171875</v>
      </c>
      <c r="D107">
        <v>0.27393061350064801</v>
      </c>
      <c r="E107">
        <v>7.4463553796384803</v>
      </c>
      <c r="F107">
        <v>16.425439253495799</v>
      </c>
      <c r="G107">
        <v>75.469564583618293</v>
      </c>
      <c r="H107">
        <v>4.7928417068403899</v>
      </c>
      <c r="I107">
        <v>18.7562370300293</v>
      </c>
      <c r="J107">
        <v>3.2909720958204902</v>
      </c>
      <c r="K107">
        <v>968.21319580078102</v>
      </c>
      <c r="L107">
        <v>64.001034345783196</v>
      </c>
      <c r="M107">
        <v>1300.5325837682501</v>
      </c>
      <c r="N107">
        <v>152.11333127881699</v>
      </c>
      <c r="O107">
        <v>44.504612281674198</v>
      </c>
      <c r="P107">
        <v>20.918745040893601</v>
      </c>
      <c r="Q107">
        <v>33.608074188232401</v>
      </c>
      <c r="R107">
        <v>211.80647277832</v>
      </c>
      <c r="S107">
        <v>2.9935853481292698</v>
      </c>
      <c r="T107">
        <v>14.6585369110107</v>
      </c>
    </row>
    <row r="108" spans="1:20" x14ac:dyDescent="0.35">
      <c r="A108">
        <v>2.1139433523068401</v>
      </c>
      <c r="B108">
        <v>907</v>
      </c>
      <c r="C108">
        <v>134.90216064453099</v>
      </c>
      <c r="D108">
        <v>0.44866667053853099</v>
      </c>
      <c r="E108">
        <v>2.43732346263663E-2</v>
      </c>
      <c r="F108">
        <v>12.057546432479199</v>
      </c>
      <c r="G108">
        <v>87.731667796003805</v>
      </c>
      <c r="H108">
        <v>4.7898155698729603</v>
      </c>
      <c r="I108">
        <v>36.094635009765597</v>
      </c>
      <c r="J108">
        <v>0</v>
      </c>
      <c r="K108">
        <v>1019.69323730469</v>
      </c>
      <c r="L108">
        <v>34.881310228441599</v>
      </c>
      <c r="M108">
        <v>1085.75560522861</v>
      </c>
      <c r="N108">
        <v>165.55156670242101</v>
      </c>
      <c r="O108">
        <v>55.7194389593406</v>
      </c>
      <c r="P108">
        <v>17.375270843505898</v>
      </c>
      <c r="Q108">
        <v>33.739078521728501</v>
      </c>
      <c r="R108">
        <v>190.24342346191401</v>
      </c>
      <c r="S108">
        <v>3.0184643268585201</v>
      </c>
      <c r="T108">
        <v>19.275394439697301</v>
      </c>
    </row>
    <row r="109" spans="1:20" x14ac:dyDescent="0.35">
      <c r="A109">
        <v>1.9493900066449099</v>
      </c>
      <c r="B109">
        <v>348</v>
      </c>
      <c r="C109">
        <v>1195.49047851562</v>
      </c>
      <c r="D109">
        <v>0.16973088263539601</v>
      </c>
      <c r="E109">
        <v>0.95573853492917904</v>
      </c>
      <c r="F109">
        <v>98.878576812179304</v>
      </c>
      <c r="G109">
        <v>0.15786861687310699</v>
      </c>
      <c r="H109">
        <v>2.9263864647302902</v>
      </c>
      <c r="I109">
        <v>38.821079254150398</v>
      </c>
      <c r="J109">
        <v>0</v>
      </c>
      <c r="K109">
        <v>417.03381347656199</v>
      </c>
      <c r="L109">
        <v>3.4763453612562101</v>
      </c>
      <c r="M109">
        <v>446.20435821032902</v>
      </c>
      <c r="N109">
        <v>181.417437443968</v>
      </c>
      <c r="O109">
        <v>33.751937616066897</v>
      </c>
      <c r="P109">
        <v>3.4029141068458599E-2</v>
      </c>
      <c r="Q109">
        <v>31.3536891937256</v>
      </c>
      <c r="R109">
        <v>101.54892730712901</v>
      </c>
      <c r="S109">
        <v>2.7902035713195801</v>
      </c>
      <c r="T109">
        <v>22.969551086425799</v>
      </c>
    </row>
    <row r="110" spans="1:20" x14ac:dyDescent="0.35">
      <c r="A110">
        <v>2.6127838567197399</v>
      </c>
      <c r="B110">
        <v>529</v>
      </c>
      <c r="C110">
        <v>580.29113769531205</v>
      </c>
      <c r="D110">
        <v>0.330117712340876</v>
      </c>
      <c r="E110">
        <v>9.2444307590803607</v>
      </c>
      <c r="F110">
        <v>22.531662723319201</v>
      </c>
      <c r="G110">
        <v>67.410578372495706</v>
      </c>
      <c r="H110">
        <v>5.6887026506849301</v>
      </c>
      <c r="I110">
        <v>107.44598388671901</v>
      </c>
      <c r="J110">
        <v>2.39895542186783</v>
      </c>
      <c r="K110">
        <v>1136.44787597656</v>
      </c>
      <c r="L110">
        <v>73.618074761062402</v>
      </c>
      <c r="M110">
        <v>1419.4813892802299</v>
      </c>
      <c r="N110">
        <v>152.641094520444</v>
      </c>
      <c r="O110">
        <v>44.802898219374399</v>
      </c>
      <c r="P110">
        <v>16.8118782043457</v>
      </c>
      <c r="Q110">
        <v>34.281986236572301</v>
      </c>
      <c r="R110">
        <v>243.74884033203099</v>
      </c>
      <c r="S110">
        <v>3.5260648727417001</v>
      </c>
      <c r="T110">
        <v>8.5202760696411097</v>
      </c>
    </row>
    <row r="111" spans="1:20" x14ac:dyDescent="0.35">
      <c r="A111">
        <v>2.7007037171450201</v>
      </c>
      <c r="B111">
        <v>579</v>
      </c>
      <c r="C111">
        <v>748.54138183593795</v>
      </c>
      <c r="D111">
        <v>0.26969946935003802</v>
      </c>
      <c r="E111">
        <v>5.6299901148596199</v>
      </c>
      <c r="F111">
        <v>14.1811373005677</v>
      </c>
      <c r="G111">
        <v>78.316167880609797</v>
      </c>
      <c r="H111">
        <v>4.3009809022081997</v>
      </c>
      <c r="I111">
        <v>52.886119842529297</v>
      </c>
      <c r="J111">
        <v>3.67025088484157</v>
      </c>
      <c r="K111">
        <v>1076.08032226562</v>
      </c>
      <c r="L111">
        <v>69.5648214621622</v>
      </c>
      <c r="M111">
        <v>1381.2666155705699</v>
      </c>
      <c r="N111">
        <v>151.25485279521001</v>
      </c>
      <c r="O111">
        <v>45.687595429967701</v>
      </c>
      <c r="P111">
        <v>22.560623168945298</v>
      </c>
      <c r="Q111">
        <v>34.830356597900398</v>
      </c>
      <c r="R111">
        <v>231.62365722656199</v>
      </c>
      <c r="S111">
        <v>2.4428021907806401</v>
      </c>
      <c r="T111">
        <v>9.5120954513549805</v>
      </c>
    </row>
    <row r="112" spans="1:20" x14ac:dyDescent="0.35">
      <c r="A112">
        <v>2.2304489213782701</v>
      </c>
      <c r="B112">
        <v>556</v>
      </c>
      <c r="C112">
        <v>40.947540283203097</v>
      </c>
      <c r="D112">
        <v>0.50449207613087799</v>
      </c>
      <c r="E112">
        <v>1.00419919124871</v>
      </c>
      <c r="F112">
        <v>6.1450264391451404</v>
      </c>
      <c r="G112">
        <v>92.660795536411996</v>
      </c>
      <c r="H112">
        <v>4.8648139691357999</v>
      </c>
      <c r="I112">
        <v>38.137954711914098</v>
      </c>
      <c r="J112">
        <v>1.10783139516953E-2</v>
      </c>
      <c r="K112">
        <v>2152.06860351562</v>
      </c>
      <c r="L112">
        <v>72.546463700591502</v>
      </c>
      <c r="M112">
        <v>1517.44066382236</v>
      </c>
      <c r="N112">
        <v>152.78680419921901</v>
      </c>
      <c r="O112">
        <v>54.025824187231798</v>
      </c>
      <c r="P112">
        <v>23.708702087402301</v>
      </c>
      <c r="Q112">
        <v>33.314662933349602</v>
      </c>
      <c r="R112">
        <v>215.10987854003901</v>
      </c>
      <c r="S112">
        <v>3.6788072586059601</v>
      </c>
      <c r="T112">
        <v>10.7950801849365</v>
      </c>
    </row>
    <row r="113" spans="1:20" x14ac:dyDescent="0.35">
      <c r="A113">
        <v>1.4771212547196599</v>
      </c>
      <c r="B113">
        <v>839</v>
      </c>
      <c r="C113">
        <v>1685.59228515625</v>
      </c>
      <c r="D113">
        <v>0.122263328961041</v>
      </c>
      <c r="E113">
        <v>1.27721591189991</v>
      </c>
      <c r="F113">
        <v>95.155776117649907</v>
      </c>
      <c r="G113">
        <v>1.1779037208318099</v>
      </c>
      <c r="H113">
        <v>1.5636185929648201</v>
      </c>
      <c r="I113">
        <v>15.7080793380737</v>
      </c>
      <c r="J113">
        <v>0</v>
      </c>
      <c r="K113">
        <v>416.26123046875</v>
      </c>
      <c r="L113">
        <v>19.032057261857801</v>
      </c>
      <c r="M113">
        <v>717.11670121990301</v>
      </c>
      <c r="N113">
        <v>177.90402421795</v>
      </c>
      <c r="O113">
        <v>40.776684870485397</v>
      </c>
      <c r="P113">
        <v>1.66529870033264</v>
      </c>
      <c r="Q113">
        <v>29.676267623901399</v>
      </c>
      <c r="R113">
        <v>61.477439880371101</v>
      </c>
      <c r="S113">
        <v>4.01928806304932</v>
      </c>
      <c r="T113">
        <v>14.2648210525513</v>
      </c>
    </row>
    <row r="114" spans="1:20" x14ac:dyDescent="0.35">
      <c r="A114">
        <v>2.3961993470957399</v>
      </c>
      <c r="B114">
        <v>654</v>
      </c>
      <c r="C114">
        <v>305.478515625</v>
      </c>
      <c r="D114">
        <v>0.441409700212608</v>
      </c>
      <c r="E114">
        <v>1.0129883269459099</v>
      </c>
      <c r="F114">
        <v>5.4427700357614901</v>
      </c>
      <c r="G114">
        <v>92.906153360778504</v>
      </c>
      <c r="H114">
        <v>2.9791518771084302</v>
      </c>
      <c r="I114">
        <v>41.488937377929702</v>
      </c>
      <c r="J114">
        <v>0.53121590167757904</v>
      </c>
      <c r="K114">
        <v>1346.04272460938</v>
      </c>
      <c r="L114">
        <v>68.229389690961995</v>
      </c>
      <c r="M114">
        <v>1473.14301237513</v>
      </c>
      <c r="N114">
        <v>149.13224767466099</v>
      </c>
      <c r="O114">
        <v>54.6888151950523</v>
      </c>
      <c r="P114">
        <v>25.923892974853501</v>
      </c>
      <c r="Q114">
        <v>37.235435485839801</v>
      </c>
      <c r="R114">
        <v>143.88134765625</v>
      </c>
      <c r="S114">
        <v>2.1427848339080802</v>
      </c>
      <c r="T114">
        <v>10.278679847717299</v>
      </c>
    </row>
    <row r="115" spans="1:20" x14ac:dyDescent="0.35">
      <c r="A115">
        <v>2.7573960287930199</v>
      </c>
      <c r="B115">
        <v>717</v>
      </c>
      <c r="C115">
        <v>111.826171875</v>
      </c>
      <c r="D115">
        <v>0.52836973329220005</v>
      </c>
      <c r="E115">
        <v>5.5874621105892804E-3</v>
      </c>
      <c r="F115">
        <v>3.1162200879302202</v>
      </c>
      <c r="G115">
        <v>96.073134729910606</v>
      </c>
      <c r="H115">
        <v>1.44066391346154</v>
      </c>
      <c r="I115">
        <v>50.365833282470703</v>
      </c>
      <c r="J115">
        <v>0</v>
      </c>
      <c r="K115">
        <v>1348.90698242188</v>
      </c>
      <c r="L115">
        <v>60.919648467517298</v>
      </c>
      <c r="M115">
        <v>1467.11358742636</v>
      </c>
      <c r="N115">
        <v>148.77089378482</v>
      </c>
      <c r="O115">
        <v>61.441925986868398</v>
      </c>
      <c r="P115">
        <v>23.924573898315401</v>
      </c>
      <c r="Q115">
        <v>34.684894561767599</v>
      </c>
      <c r="R115">
        <v>92.371917724609403</v>
      </c>
      <c r="S115">
        <v>2.15174341201782</v>
      </c>
      <c r="T115">
        <v>10.6639699935913</v>
      </c>
    </row>
    <row r="116" spans="1:20" x14ac:dyDescent="0.35">
      <c r="A116">
        <v>1.9731278535997001</v>
      </c>
      <c r="B116">
        <v>316</v>
      </c>
      <c r="C116">
        <v>142.14680480957</v>
      </c>
      <c r="D116">
        <v>0.53451265993294905</v>
      </c>
      <c r="E116">
        <v>3.4694222735268503E-2</v>
      </c>
      <c r="F116">
        <v>14.611740159180499</v>
      </c>
      <c r="G116">
        <v>85.0762068106594</v>
      </c>
      <c r="H116">
        <v>4.2740014166666702</v>
      </c>
      <c r="I116">
        <v>32.497604370117202</v>
      </c>
      <c r="J116">
        <v>0</v>
      </c>
      <c r="K116">
        <v>1658.77026367188</v>
      </c>
      <c r="L116">
        <v>59.349386559158098</v>
      </c>
      <c r="M116">
        <v>1403.6253041752</v>
      </c>
      <c r="N116">
        <v>163.93427739377901</v>
      </c>
      <c r="O116">
        <v>57.7476418917296</v>
      </c>
      <c r="P116">
        <v>16.186683654785199</v>
      </c>
      <c r="Q116">
        <v>31.423801422119102</v>
      </c>
      <c r="R116">
        <v>175.32142639160199</v>
      </c>
      <c r="S116">
        <v>2.9174776077270499</v>
      </c>
      <c r="T116">
        <v>17.822231292724599</v>
      </c>
    </row>
    <row r="117" spans="1:20" x14ac:dyDescent="0.35">
      <c r="A117">
        <v>2.3096301674259001</v>
      </c>
      <c r="B117">
        <v>773</v>
      </c>
      <c r="C117">
        <v>55.009841918945298</v>
      </c>
      <c r="D117">
        <v>0.47850614055664298</v>
      </c>
      <c r="E117">
        <v>3.7413568736084403E-2</v>
      </c>
      <c r="F117">
        <v>2.0940197412881201</v>
      </c>
      <c r="G117">
        <v>97.201762339312893</v>
      </c>
      <c r="H117">
        <v>0.90829939797979797</v>
      </c>
      <c r="I117">
        <v>40.995128631591797</v>
      </c>
      <c r="J117">
        <v>0</v>
      </c>
      <c r="K117">
        <v>1110.08459472656</v>
      </c>
      <c r="L117">
        <v>43.452544009099199</v>
      </c>
      <c r="M117">
        <v>1241.82905953829</v>
      </c>
      <c r="N117">
        <v>147.99125796458799</v>
      </c>
      <c r="O117">
        <v>60.126516998791303</v>
      </c>
      <c r="P117">
        <v>22.5249328613281</v>
      </c>
      <c r="Q117">
        <v>32.107208251953097</v>
      </c>
      <c r="R117">
        <v>74.7760009765625</v>
      </c>
      <c r="S117">
        <v>2.1520519256591801</v>
      </c>
      <c r="T117">
        <v>10.6621255874634</v>
      </c>
    </row>
    <row r="118" spans="1:20" x14ac:dyDescent="0.35">
      <c r="A118">
        <v>2.2304489213782701</v>
      </c>
      <c r="B118">
        <v>337</v>
      </c>
      <c r="C118">
        <v>155.56552124023401</v>
      </c>
      <c r="D118">
        <v>0.44387188747899597</v>
      </c>
      <c r="E118">
        <v>6.7554717334028597E-2</v>
      </c>
      <c r="F118">
        <v>14.728678075327799</v>
      </c>
      <c r="G118">
        <v>85.112849344320196</v>
      </c>
      <c r="H118">
        <v>4.8844823502304102</v>
      </c>
      <c r="I118">
        <v>28.210985183715799</v>
      </c>
      <c r="J118">
        <v>0</v>
      </c>
      <c r="K118">
        <v>1576.99877929688</v>
      </c>
      <c r="L118">
        <v>62.5200184681376</v>
      </c>
      <c r="M118">
        <v>1424.0554439357099</v>
      </c>
      <c r="N118">
        <v>164.37546201612099</v>
      </c>
      <c r="O118">
        <v>56.306735367071397</v>
      </c>
      <c r="P118">
        <v>15.7987279891968</v>
      </c>
      <c r="Q118">
        <v>32.161281585693402</v>
      </c>
      <c r="R118">
        <v>188.31640625</v>
      </c>
      <c r="S118">
        <v>2.91419124603271</v>
      </c>
      <c r="T118">
        <v>17.586278915405298</v>
      </c>
    </row>
    <row r="119" spans="1:20" x14ac:dyDescent="0.35">
      <c r="A119">
        <v>2.4814426285022999</v>
      </c>
      <c r="B119">
        <v>1410</v>
      </c>
      <c r="C119">
        <v>237.62783813476599</v>
      </c>
      <c r="D119">
        <v>0.35309555694343397</v>
      </c>
      <c r="E119">
        <v>7.7538232238907003</v>
      </c>
      <c r="F119">
        <v>22.6481754853328</v>
      </c>
      <c r="G119">
        <v>68.097934395935496</v>
      </c>
      <c r="H119">
        <v>6.3994036964078802</v>
      </c>
      <c r="I119">
        <v>33.365802764892599</v>
      </c>
      <c r="J119">
        <v>9.7033468774578697</v>
      </c>
      <c r="K119">
        <v>1288.42883300781</v>
      </c>
      <c r="L119">
        <v>75.548649271980693</v>
      </c>
      <c r="M119">
        <v>1452.8533995581499</v>
      </c>
      <c r="N119">
        <v>153.97616902335699</v>
      </c>
      <c r="O119">
        <v>45.648343258216698</v>
      </c>
      <c r="P119">
        <v>17.160987854003899</v>
      </c>
      <c r="Q119">
        <v>34.534408569335902</v>
      </c>
      <c r="R119">
        <v>253.41947937011699</v>
      </c>
      <c r="S119">
        <v>3.7198474407196001</v>
      </c>
      <c r="T119">
        <v>12.017753601074199</v>
      </c>
    </row>
    <row r="120" spans="1:20" x14ac:dyDescent="0.35">
      <c r="A120">
        <v>2.7084209001347102</v>
      </c>
      <c r="B120">
        <v>411</v>
      </c>
      <c r="C120">
        <v>242.47085571289099</v>
      </c>
      <c r="D120">
        <v>0.39524760436574802</v>
      </c>
      <c r="E120">
        <v>0.28340671751266</v>
      </c>
      <c r="F120">
        <v>2.76758723520408</v>
      </c>
      <c r="G120">
        <v>96.853513221318295</v>
      </c>
      <c r="H120">
        <v>4.5002795836734704</v>
      </c>
      <c r="I120">
        <v>114.80435180664099</v>
      </c>
      <c r="J120">
        <v>0</v>
      </c>
      <c r="K120">
        <v>1563.80749511719</v>
      </c>
      <c r="L120">
        <v>73.231488712498404</v>
      </c>
      <c r="M120">
        <v>1539.2645243660299</v>
      </c>
      <c r="N120">
        <v>149.54820501608901</v>
      </c>
      <c r="O120">
        <v>55.182854699306802</v>
      </c>
      <c r="P120">
        <v>28.283863067626999</v>
      </c>
      <c r="Q120">
        <v>35.596607208252003</v>
      </c>
      <c r="R120">
        <v>206.62808227539099</v>
      </c>
      <c r="S120">
        <v>2.1590726375579798</v>
      </c>
      <c r="T120">
        <v>10.205717086791999</v>
      </c>
    </row>
    <row r="121" spans="1:20" x14ac:dyDescent="0.35">
      <c r="A121">
        <v>2.1789769472931702</v>
      </c>
      <c r="B121">
        <v>115</v>
      </c>
      <c r="C121">
        <v>59.252727508544901</v>
      </c>
      <c r="D121">
        <v>0.56207795976855102</v>
      </c>
      <c r="E121">
        <v>7.8827893595284304E-2</v>
      </c>
      <c r="F121">
        <v>16.454285491053099</v>
      </c>
      <c r="G121">
        <v>82.315532610782597</v>
      </c>
      <c r="H121">
        <v>0.91346319718309898</v>
      </c>
      <c r="I121">
        <v>54.282222747802699</v>
      </c>
      <c r="J121">
        <v>0</v>
      </c>
      <c r="K121">
        <v>760.57562255859398</v>
      </c>
      <c r="L121">
        <v>24.054151159818101</v>
      </c>
      <c r="M121">
        <v>881.62957063268402</v>
      </c>
      <c r="N121">
        <v>147.85691758452899</v>
      </c>
      <c r="O121">
        <v>49.499497147857198</v>
      </c>
      <c r="P121">
        <v>14.454002380371101</v>
      </c>
      <c r="Q121">
        <v>26.434013366699201</v>
      </c>
      <c r="R121">
        <v>57.770748138427699</v>
      </c>
      <c r="S121">
        <v>2.1526453495025599</v>
      </c>
      <c r="T121">
        <v>10.7500009536743</v>
      </c>
    </row>
    <row r="122" spans="1:20" x14ac:dyDescent="0.35">
      <c r="A122">
        <v>2.33645973384853</v>
      </c>
      <c r="B122">
        <v>190</v>
      </c>
      <c r="C122">
        <v>47.410888671875</v>
      </c>
      <c r="D122">
        <v>0.63875867124780605</v>
      </c>
      <c r="E122">
        <v>1</v>
      </c>
      <c r="F122">
        <v>18.3902725688937</v>
      </c>
      <c r="G122">
        <v>79.8561140457428</v>
      </c>
      <c r="H122">
        <v>0.81005595275590503</v>
      </c>
      <c r="I122">
        <v>54.345516204833999</v>
      </c>
      <c r="J122">
        <v>0</v>
      </c>
      <c r="K122">
        <v>786.01379394531205</v>
      </c>
      <c r="L122">
        <v>24.780593731364299</v>
      </c>
      <c r="M122">
        <v>906.17235327548701</v>
      </c>
      <c r="N122">
        <v>147.58705364289801</v>
      </c>
      <c r="O122">
        <v>50.8168384989754</v>
      </c>
      <c r="P122">
        <v>14.216426849365201</v>
      </c>
      <c r="Q122">
        <v>27.550235748291001</v>
      </c>
      <c r="R122">
        <v>60.844081878662102</v>
      </c>
      <c r="S122">
        <v>2.1539928913116499</v>
      </c>
      <c r="T122">
        <v>11.144345283508301</v>
      </c>
    </row>
    <row r="123" spans="1:20" x14ac:dyDescent="0.35">
      <c r="A123">
        <v>2.4712917110589401</v>
      </c>
      <c r="B123">
        <v>254</v>
      </c>
      <c r="C123">
        <v>197.90408325195301</v>
      </c>
      <c r="D123">
        <v>0.40068642940562499</v>
      </c>
      <c r="E123">
        <v>4.9568983205817103E-2</v>
      </c>
      <c r="F123">
        <v>1.9022573536139999</v>
      </c>
      <c r="G123">
        <v>97.942757651711204</v>
      </c>
      <c r="H123">
        <v>3.38634011347518</v>
      </c>
      <c r="I123">
        <v>115.779350280762</v>
      </c>
      <c r="J123">
        <v>0</v>
      </c>
      <c r="K123">
        <v>1635.51599121094</v>
      </c>
      <c r="L123">
        <v>70.331166689513196</v>
      </c>
      <c r="M123">
        <v>1572.4179747534599</v>
      </c>
      <c r="N123">
        <v>149.08389132140101</v>
      </c>
      <c r="O123">
        <v>60.828294910368399</v>
      </c>
      <c r="P123">
        <v>28.288639068603501</v>
      </c>
      <c r="Q123">
        <v>35.868560791015597</v>
      </c>
      <c r="R123">
        <v>182.55644226074199</v>
      </c>
      <c r="S123">
        <v>2.1499712467193599</v>
      </c>
      <c r="T123">
        <v>10.8175144195557</v>
      </c>
    </row>
    <row r="124" spans="1:20" x14ac:dyDescent="0.35">
      <c r="A124">
        <v>2.0086001717619202</v>
      </c>
      <c r="B124">
        <v>329</v>
      </c>
      <c r="C124">
        <v>38.550846099853501</v>
      </c>
      <c r="D124">
        <v>0.59774330934181397</v>
      </c>
      <c r="E124">
        <v>6.3137869700078302E-3</v>
      </c>
      <c r="F124">
        <v>6.3481752128402702</v>
      </c>
      <c r="G124">
        <v>92.448554217317295</v>
      </c>
      <c r="H124">
        <v>0.84825004639175305</v>
      </c>
      <c r="I124">
        <v>54.5536499023438</v>
      </c>
      <c r="J124">
        <v>0</v>
      </c>
      <c r="K124">
        <v>834.87860107421898</v>
      </c>
      <c r="L124">
        <v>26.229152007181099</v>
      </c>
      <c r="M124">
        <v>952.37174512519198</v>
      </c>
      <c r="N124">
        <v>147.61230018490701</v>
      </c>
      <c r="O124">
        <v>53.230179145687899</v>
      </c>
      <c r="P124">
        <v>16.9352931976318</v>
      </c>
      <c r="Q124">
        <v>27.836046218872099</v>
      </c>
      <c r="R124">
        <v>68.493621826171903</v>
      </c>
      <c r="S124">
        <v>2.1530745029449498</v>
      </c>
      <c r="T124">
        <v>11.9165592193604</v>
      </c>
    </row>
    <row r="125" spans="1:20" x14ac:dyDescent="0.35">
      <c r="A125">
        <v>2.59769518592551</v>
      </c>
      <c r="B125">
        <v>332</v>
      </c>
      <c r="C125">
        <v>106.483642578125</v>
      </c>
      <c r="D125">
        <v>0.57680070619345403</v>
      </c>
      <c r="E125">
        <v>0.104625689925921</v>
      </c>
      <c r="F125">
        <v>4.3758810389869396</v>
      </c>
      <c r="G125">
        <v>95.098152092274304</v>
      </c>
      <c r="H125">
        <v>1.71712428636364</v>
      </c>
      <c r="I125">
        <v>54.450244903564503</v>
      </c>
      <c r="J125">
        <v>0</v>
      </c>
      <c r="K125">
        <v>1553.78283691406</v>
      </c>
      <c r="L125">
        <v>61.240227120821601</v>
      </c>
      <c r="M125">
        <v>1509.2788326075799</v>
      </c>
      <c r="N125">
        <v>149.34407918961301</v>
      </c>
      <c r="O125">
        <v>64.6245465513136</v>
      </c>
      <c r="P125">
        <v>22.460971832275401</v>
      </c>
      <c r="Q125">
        <v>33.094161987304702</v>
      </c>
      <c r="R125">
        <v>112.49770355224599</v>
      </c>
      <c r="S125">
        <v>2.1534683704376198</v>
      </c>
      <c r="T125">
        <v>10.75</v>
      </c>
    </row>
    <row r="126" spans="1:20" x14ac:dyDescent="0.35">
      <c r="A126">
        <v>2.4623979978989601</v>
      </c>
      <c r="B126">
        <v>233</v>
      </c>
      <c r="C126">
        <v>121.64266204834</v>
      </c>
      <c r="D126">
        <v>0.50291019968821504</v>
      </c>
      <c r="E126">
        <v>1.3855672310491601E-2</v>
      </c>
      <c r="F126">
        <v>1.96952063919526</v>
      </c>
      <c r="G126">
        <v>97.9274406564804</v>
      </c>
      <c r="H126">
        <v>3.5368779189189201</v>
      </c>
      <c r="I126">
        <v>119.02700805664099</v>
      </c>
      <c r="J126">
        <v>0</v>
      </c>
      <c r="K126">
        <v>1927.31005859375</v>
      </c>
      <c r="L126">
        <v>74.834219197757903</v>
      </c>
      <c r="M126">
        <v>1613.9385766201301</v>
      </c>
      <c r="N126">
        <v>148.61273618604301</v>
      </c>
      <c r="O126">
        <v>59.791465258989199</v>
      </c>
      <c r="P126">
        <v>28.293596267700199</v>
      </c>
      <c r="Q126">
        <v>34.148384094238303</v>
      </c>
      <c r="R126">
        <v>188.07385253906199</v>
      </c>
      <c r="S126">
        <v>2.2367081642150901</v>
      </c>
      <c r="T126">
        <v>11.8209276199341</v>
      </c>
    </row>
    <row r="127" spans="1:20" x14ac:dyDescent="0.35">
      <c r="A127">
        <v>2.3201462861110498</v>
      </c>
      <c r="B127">
        <v>277</v>
      </c>
      <c r="C127">
        <v>69.440910339355497</v>
      </c>
      <c r="D127">
        <v>0.56764577705977404</v>
      </c>
      <c r="E127">
        <v>0.180822543773724</v>
      </c>
      <c r="F127">
        <v>3.2164757692527601</v>
      </c>
      <c r="G127">
        <v>96.522716924757006</v>
      </c>
      <c r="H127">
        <v>2.7734635773809502</v>
      </c>
      <c r="I127">
        <v>107.37164306640599</v>
      </c>
      <c r="J127">
        <v>0</v>
      </c>
      <c r="K127">
        <v>1657.00927734375</v>
      </c>
      <c r="L127">
        <v>66.101530481557404</v>
      </c>
      <c r="M127">
        <v>1559.77519851434</v>
      </c>
      <c r="N127">
        <v>149.36198100105699</v>
      </c>
      <c r="O127">
        <v>63.990690074983199</v>
      </c>
      <c r="P127">
        <v>25.110418319702099</v>
      </c>
      <c r="Q127">
        <v>34.387992858886697</v>
      </c>
      <c r="R127">
        <v>146.56327819824199</v>
      </c>
      <c r="S127">
        <v>2.1521685123443599</v>
      </c>
      <c r="T127">
        <v>10.7500009536743</v>
      </c>
    </row>
    <row r="128" spans="1:20" x14ac:dyDescent="0.35">
      <c r="A128">
        <v>2.5611013836490599</v>
      </c>
      <c r="B128">
        <v>98</v>
      </c>
      <c r="C128">
        <v>112.95513916015599</v>
      </c>
      <c r="D128">
        <v>0.605571815927053</v>
      </c>
      <c r="E128">
        <v>1</v>
      </c>
      <c r="F128">
        <v>2.6423259244819501</v>
      </c>
      <c r="G128">
        <v>97.140645173540804</v>
      </c>
      <c r="H128">
        <v>2.331976</v>
      </c>
      <c r="I128">
        <v>119.02700805664099</v>
      </c>
      <c r="J128">
        <v>0</v>
      </c>
      <c r="K128">
        <v>2661.39111328125</v>
      </c>
      <c r="L128">
        <v>71.313389762503206</v>
      </c>
      <c r="M128">
        <v>1671.4903544441599</v>
      </c>
      <c r="N128">
        <v>149.08776480252601</v>
      </c>
      <c r="O128">
        <v>68.061406932893306</v>
      </c>
      <c r="P128">
        <v>22.805534362793001</v>
      </c>
      <c r="Q128">
        <v>30.167385101318398</v>
      </c>
      <c r="R128">
        <v>106.164688110352</v>
      </c>
      <c r="S128">
        <v>2.33504438400269</v>
      </c>
      <c r="T128">
        <v>15.371862411499</v>
      </c>
    </row>
    <row r="129" spans="1:20" x14ac:dyDescent="0.35">
      <c r="A129">
        <v>3.17609125905568</v>
      </c>
      <c r="B129">
        <v>251</v>
      </c>
      <c r="C129">
        <v>819.19049072265602</v>
      </c>
      <c r="D129">
        <v>0.224538406132443</v>
      </c>
      <c r="E129">
        <v>0.14020517497721199</v>
      </c>
      <c r="F129">
        <v>29.792870367738701</v>
      </c>
      <c r="G129">
        <v>69.9068508673802</v>
      </c>
      <c r="H129">
        <v>5.0558207861635198</v>
      </c>
      <c r="I129">
        <v>37.332145690917997</v>
      </c>
      <c r="J129">
        <v>0</v>
      </c>
      <c r="K129">
        <v>1022.8154296875</v>
      </c>
      <c r="L129">
        <v>46.114685152397797</v>
      </c>
      <c r="M129">
        <v>1175.49738449347</v>
      </c>
      <c r="N129">
        <v>170.092051271532</v>
      </c>
      <c r="O129">
        <v>52.011831064693297</v>
      </c>
      <c r="P129">
        <v>10.180139541626</v>
      </c>
      <c r="Q129">
        <v>35.367752075195298</v>
      </c>
      <c r="R129">
        <v>172.56155395507801</v>
      </c>
      <c r="S129">
        <v>2.8412454128265399</v>
      </c>
      <c r="T129">
        <v>17.860000610351602</v>
      </c>
    </row>
    <row r="130" spans="1:20" x14ac:dyDescent="0.35">
      <c r="A130">
        <v>1.8573324964312701</v>
      </c>
      <c r="B130">
        <v>35</v>
      </c>
      <c r="C130">
        <v>84.530220031738295</v>
      </c>
      <c r="D130">
        <v>0.32092737303166902</v>
      </c>
      <c r="E130">
        <v>1</v>
      </c>
      <c r="F130">
        <v>44.211869561241798</v>
      </c>
      <c r="G130">
        <v>53.299520057448603</v>
      </c>
      <c r="H130">
        <v>0.64409473913043502</v>
      </c>
      <c r="I130">
        <v>86.045379638671903</v>
      </c>
      <c r="J130">
        <v>0</v>
      </c>
      <c r="K130">
        <v>649.09808349609398</v>
      </c>
      <c r="L130">
        <v>15.985252446815601</v>
      </c>
      <c r="M130">
        <v>723.80295150006395</v>
      </c>
      <c r="N130">
        <v>147.182683725826</v>
      </c>
      <c r="O130">
        <v>44.410108222336099</v>
      </c>
      <c r="P130">
        <v>10.182146072387701</v>
      </c>
      <c r="Q130">
        <v>20.597263336181602</v>
      </c>
      <c r="R130">
        <v>38.3928031921387</v>
      </c>
      <c r="S130">
        <v>2.1878526210784899</v>
      </c>
      <c r="T130">
        <v>19.624700546264599</v>
      </c>
    </row>
    <row r="131" spans="1:20" x14ac:dyDescent="0.35">
      <c r="A131">
        <v>2.3324384599156098</v>
      </c>
      <c r="B131">
        <v>203</v>
      </c>
      <c r="C131">
        <v>101.783561706543</v>
      </c>
      <c r="D131">
        <v>0.49069613920865301</v>
      </c>
      <c r="E131">
        <v>1</v>
      </c>
      <c r="F131">
        <v>2.20034523786659</v>
      </c>
      <c r="G131">
        <v>97.254657600381705</v>
      </c>
      <c r="H131">
        <v>0.96761575333333305</v>
      </c>
      <c r="I131">
        <v>58.231025695800803</v>
      </c>
      <c r="J131">
        <v>0</v>
      </c>
      <c r="K131">
        <v>743.22644042968795</v>
      </c>
      <c r="L131">
        <v>22.559213325625599</v>
      </c>
      <c r="M131">
        <v>885.61909159675997</v>
      </c>
      <c r="N131">
        <v>148.27605125552299</v>
      </c>
      <c r="O131">
        <v>51.3369931080302</v>
      </c>
      <c r="P131">
        <v>22.568080902099599</v>
      </c>
      <c r="Q131">
        <v>28.4686794281006</v>
      </c>
      <c r="R131">
        <v>71.202056884765597</v>
      </c>
      <c r="S131">
        <v>2.1538400650024401</v>
      </c>
      <c r="T131">
        <v>11.3436393737793</v>
      </c>
    </row>
    <row r="132" spans="1:20" x14ac:dyDescent="0.35">
      <c r="A132">
        <v>2.3263358609287499</v>
      </c>
      <c r="B132">
        <v>267</v>
      </c>
      <c r="C132">
        <v>22.357303619384801</v>
      </c>
      <c r="D132">
        <v>0.62274243001290597</v>
      </c>
      <c r="E132">
        <v>1</v>
      </c>
      <c r="F132">
        <v>4.4836261796181596</v>
      </c>
      <c r="G132">
        <v>94.785226014946403</v>
      </c>
      <c r="H132">
        <v>0.85648922651933701</v>
      </c>
      <c r="I132">
        <v>72.769859313964801</v>
      </c>
      <c r="J132">
        <v>0</v>
      </c>
      <c r="K132">
        <v>988.30804443359398</v>
      </c>
      <c r="L132">
        <v>26.997531273325901</v>
      </c>
      <c r="M132">
        <v>1035.1360523661599</v>
      </c>
      <c r="N132">
        <v>148.416286531042</v>
      </c>
      <c r="O132">
        <v>59.353429512899403</v>
      </c>
      <c r="P132">
        <v>18.738155364990199</v>
      </c>
      <c r="Q132">
        <v>32.260543823242202</v>
      </c>
      <c r="R132">
        <v>86.071563720703097</v>
      </c>
      <c r="S132">
        <v>2.1547515392303498</v>
      </c>
      <c r="T132">
        <v>10.7499990463257</v>
      </c>
    </row>
    <row r="133" spans="1:20" x14ac:dyDescent="0.35">
      <c r="A133">
        <v>2.1139433523068401</v>
      </c>
      <c r="B133">
        <v>469</v>
      </c>
      <c r="C133">
        <v>7.86120557785034</v>
      </c>
      <c r="D133">
        <v>0.91443288778479104</v>
      </c>
      <c r="E133">
        <v>0.163675553815264</v>
      </c>
      <c r="F133">
        <v>25.260313114940399</v>
      </c>
      <c r="G133">
        <v>73.204211981246004</v>
      </c>
      <c r="H133">
        <v>3.5668159853801198</v>
      </c>
      <c r="I133">
        <v>105.58990478515599</v>
      </c>
      <c r="J133">
        <v>0</v>
      </c>
      <c r="K133">
        <v>2893.0625</v>
      </c>
      <c r="L133">
        <v>84.326742078437206</v>
      </c>
      <c r="M133">
        <v>1757.97590011847</v>
      </c>
      <c r="N133">
        <v>161.437998036869</v>
      </c>
      <c r="O133">
        <v>62.297242836873998</v>
      </c>
      <c r="P133">
        <v>11.262591361999499</v>
      </c>
      <c r="Q133">
        <v>21.341394424438501</v>
      </c>
      <c r="R133">
        <v>119.94165802002</v>
      </c>
      <c r="S133">
        <v>2.9103033542633101</v>
      </c>
      <c r="T133">
        <v>15.3044652938843</v>
      </c>
    </row>
    <row r="134" spans="1:20" x14ac:dyDescent="0.35">
      <c r="A134">
        <v>2.2148438480477002</v>
      </c>
      <c r="B134">
        <v>77</v>
      </c>
      <c r="C134">
        <v>55.192588806152301</v>
      </c>
      <c r="D134">
        <v>0.47027530441267101</v>
      </c>
      <c r="E134">
        <v>3.6683729181476298E-2</v>
      </c>
      <c r="F134">
        <v>35.781311373690897</v>
      </c>
      <c r="G134">
        <v>61.789164556588403</v>
      </c>
      <c r="H134">
        <v>0.75366128846153801</v>
      </c>
      <c r="I134">
        <v>222.30218505859401</v>
      </c>
      <c r="J134">
        <v>0</v>
      </c>
      <c r="K134">
        <v>607.44323730468795</v>
      </c>
      <c r="L134">
        <v>7.9148805571384102</v>
      </c>
      <c r="M134">
        <v>634.88046965051899</v>
      </c>
      <c r="N134">
        <v>147.77297023085299</v>
      </c>
      <c r="O134">
        <v>44.997306073298198</v>
      </c>
      <c r="P134">
        <v>9.2088356018066406</v>
      </c>
      <c r="Q134">
        <v>18.684078216552699</v>
      </c>
      <c r="R134">
        <v>37.3689155578613</v>
      </c>
      <c r="S134">
        <v>2.16585350036621</v>
      </c>
      <c r="T134">
        <v>25.824504852294901</v>
      </c>
    </row>
    <row r="135" spans="1:20" x14ac:dyDescent="0.35">
      <c r="A135">
        <v>2.2405492482825999</v>
      </c>
      <c r="B135">
        <v>67</v>
      </c>
      <c r="C135">
        <v>66.005088806152301</v>
      </c>
      <c r="D135">
        <v>0.49490302950028597</v>
      </c>
      <c r="E135">
        <v>7.4741258305324604E-3</v>
      </c>
      <c r="F135">
        <v>10.126669932035799</v>
      </c>
      <c r="G135">
        <v>89.625079204809893</v>
      </c>
      <c r="H135">
        <v>1.3242297804878</v>
      </c>
      <c r="I135">
        <v>72.865119934082003</v>
      </c>
      <c r="J135">
        <v>0</v>
      </c>
      <c r="K135">
        <v>753.98486328125</v>
      </c>
      <c r="L135">
        <v>19.081091536850199</v>
      </c>
      <c r="M135">
        <v>886.15116106877599</v>
      </c>
      <c r="N135">
        <v>148.248585435211</v>
      </c>
      <c r="O135">
        <v>54.837284776030998</v>
      </c>
      <c r="P135">
        <v>19.8503227233887</v>
      </c>
      <c r="Q135">
        <v>30.55859375</v>
      </c>
      <c r="R135">
        <v>99.273048400878906</v>
      </c>
      <c r="S135">
        <v>2.1553268432617201</v>
      </c>
      <c r="T135">
        <v>10.7499990463257</v>
      </c>
    </row>
    <row r="136" spans="1:20" x14ac:dyDescent="0.35">
      <c r="A136">
        <v>1.86923171973098</v>
      </c>
      <c r="B136">
        <v>122</v>
      </c>
      <c r="C136">
        <v>121.058349609375</v>
      </c>
      <c r="D136">
        <v>0.388075707925296</v>
      </c>
      <c r="E136">
        <v>0.16131540285752199</v>
      </c>
      <c r="F136">
        <v>6.3703976538470704</v>
      </c>
      <c r="G136">
        <v>93.344683749410905</v>
      </c>
      <c r="H136">
        <v>1.1110765764705901</v>
      </c>
      <c r="I136">
        <v>82.868827819824205</v>
      </c>
      <c r="J136">
        <v>0</v>
      </c>
      <c r="K136">
        <v>693.62542724609398</v>
      </c>
      <c r="L136">
        <v>20.3200127804866</v>
      </c>
      <c r="M136">
        <v>839.89567590932404</v>
      </c>
      <c r="N136">
        <v>147.92838625048</v>
      </c>
      <c r="O136">
        <v>49.743849769967497</v>
      </c>
      <c r="P136">
        <v>21.1060466766357</v>
      </c>
      <c r="Q136">
        <v>28.1995849609375</v>
      </c>
      <c r="R136">
        <v>90.887268066406193</v>
      </c>
      <c r="S136">
        <v>2.1578609943389901</v>
      </c>
      <c r="T136">
        <v>11.5201320648193</v>
      </c>
    </row>
    <row r="137" spans="1:20" x14ac:dyDescent="0.35">
      <c r="A137">
        <v>2.0334237554869499</v>
      </c>
      <c r="B137">
        <v>332</v>
      </c>
      <c r="C137">
        <v>27.552217483520501</v>
      </c>
      <c r="D137">
        <v>0.49406955265116997</v>
      </c>
      <c r="E137">
        <v>0.85447677169720904</v>
      </c>
      <c r="F137">
        <v>22.4508986991429</v>
      </c>
      <c r="G137">
        <v>74.884748272161801</v>
      </c>
      <c r="H137">
        <v>0.82459732160804</v>
      </c>
      <c r="I137">
        <v>223.89936828613301</v>
      </c>
      <c r="J137">
        <v>0</v>
      </c>
      <c r="K137">
        <v>661.19219970703102</v>
      </c>
      <c r="L137">
        <v>16.120741222725499</v>
      </c>
      <c r="M137">
        <v>750.88227919281496</v>
      </c>
      <c r="N137">
        <v>147.46611548251801</v>
      </c>
      <c r="O137">
        <v>46.512471808761802</v>
      </c>
      <c r="P137">
        <v>13.904639244079601</v>
      </c>
      <c r="Q137">
        <v>23.8013515472412</v>
      </c>
      <c r="R137">
        <v>55.190589904785199</v>
      </c>
      <c r="S137">
        <v>2.1733245849609402</v>
      </c>
      <c r="T137">
        <v>22.758043289184599</v>
      </c>
    </row>
    <row r="138" spans="1:20" x14ac:dyDescent="0.35">
      <c r="A138">
        <v>1.77085201164214</v>
      </c>
      <c r="B138">
        <v>191</v>
      </c>
      <c r="C138">
        <v>178.84619140625</v>
      </c>
      <c r="D138">
        <v>0.46337249951951898</v>
      </c>
      <c r="E138">
        <v>3.6437676703890802E-3</v>
      </c>
      <c r="F138">
        <v>1.73913790730996</v>
      </c>
      <c r="G138">
        <v>98.253895173858197</v>
      </c>
      <c r="H138">
        <v>4.6240703716814204</v>
      </c>
      <c r="I138">
        <v>103.77954864502</v>
      </c>
      <c r="J138">
        <v>0</v>
      </c>
      <c r="K138">
        <v>1960.98791503906</v>
      </c>
      <c r="L138">
        <v>74.253733212830596</v>
      </c>
      <c r="M138">
        <v>1621.42127265305</v>
      </c>
      <c r="N138">
        <v>162.95228576660199</v>
      </c>
      <c r="O138">
        <v>61.010756820928897</v>
      </c>
      <c r="P138">
        <v>21.776006698608398</v>
      </c>
      <c r="Q138">
        <v>28.433280944824201</v>
      </c>
      <c r="R138">
        <v>221.98236083984401</v>
      </c>
      <c r="S138">
        <v>2.8904232978820801</v>
      </c>
      <c r="T138">
        <v>17.860000610351602</v>
      </c>
    </row>
    <row r="139" spans="1:20" x14ac:dyDescent="0.35">
      <c r="A139">
        <v>1.3802112417116099</v>
      </c>
      <c r="B139">
        <v>52</v>
      </c>
      <c r="C139">
        <v>100.866165161133</v>
      </c>
      <c r="D139">
        <v>0.44426184185560802</v>
      </c>
      <c r="E139">
        <v>2.2084213246955798E-3</v>
      </c>
      <c r="F139">
        <v>24.582238431354799</v>
      </c>
      <c r="G139">
        <v>74.680545291141996</v>
      </c>
      <c r="H139">
        <v>0.91613512121212104</v>
      </c>
      <c r="I139">
        <v>352.05862426757801</v>
      </c>
      <c r="J139">
        <v>0</v>
      </c>
      <c r="K139">
        <v>653.17071533203102</v>
      </c>
      <c r="L139">
        <v>8.9793560348573305</v>
      </c>
      <c r="M139">
        <v>701.02385023773695</v>
      </c>
      <c r="N139">
        <v>148.285840894355</v>
      </c>
      <c r="O139">
        <v>49.462696200511502</v>
      </c>
      <c r="P139">
        <v>7.5384826660156197</v>
      </c>
      <c r="Q139">
        <v>25.227869033813501</v>
      </c>
      <c r="R139">
        <v>70.971237182617202</v>
      </c>
      <c r="S139">
        <v>2.16069555282593</v>
      </c>
      <c r="T139">
        <v>30.129999160766602</v>
      </c>
    </row>
    <row r="140" spans="1:20" x14ac:dyDescent="0.35">
      <c r="A140">
        <v>1.8573324964312701</v>
      </c>
      <c r="B140">
        <v>120</v>
      </c>
      <c r="C140">
        <v>134.87666320800801</v>
      </c>
      <c r="D140">
        <v>0.43007975498043</v>
      </c>
      <c r="E140">
        <v>1</v>
      </c>
      <c r="F140">
        <v>0.61423502616381098</v>
      </c>
      <c r="G140">
        <v>99.332129725966894</v>
      </c>
      <c r="H140">
        <v>3.9683667702702698</v>
      </c>
      <c r="I140">
        <v>96.703315734863295</v>
      </c>
      <c r="J140">
        <v>0</v>
      </c>
      <c r="K140">
        <v>2271.39038085938</v>
      </c>
      <c r="L140">
        <v>77.181162912337498</v>
      </c>
      <c r="M140">
        <v>1702.4113469358399</v>
      </c>
      <c r="N140">
        <v>161.63763577820799</v>
      </c>
      <c r="O140">
        <v>64.793748073890598</v>
      </c>
      <c r="P140">
        <v>23.486516952514599</v>
      </c>
      <c r="Q140">
        <v>26.201635360717798</v>
      </c>
      <c r="R140">
        <v>211.01609802246099</v>
      </c>
      <c r="S140">
        <v>2.8201315402984601</v>
      </c>
      <c r="T140">
        <v>17.860000610351602</v>
      </c>
    </row>
    <row r="141" spans="1:20" x14ac:dyDescent="0.35">
      <c r="A141">
        <v>2.17609125905568</v>
      </c>
      <c r="B141">
        <v>3.9</v>
      </c>
      <c r="C141">
        <v>28.556066513061499</v>
      </c>
      <c r="D141">
        <v>0.57436942481040998</v>
      </c>
      <c r="E141">
        <v>1</v>
      </c>
      <c r="F141">
        <v>4.7679514474765101</v>
      </c>
      <c r="G141">
        <v>94.257360879669207</v>
      </c>
      <c r="H141">
        <v>0.95861766666666703</v>
      </c>
      <c r="I141">
        <v>147.54373168945301</v>
      </c>
      <c r="J141">
        <v>0</v>
      </c>
      <c r="K141">
        <v>4513.1640625</v>
      </c>
      <c r="L141">
        <v>113.066774337018</v>
      </c>
      <c r="M141">
        <v>2230.8502097208002</v>
      </c>
      <c r="N141">
        <v>159.236620043145</v>
      </c>
      <c r="O141">
        <v>72.918874021436395</v>
      </c>
      <c r="P141">
        <v>9.9331703186035192</v>
      </c>
      <c r="Q141">
        <v>11.9284467697144</v>
      </c>
      <c r="R141">
        <v>68.831748962402301</v>
      </c>
      <c r="S141">
        <v>2.7871930599212602</v>
      </c>
      <c r="T141">
        <v>17.860000610351602</v>
      </c>
    </row>
    <row r="142" spans="1:20" x14ac:dyDescent="0.35">
      <c r="A142">
        <v>2.2624510897304302</v>
      </c>
      <c r="B142">
        <v>426</v>
      </c>
      <c r="C142">
        <v>37.646957397460902</v>
      </c>
      <c r="D142">
        <v>0.53638236013390805</v>
      </c>
      <c r="E142">
        <v>5.7074777224185601E-2</v>
      </c>
      <c r="F142">
        <v>4.9460466940317396</v>
      </c>
      <c r="G142">
        <v>94.181544886884694</v>
      </c>
      <c r="H142">
        <v>0.94531465780730894</v>
      </c>
      <c r="I142">
        <v>65.693336486816406</v>
      </c>
      <c r="J142">
        <v>0</v>
      </c>
      <c r="K142">
        <v>723.28118896484398</v>
      </c>
      <c r="L142">
        <v>21.3179765842</v>
      </c>
      <c r="M142">
        <v>853.39988033107102</v>
      </c>
      <c r="N142">
        <v>148.09671070536601</v>
      </c>
      <c r="O142">
        <v>49.8868400698803</v>
      </c>
      <c r="P142">
        <v>20.572084426879901</v>
      </c>
      <c r="Q142">
        <v>27.987991333007798</v>
      </c>
      <c r="R142">
        <v>70.564567565917997</v>
      </c>
      <c r="S142">
        <v>2.15523338317871</v>
      </c>
      <c r="T142">
        <v>13.700389862060501</v>
      </c>
    </row>
    <row r="143" spans="1:20" x14ac:dyDescent="0.35">
      <c r="A143">
        <v>2.63648789635337</v>
      </c>
      <c r="B143">
        <v>1610</v>
      </c>
      <c r="C143">
        <v>45.7267036437988</v>
      </c>
      <c r="D143">
        <v>0.779863591259773</v>
      </c>
      <c r="E143">
        <v>1.06507393784689E-2</v>
      </c>
      <c r="F143">
        <v>11.0686862241207</v>
      </c>
      <c r="G143">
        <v>86.308090878391894</v>
      </c>
      <c r="H143">
        <v>0.92198782664054801</v>
      </c>
      <c r="I143">
        <v>52.309238433837898</v>
      </c>
      <c r="J143">
        <v>0</v>
      </c>
      <c r="K143">
        <v>1237.58923339844</v>
      </c>
      <c r="L143">
        <v>49.7452606138636</v>
      </c>
      <c r="M143">
        <v>1306.82471503586</v>
      </c>
      <c r="N143">
        <v>148.212663494173</v>
      </c>
      <c r="O143">
        <v>59.259825346899802</v>
      </c>
      <c r="P143">
        <v>19.354415893554702</v>
      </c>
      <c r="Q143">
        <v>33.239421844482401</v>
      </c>
      <c r="R143">
        <v>59.554714202880902</v>
      </c>
      <c r="S143">
        <v>2.1682403087615998</v>
      </c>
      <c r="T143">
        <v>10.6369524002075</v>
      </c>
    </row>
    <row r="144" spans="1:20" x14ac:dyDescent="0.35">
      <c r="A144">
        <v>2.3820170425748701</v>
      </c>
      <c r="B144">
        <v>1493</v>
      </c>
      <c r="C144">
        <v>209.25193786621099</v>
      </c>
      <c r="D144">
        <v>0.681261010678889</v>
      </c>
      <c r="E144">
        <v>1.02096657751311</v>
      </c>
      <c r="F144">
        <v>10.4724022010836</v>
      </c>
      <c r="G144">
        <v>87.1028318223958</v>
      </c>
      <c r="H144">
        <v>2.2610092936344999</v>
      </c>
      <c r="I144">
        <v>37.696994781494098</v>
      </c>
      <c r="J144">
        <v>0.62450229260674295</v>
      </c>
      <c r="K144">
        <v>1313.5419921875</v>
      </c>
      <c r="L144">
        <v>60.997450969258303</v>
      </c>
      <c r="M144">
        <v>1407.84352386975</v>
      </c>
      <c r="N144">
        <v>148.97088873191001</v>
      </c>
      <c r="O144">
        <v>56.452380195992902</v>
      </c>
      <c r="P144">
        <v>22.064048767089801</v>
      </c>
      <c r="Q144">
        <v>35.516078948974602</v>
      </c>
      <c r="R144">
        <v>107.304000854492</v>
      </c>
      <c r="S144">
        <v>2.1459169387817401</v>
      </c>
      <c r="T144">
        <v>10.379958152771</v>
      </c>
    </row>
    <row r="145" spans="1:20" x14ac:dyDescent="0.35">
      <c r="A145">
        <v>2.1492191126553801</v>
      </c>
      <c r="B145">
        <v>768</v>
      </c>
      <c r="C145">
        <v>221.79849243164099</v>
      </c>
      <c r="D145">
        <v>0.63498891241836497</v>
      </c>
      <c r="E145">
        <v>5.2420625836728303E-2</v>
      </c>
      <c r="F145">
        <v>11.6943609085519</v>
      </c>
      <c r="G145">
        <v>86.547746555703398</v>
      </c>
      <c r="H145">
        <v>1.8004319307535599</v>
      </c>
      <c r="I145">
        <v>28.1155681610107</v>
      </c>
      <c r="J145">
        <v>0</v>
      </c>
      <c r="K145">
        <v>1278.64526367188</v>
      </c>
      <c r="L145">
        <v>49.998306649630202</v>
      </c>
      <c r="M145">
        <v>1271.52754386527</v>
      </c>
      <c r="N145">
        <v>149.20752953701299</v>
      </c>
      <c r="O145">
        <v>56.104015975701998</v>
      </c>
      <c r="P145">
        <v>20.3008213043213</v>
      </c>
      <c r="Q145">
        <v>34.344966888427699</v>
      </c>
      <c r="R145">
        <v>65.483177185058594</v>
      </c>
      <c r="S145">
        <v>2.1657397747039799</v>
      </c>
      <c r="T145">
        <v>11.2654314041138</v>
      </c>
    </row>
    <row r="146" spans="1:20" x14ac:dyDescent="0.35">
      <c r="A146">
        <v>2.2174839442139098</v>
      </c>
      <c r="B146">
        <v>1181</v>
      </c>
      <c r="C146">
        <v>643.27532958984398</v>
      </c>
      <c r="D146">
        <v>0.294367162905599</v>
      </c>
      <c r="E146">
        <v>5.7609302970817504</v>
      </c>
      <c r="F146">
        <v>13.782839035689101</v>
      </c>
      <c r="G146">
        <v>79.262729536721693</v>
      </c>
      <c r="H146">
        <v>4.3994129022346398</v>
      </c>
      <c r="I146">
        <v>34.426727294921903</v>
      </c>
      <c r="J146">
        <v>6.9612229806624404</v>
      </c>
      <c r="K146">
        <v>1056.12475585938</v>
      </c>
      <c r="L146">
        <v>66.186523625108094</v>
      </c>
      <c r="M146">
        <v>1342.9521594438399</v>
      </c>
      <c r="N146">
        <v>151.63498475121699</v>
      </c>
      <c r="O146">
        <v>45.8720150306577</v>
      </c>
      <c r="P146">
        <v>22.450941085815401</v>
      </c>
      <c r="Q146">
        <v>34.2509574890137</v>
      </c>
      <c r="R146">
        <v>213.64988708496099</v>
      </c>
      <c r="S146">
        <v>2.6586461067199698</v>
      </c>
      <c r="T146">
        <v>11.6445827484131</v>
      </c>
    </row>
    <row r="147" spans="1:20" x14ac:dyDescent="0.35">
      <c r="A147">
        <v>2.3096301674259001</v>
      </c>
      <c r="B147">
        <v>1291</v>
      </c>
      <c r="C147">
        <v>535.48297119140602</v>
      </c>
      <c r="D147">
        <v>0.31400574588850899</v>
      </c>
      <c r="E147">
        <v>5.2713829914766999</v>
      </c>
      <c r="F147">
        <v>12.998375384047099</v>
      </c>
      <c r="G147">
        <v>80.593494990224301</v>
      </c>
      <c r="H147">
        <v>4.3411718812260496</v>
      </c>
      <c r="I147">
        <v>33.075820922851598</v>
      </c>
      <c r="J147">
        <v>6.9612229806624404</v>
      </c>
      <c r="K147">
        <v>1077.39501953125</v>
      </c>
      <c r="L147">
        <v>65.399717424736707</v>
      </c>
      <c r="M147">
        <v>1342.0045666303799</v>
      </c>
      <c r="N147">
        <v>151.50432874335601</v>
      </c>
      <c r="O147">
        <v>46.583518294037397</v>
      </c>
      <c r="P147">
        <v>22.697807312011701</v>
      </c>
      <c r="Q147">
        <v>34.341442108154297</v>
      </c>
      <c r="R147">
        <v>206.42855834960901</v>
      </c>
      <c r="S147">
        <v>2.62219285964966</v>
      </c>
      <c r="T147">
        <v>11.465742111206101</v>
      </c>
    </row>
    <row r="148" spans="1:20" x14ac:dyDescent="0.35">
      <c r="A148">
        <v>2.3729120029701098</v>
      </c>
      <c r="B148">
        <v>1876</v>
      </c>
      <c r="C148">
        <v>403.85134887695301</v>
      </c>
      <c r="D148">
        <v>0.39684401035961298</v>
      </c>
      <c r="E148">
        <v>3.6855015387577401</v>
      </c>
      <c r="F148">
        <v>10.907026150455399</v>
      </c>
      <c r="G148">
        <v>84.512057346769595</v>
      </c>
      <c r="H148">
        <v>3.6005360241171398</v>
      </c>
      <c r="I148">
        <v>27.9021701812744</v>
      </c>
      <c r="J148">
        <v>6.9612229806624404</v>
      </c>
      <c r="K148">
        <v>1149.67407226562</v>
      </c>
      <c r="L148">
        <v>59.889052031470101</v>
      </c>
      <c r="M148">
        <v>1310.4145047547399</v>
      </c>
      <c r="N148">
        <v>151.23056105316701</v>
      </c>
      <c r="O148">
        <v>49.474818870669502</v>
      </c>
      <c r="P148">
        <v>22.9139404296875</v>
      </c>
      <c r="Q148">
        <v>34.050300598144503</v>
      </c>
      <c r="R148">
        <v>171.35430908203099</v>
      </c>
      <c r="S148">
        <v>2.5368494987487802</v>
      </c>
      <c r="T148">
        <v>11.893861770629901</v>
      </c>
    </row>
    <row r="149" spans="1:20" x14ac:dyDescent="0.35">
      <c r="A149">
        <v>2.45636603312904</v>
      </c>
      <c r="B149">
        <v>2311</v>
      </c>
      <c r="C149">
        <v>248.47865295410199</v>
      </c>
      <c r="D149">
        <v>0.498089516606738</v>
      </c>
      <c r="E149">
        <v>2.96920771731748</v>
      </c>
      <c r="F149">
        <v>12.013664676708499</v>
      </c>
      <c r="G149">
        <v>83.512527485625299</v>
      </c>
      <c r="H149">
        <v>3.06371226045884</v>
      </c>
      <c r="I149">
        <v>25.612695693969702</v>
      </c>
      <c r="J149">
        <v>6.9612229806624404</v>
      </c>
      <c r="K149">
        <v>1183.13439941406</v>
      </c>
      <c r="L149">
        <v>55.639408862004501</v>
      </c>
      <c r="M149">
        <v>1279.7178865026301</v>
      </c>
      <c r="N149">
        <v>150.85810001560901</v>
      </c>
      <c r="O149">
        <v>51.163146534904101</v>
      </c>
      <c r="P149">
        <v>21.926679611206101</v>
      </c>
      <c r="Q149">
        <v>33.581707000732401</v>
      </c>
      <c r="R149">
        <v>147.33073425293</v>
      </c>
      <c r="S149">
        <v>2.4758751392364502</v>
      </c>
      <c r="T149">
        <v>11.578406333923301</v>
      </c>
    </row>
    <row r="150" spans="1:20" x14ac:dyDescent="0.35">
      <c r="A150">
        <v>2.5352941200427699</v>
      </c>
      <c r="B150">
        <v>296</v>
      </c>
      <c r="C150">
        <v>18.149246215820298</v>
      </c>
      <c r="D150">
        <v>0.58827325293740795</v>
      </c>
      <c r="E150">
        <v>4.8797568209888197E-2</v>
      </c>
      <c r="F150">
        <v>5.6383641617829099</v>
      </c>
      <c r="G150">
        <v>93.193148012891797</v>
      </c>
      <c r="H150">
        <v>3.30590349079755</v>
      </c>
      <c r="I150">
        <v>119.02700805664099</v>
      </c>
      <c r="J150">
        <v>0</v>
      </c>
      <c r="K150">
        <v>2054.52954101562</v>
      </c>
      <c r="L150">
        <v>73.707822455734501</v>
      </c>
      <c r="M150">
        <v>1616.3920658299201</v>
      </c>
      <c r="N150">
        <v>148.72679963659101</v>
      </c>
      <c r="O150">
        <v>61.117888653864597</v>
      </c>
      <c r="P150">
        <v>26.320793151855501</v>
      </c>
      <c r="Q150">
        <v>33.627388000488303</v>
      </c>
      <c r="R150">
        <v>176.463302612305</v>
      </c>
      <c r="S150">
        <v>2.2367081642150901</v>
      </c>
      <c r="T150">
        <v>12.481931686401399</v>
      </c>
    </row>
    <row r="151" spans="1:20" x14ac:dyDescent="0.35">
      <c r="A151">
        <v>2.6541765418779599</v>
      </c>
      <c r="B151">
        <v>807</v>
      </c>
      <c r="C151">
        <v>324.77630615234398</v>
      </c>
      <c r="D151">
        <v>0.42681418514175401</v>
      </c>
      <c r="E151">
        <v>6.2827569412430302</v>
      </c>
      <c r="F151">
        <v>16.7110975883718</v>
      </c>
      <c r="G151">
        <v>76.416757209515794</v>
      </c>
      <c r="H151">
        <v>5.3860652983293598</v>
      </c>
      <c r="I151">
        <v>111.25008392334</v>
      </c>
      <c r="J151">
        <v>2.39895542186783</v>
      </c>
      <c r="K151">
        <v>1358.0634765625</v>
      </c>
      <c r="L151">
        <v>74.217599962578404</v>
      </c>
      <c r="M151">
        <v>1465.8685963114799</v>
      </c>
      <c r="N151">
        <v>152.04305029697099</v>
      </c>
      <c r="O151">
        <v>48.076575982766101</v>
      </c>
      <c r="P151">
        <v>20.471138000488299</v>
      </c>
      <c r="Q151">
        <v>34.507022857666001</v>
      </c>
      <c r="R151">
        <v>231.20851135253901</v>
      </c>
      <c r="S151">
        <v>3.23007035255432</v>
      </c>
      <c r="T151">
        <v>8.6899080276489293</v>
      </c>
    </row>
    <row r="152" spans="1:20" x14ac:dyDescent="0.35">
      <c r="A152">
        <v>2.9532763366673001</v>
      </c>
      <c r="B152">
        <v>862</v>
      </c>
      <c r="C152">
        <v>102.30207824707</v>
      </c>
      <c r="D152">
        <v>0.48551650759989101</v>
      </c>
      <c r="E152">
        <v>5.6052126943879301</v>
      </c>
      <c r="F152">
        <v>15.561267084793901</v>
      </c>
      <c r="G152">
        <v>78.2185925023458</v>
      </c>
      <c r="H152">
        <v>5.0947698783505198</v>
      </c>
      <c r="I152">
        <v>112.102378845215</v>
      </c>
      <c r="J152">
        <v>2.39895542186783</v>
      </c>
      <c r="K152">
        <v>1479.7119140625</v>
      </c>
      <c r="L152">
        <v>74.132647279833193</v>
      </c>
      <c r="M152">
        <v>1485.8690685834999</v>
      </c>
      <c r="N152">
        <v>151.81305707087299</v>
      </c>
      <c r="O152">
        <v>49.823145756956002</v>
      </c>
      <c r="P152">
        <v>20.985895156860401</v>
      </c>
      <c r="Q152">
        <v>34.147228240966797</v>
      </c>
      <c r="R152">
        <v>225.04098510742199</v>
      </c>
      <c r="S152">
        <v>3.1595275402069101</v>
      </c>
      <c r="T152">
        <v>9.0488729476928693</v>
      </c>
    </row>
    <row r="153" spans="1:20" x14ac:dyDescent="0.35">
      <c r="A153">
        <v>2.6720978579357202</v>
      </c>
      <c r="B153">
        <v>1510</v>
      </c>
      <c r="C153">
        <v>6.0252552032470703</v>
      </c>
      <c r="D153">
        <v>0.40515323655038998</v>
      </c>
      <c r="E153">
        <v>7.2982781561780596</v>
      </c>
      <c r="F153">
        <v>22.323517689649801</v>
      </c>
      <c r="G153">
        <v>68.752593859102802</v>
      </c>
      <c r="H153">
        <v>6.1570301778017198</v>
      </c>
      <c r="I153">
        <v>33.403835296630902</v>
      </c>
      <c r="J153">
        <v>9.7033468774578697</v>
      </c>
      <c r="K153">
        <v>1374.970703125</v>
      </c>
      <c r="L153">
        <v>75.279397808137503</v>
      </c>
      <c r="M153">
        <v>1462.9300417040199</v>
      </c>
      <c r="N153">
        <v>153.77852192863099</v>
      </c>
      <c r="O153">
        <v>46.756566907538698</v>
      </c>
      <c r="P153">
        <v>17.1300659179688</v>
      </c>
      <c r="Q153">
        <v>34.378547668457003</v>
      </c>
      <c r="R153">
        <v>248.57075500488301</v>
      </c>
      <c r="S153">
        <v>3.6818280220031698</v>
      </c>
      <c r="T153">
        <v>12.037743568420399</v>
      </c>
    </row>
    <row r="154" spans="1:20" x14ac:dyDescent="0.35">
      <c r="A154">
        <v>2.6127838567197399</v>
      </c>
      <c r="B154">
        <v>2020</v>
      </c>
      <c r="C154">
        <v>20.6349773406982</v>
      </c>
      <c r="D154">
        <v>0.43829897480024199</v>
      </c>
      <c r="E154">
        <v>9.0509499780146303</v>
      </c>
      <c r="F154">
        <v>20.032925692244799</v>
      </c>
      <c r="G154">
        <v>64.291140856888703</v>
      </c>
      <c r="H154">
        <v>6.3116698665028697</v>
      </c>
      <c r="I154">
        <v>11.3390550613403</v>
      </c>
      <c r="J154">
        <v>64.766192211647194</v>
      </c>
      <c r="K154">
        <v>1407.21020507812</v>
      </c>
      <c r="L154">
        <v>81.086044686739598</v>
      </c>
      <c r="M154">
        <v>1515.2377689549201</v>
      </c>
      <c r="N154">
        <v>156.423021910621</v>
      </c>
      <c r="O154">
        <v>45.315798337342301</v>
      </c>
      <c r="P154">
        <v>16.345359802246101</v>
      </c>
      <c r="Q154">
        <v>34.412849426269503</v>
      </c>
      <c r="R154">
        <v>261.79278564453102</v>
      </c>
      <c r="S154">
        <v>3.7404930591583301</v>
      </c>
      <c r="T154">
        <v>10.498847961425801</v>
      </c>
    </row>
    <row r="155" spans="1:20" x14ac:dyDescent="0.35">
      <c r="A155">
        <v>2.7403626894942401</v>
      </c>
      <c r="B155">
        <v>1760</v>
      </c>
      <c r="C155">
        <v>1081.44836425781</v>
      </c>
      <c r="D155">
        <v>0.27359913798358598</v>
      </c>
      <c r="E155">
        <v>14.5245268725876</v>
      </c>
      <c r="F155">
        <v>27.827552061578</v>
      </c>
      <c r="G155">
        <v>36.965121324022697</v>
      </c>
      <c r="H155">
        <v>6.6152608053753497</v>
      </c>
      <c r="I155">
        <v>4.7162437438964799</v>
      </c>
      <c r="J155">
        <v>269.25168192018998</v>
      </c>
      <c r="K155">
        <v>784.28576660156205</v>
      </c>
      <c r="L155">
        <v>63.1394635184867</v>
      </c>
      <c r="M155">
        <v>1199.6021038117999</v>
      </c>
      <c r="N155">
        <v>160.57975268754799</v>
      </c>
      <c r="O155">
        <v>36.942840138419697</v>
      </c>
      <c r="P155">
        <v>18.102907180786101</v>
      </c>
      <c r="Q155">
        <v>36.452869415283203</v>
      </c>
      <c r="R155">
        <v>275.89688110351602</v>
      </c>
      <c r="S155">
        <v>3.7350718975067099</v>
      </c>
      <c r="T155">
        <v>8.3109502792358398</v>
      </c>
    </row>
    <row r="156" spans="1:20" x14ac:dyDescent="0.35">
      <c r="A156">
        <v>2.43136376415899</v>
      </c>
      <c r="B156">
        <v>2780</v>
      </c>
      <c r="C156">
        <v>786.84661865234398</v>
      </c>
      <c r="D156">
        <v>0.29507938279455498</v>
      </c>
      <c r="E156">
        <v>13.6108196098065</v>
      </c>
      <c r="F156">
        <v>26.6234810607009</v>
      </c>
      <c r="G156">
        <v>43.926144450487797</v>
      </c>
      <c r="H156">
        <v>6.6564657277644201</v>
      </c>
      <c r="I156">
        <v>4.6662349700927699</v>
      </c>
      <c r="J156">
        <v>322.13282496469401</v>
      </c>
      <c r="K156">
        <v>841.93841552734398</v>
      </c>
      <c r="L156">
        <v>66.193813073830498</v>
      </c>
      <c r="M156">
        <v>1260.3235163454101</v>
      </c>
      <c r="N156">
        <v>160.347150458664</v>
      </c>
      <c r="O156">
        <v>38.9533838365899</v>
      </c>
      <c r="P156">
        <v>16.494489669799801</v>
      </c>
      <c r="Q156">
        <v>36.142791748046903</v>
      </c>
      <c r="R156">
        <v>272.34292602539102</v>
      </c>
      <c r="S156">
        <v>3.7377443313598602</v>
      </c>
      <c r="T156">
        <v>8.8258333206176793</v>
      </c>
    </row>
    <row r="157" spans="1:20" x14ac:dyDescent="0.35">
      <c r="A157">
        <v>2.93951925261862</v>
      </c>
      <c r="B157">
        <v>1450</v>
      </c>
      <c r="C157">
        <v>695.12005615234398</v>
      </c>
      <c r="D157">
        <v>0.285598073215175</v>
      </c>
      <c r="E157">
        <v>9.0542457990960301</v>
      </c>
      <c r="F157">
        <v>30.5816818232515</v>
      </c>
      <c r="G157">
        <v>58.015829098213302</v>
      </c>
      <c r="H157">
        <v>6.4796195977584103</v>
      </c>
      <c r="I157">
        <v>4.5620570182800302</v>
      </c>
      <c r="J157">
        <v>16.4751016212632</v>
      </c>
      <c r="K157">
        <v>956.55065917968795</v>
      </c>
      <c r="L157">
        <v>62.367899410060197</v>
      </c>
      <c r="M157">
        <v>1275.5888892001799</v>
      </c>
      <c r="N157">
        <v>160.32881639824501</v>
      </c>
      <c r="O157">
        <v>44.059828211049599</v>
      </c>
      <c r="P157">
        <v>10.169228553771999</v>
      </c>
      <c r="Q157">
        <v>35.214813232421903</v>
      </c>
      <c r="R157">
        <v>280.488525390625</v>
      </c>
      <c r="S157">
        <v>3.7203416824340798</v>
      </c>
      <c r="T157">
        <v>8.9852962493896502</v>
      </c>
    </row>
    <row r="158" spans="1:20" x14ac:dyDescent="0.35">
      <c r="A158">
        <v>3.04139268515822</v>
      </c>
      <c r="B158">
        <v>1700</v>
      </c>
      <c r="C158">
        <v>546.1796875</v>
      </c>
      <c r="D158">
        <v>0.33965457120055098</v>
      </c>
      <c r="E158">
        <v>7.6775304311375203</v>
      </c>
      <c r="F158">
        <v>30.018427941835299</v>
      </c>
      <c r="G158">
        <v>60.178506555051001</v>
      </c>
      <c r="H158">
        <v>6.2057787804632403</v>
      </c>
      <c r="I158">
        <v>6.3047413825988796</v>
      </c>
      <c r="J158">
        <v>16.4751016212632</v>
      </c>
      <c r="K158">
        <v>1078.89416503906</v>
      </c>
      <c r="L158">
        <v>63.028682833812297</v>
      </c>
      <c r="M158">
        <v>1300.8540439292999</v>
      </c>
      <c r="N158">
        <v>160.27032820904799</v>
      </c>
      <c r="O158">
        <v>45.514411738661501</v>
      </c>
      <c r="P158">
        <v>10.179607391357401</v>
      </c>
      <c r="Q158">
        <v>34.611286163330099</v>
      </c>
      <c r="R158">
        <v>265.68881225585898</v>
      </c>
      <c r="S158">
        <v>3.6789698600768999</v>
      </c>
      <c r="T158">
        <v>10.299985885620099</v>
      </c>
    </row>
    <row r="159" spans="1:20" x14ac:dyDescent="0.35">
      <c r="A159">
        <v>2.43136376415899</v>
      </c>
      <c r="B159">
        <v>1950</v>
      </c>
      <c r="C159">
        <v>285.77816772460898</v>
      </c>
      <c r="D159">
        <v>0.39358379127315801</v>
      </c>
      <c r="E159">
        <v>6.7283323894897702</v>
      </c>
      <c r="F159">
        <v>27.826421039560401</v>
      </c>
      <c r="G159">
        <v>63.546952130136702</v>
      </c>
      <c r="H159">
        <v>5.96179516652212</v>
      </c>
      <c r="I159">
        <v>11.1154937744141</v>
      </c>
      <c r="J159">
        <v>16.4751016212632</v>
      </c>
      <c r="K159">
        <v>1211.42370605469</v>
      </c>
      <c r="L159">
        <v>64.009802708860306</v>
      </c>
      <c r="M159">
        <v>1331.7338296859</v>
      </c>
      <c r="N159">
        <v>160.23383293777201</v>
      </c>
      <c r="O159">
        <v>47.110539920994498</v>
      </c>
      <c r="P159">
        <v>10.765459060668899</v>
      </c>
      <c r="Q159">
        <v>34.082252502441399</v>
      </c>
      <c r="R159">
        <v>252.38375854492199</v>
      </c>
      <c r="S159">
        <v>3.61451292037964</v>
      </c>
      <c r="T159">
        <v>10.772946357727101</v>
      </c>
    </row>
    <row r="160" spans="1:20" x14ac:dyDescent="0.35">
      <c r="A160">
        <v>2.6989700043360201</v>
      </c>
      <c r="B160">
        <v>707</v>
      </c>
      <c r="C160">
        <v>1129.44567871094</v>
      </c>
      <c r="D160">
        <v>0.25575239120189902</v>
      </c>
      <c r="E160">
        <v>13.9207507986763</v>
      </c>
      <c r="F160">
        <v>29.469181814351199</v>
      </c>
      <c r="G160">
        <v>40.728136788470302</v>
      </c>
      <c r="H160">
        <v>6.3661006223277896</v>
      </c>
      <c r="I160">
        <v>4.4270482063293501</v>
      </c>
      <c r="J160">
        <v>53.411385635657801</v>
      </c>
      <c r="K160">
        <v>864.72662353515602</v>
      </c>
      <c r="L160">
        <v>56.307129093858101</v>
      </c>
      <c r="M160">
        <v>1163.4244054575399</v>
      </c>
      <c r="N160">
        <v>161.157668066806</v>
      </c>
      <c r="O160">
        <v>40.744343179171203</v>
      </c>
      <c r="P160">
        <v>15.441850662231399</v>
      </c>
      <c r="Q160">
        <v>35.6273803710938</v>
      </c>
      <c r="R160">
        <v>252.22312927246099</v>
      </c>
      <c r="S160">
        <v>3.7366821765899698</v>
      </c>
      <c r="T160">
        <v>9.4874687194824201</v>
      </c>
    </row>
    <row r="161" spans="1:20" x14ac:dyDescent="0.35">
      <c r="A161">
        <v>2.36172783601759</v>
      </c>
      <c r="B161">
        <v>1060</v>
      </c>
      <c r="C161">
        <v>848.41455078125</v>
      </c>
      <c r="D161">
        <v>0.28599598518026897</v>
      </c>
      <c r="E161">
        <v>12.684301445798599</v>
      </c>
      <c r="F161">
        <v>28.946294107278099</v>
      </c>
      <c r="G161">
        <v>47.636850509469099</v>
      </c>
      <c r="H161">
        <v>6.2804541001589804</v>
      </c>
      <c r="I161">
        <v>4.2794914245605504</v>
      </c>
      <c r="J161">
        <v>54.856831776769297</v>
      </c>
      <c r="K161">
        <v>905.69781494140602</v>
      </c>
      <c r="L161">
        <v>55.249370012127002</v>
      </c>
      <c r="M161">
        <v>1175.8151665359201</v>
      </c>
      <c r="N161">
        <v>161.03919782794901</v>
      </c>
      <c r="O161">
        <v>42.842642049320403</v>
      </c>
      <c r="P161">
        <v>14.596661567688001</v>
      </c>
      <c r="Q161">
        <v>35.310939788818402</v>
      </c>
      <c r="R161">
        <v>251.47395324707</v>
      </c>
      <c r="S161">
        <v>3.7321264743804901</v>
      </c>
      <c r="T161">
        <v>9.4225072860717791</v>
      </c>
    </row>
    <row r="162" spans="1:20" x14ac:dyDescent="0.35">
      <c r="A162">
        <v>2.6127838567197399</v>
      </c>
      <c r="B162">
        <v>2830</v>
      </c>
      <c r="C162">
        <v>474.09869384765602</v>
      </c>
      <c r="D162">
        <v>0.39273628107017</v>
      </c>
      <c r="E162">
        <v>5.7499428167829496</v>
      </c>
      <c r="F162">
        <v>21.812825578613399</v>
      </c>
      <c r="G162">
        <v>68.208974530607307</v>
      </c>
      <c r="H162">
        <v>5.1266252411087896</v>
      </c>
      <c r="I162">
        <v>7.7873945236206099</v>
      </c>
      <c r="J162">
        <v>62.015663882041601</v>
      </c>
      <c r="K162">
        <v>1142.29931640625</v>
      </c>
      <c r="L162">
        <v>53.668570784271701</v>
      </c>
      <c r="M162">
        <v>1227.8148503538</v>
      </c>
      <c r="N162">
        <v>161.38126310755001</v>
      </c>
      <c r="O162">
        <v>48.7970782420674</v>
      </c>
      <c r="P162">
        <v>15.188962936401399</v>
      </c>
      <c r="Q162">
        <v>33.812122344970703</v>
      </c>
      <c r="R162">
        <v>206.58686828613301</v>
      </c>
      <c r="S162">
        <v>3.64430952072144</v>
      </c>
      <c r="T162">
        <v>11.2374362945557</v>
      </c>
    </row>
    <row r="163" spans="1:20" x14ac:dyDescent="0.35">
      <c r="A163">
        <v>2.82607480270083</v>
      </c>
      <c r="B163">
        <v>3450</v>
      </c>
      <c r="C163">
        <v>351.79504394531199</v>
      </c>
      <c r="D163">
        <v>0.429147667910667</v>
      </c>
      <c r="E163">
        <v>5.2309202178159202</v>
      </c>
      <c r="F163">
        <v>20.782844109064801</v>
      </c>
      <c r="G163">
        <v>70.113878969810997</v>
      </c>
      <c r="H163">
        <v>4.9806774411764696</v>
      </c>
      <c r="I163">
        <v>11.044450759887701</v>
      </c>
      <c r="J163">
        <v>62.015663882041601</v>
      </c>
      <c r="K163">
        <v>1227.46691894531</v>
      </c>
      <c r="L163">
        <v>55.021545034940097</v>
      </c>
      <c r="M163">
        <v>1256.9772799132299</v>
      </c>
      <c r="N163">
        <v>161.31763695888799</v>
      </c>
      <c r="O163">
        <v>49.876654265356798</v>
      </c>
      <c r="P163">
        <v>15.148837089538601</v>
      </c>
      <c r="Q163">
        <v>33.444610595703097</v>
      </c>
      <c r="R163">
        <v>201.96376037597699</v>
      </c>
      <c r="S163">
        <v>3.6100451946258501</v>
      </c>
      <c r="T163">
        <v>11.7065134048462</v>
      </c>
    </row>
    <row r="164" spans="1:20" x14ac:dyDescent="0.35">
      <c r="A164">
        <v>2.8325089127062402</v>
      </c>
      <c r="B164">
        <v>2490</v>
      </c>
      <c r="C164">
        <v>170.87965393066401</v>
      </c>
      <c r="D164">
        <v>0.486964754809183</v>
      </c>
      <c r="E164">
        <v>1.95745758259658E-2</v>
      </c>
      <c r="F164">
        <v>22.1607000801467</v>
      </c>
      <c r="G164">
        <v>77.5246908273039</v>
      </c>
      <c r="H164">
        <v>2.8084275615183198</v>
      </c>
      <c r="I164">
        <v>49.720222473144503</v>
      </c>
      <c r="J164">
        <v>0</v>
      </c>
      <c r="K164">
        <v>1157.89221191406</v>
      </c>
      <c r="L164">
        <v>38.652475607199698</v>
      </c>
      <c r="M164">
        <v>1132.43882176133</v>
      </c>
      <c r="N164">
        <v>163.172918100826</v>
      </c>
      <c r="O164">
        <v>55.851470822193598</v>
      </c>
      <c r="P164">
        <v>13.292606353759799</v>
      </c>
      <c r="Q164">
        <v>32.456153869628899</v>
      </c>
      <c r="R164">
        <v>122.084503173828</v>
      </c>
      <c r="S164">
        <v>3.2556409835815399</v>
      </c>
      <c r="T164">
        <v>16.125371932983398</v>
      </c>
    </row>
    <row r="165" spans="1:20" x14ac:dyDescent="0.35">
      <c r="A165">
        <v>2.7993405494535799</v>
      </c>
      <c r="B165">
        <v>3230</v>
      </c>
      <c r="C165">
        <v>111.352531433105</v>
      </c>
      <c r="D165">
        <v>0.57448840853507999</v>
      </c>
      <c r="E165">
        <v>2.1115382431848701E-2</v>
      </c>
      <c r="F165">
        <v>27.5838614877716</v>
      </c>
      <c r="G165">
        <v>71.634906137988906</v>
      </c>
      <c r="H165">
        <v>2.5304496136801502</v>
      </c>
      <c r="I165">
        <v>60.123851776122997</v>
      </c>
      <c r="J165">
        <v>0</v>
      </c>
      <c r="K165">
        <v>1339.525390625</v>
      </c>
      <c r="L165">
        <v>41.723718142900303</v>
      </c>
      <c r="M165">
        <v>1193.5243480244601</v>
      </c>
      <c r="N165">
        <v>163.00381694856199</v>
      </c>
      <c r="O165">
        <v>57.866775575231301</v>
      </c>
      <c r="P165">
        <v>12.1667394638062</v>
      </c>
      <c r="Q165">
        <v>31.252155303955099</v>
      </c>
      <c r="R165">
        <v>108.74391174316401</v>
      </c>
      <c r="S165">
        <v>3.1992204189300502</v>
      </c>
      <c r="T165">
        <v>15.7191381454468</v>
      </c>
    </row>
    <row r="166" spans="1:20" x14ac:dyDescent="0.35">
      <c r="A166">
        <v>2.2304489213782701</v>
      </c>
      <c r="B166">
        <v>1100</v>
      </c>
      <c r="C166">
        <v>7.1214075088501003</v>
      </c>
      <c r="D166">
        <v>0.79680084529095296</v>
      </c>
      <c r="E166">
        <v>0.100550333843162</v>
      </c>
      <c r="F166">
        <v>20.5422308405299</v>
      </c>
      <c r="G166">
        <v>78.260324128008506</v>
      </c>
      <c r="H166">
        <v>3.2879094697406299</v>
      </c>
      <c r="I166">
        <v>45.677028656005902</v>
      </c>
      <c r="J166">
        <v>0</v>
      </c>
      <c r="K166">
        <v>2502.79418945312</v>
      </c>
      <c r="L166">
        <v>71.519442448850498</v>
      </c>
      <c r="M166">
        <v>1586.90177542264</v>
      </c>
      <c r="N166">
        <v>162.59964114329901</v>
      </c>
      <c r="O166">
        <v>60.850948396276301</v>
      </c>
      <c r="P166">
        <v>12.688117980956999</v>
      </c>
      <c r="Q166">
        <v>26.117078781127901</v>
      </c>
      <c r="R166">
        <v>136.9970703125</v>
      </c>
      <c r="S166">
        <v>2.9149076938629199</v>
      </c>
      <c r="T166">
        <v>16.338651657104499</v>
      </c>
    </row>
    <row r="167" spans="1:20" x14ac:dyDescent="0.35">
      <c r="A167">
        <v>2.6232492903978999</v>
      </c>
      <c r="B167">
        <v>1360</v>
      </c>
      <c r="C167">
        <v>347.10827636718801</v>
      </c>
      <c r="D167">
        <v>0.342008659895772</v>
      </c>
      <c r="E167">
        <v>0.19527584186118599</v>
      </c>
      <c r="F167">
        <v>21.757917478433999</v>
      </c>
      <c r="G167">
        <v>77.851426410676396</v>
      </c>
      <c r="H167">
        <v>5.5429013303225796</v>
      </c>
      <c r="I167">
        <v>34.811443328857401</v>
      </c>
      <c r="J167">
        <v>0</v>
      </c>
      <c r="K167">
        <v>1150.35241699219</v>
      </c>
      <c r="L167">
        <v>49.153467303416797</v>
      </c>
      <c r="M167">
        <v>1232.2800513095499</v>
      </c>
      <c r="N167">
        <v>169.72275705806501</v>
      </c>
      <c r="O167">
        <v>53.693349244164601</v>
      </c>
      <c r="P167">
        <v>12.7164516448975</v>
      </c>
      <c r="Q167">
        <v>33.945343017578097</v>
      </c>
      <c r="R167">
        <v>208.22395324707</v>
      </c>
      <c r="S167">
        <v>2.7005176544189502</v>
      </c>
      <c r="T167">
        <v>17.672384262085</v>
      </c>
    </row>
    <row r="168" spans="1:20" x14ac:dyDescent="0.35">
      <c r="A168">
        <v>2.5563025007672899</v>
      </c>
      <c r="B168">
        <v>22000</v>
      </c>
      <c r="C168">
        <v>157.66969299316401</v>
      </c>
      <c r="D168">
        <v>0.303596602834315</v>
      </c>
      <c r="E168">
        <v>3.6811938529292897E-2</v>
      </c>
      <c r="F168">
        <v>1.9814187021591401</v>
      </c>
      <c r="G168">
        <v>8.4538145238490898</v>
      </c>
      <c r="H168">
        <v>4.2761278784344601</v>
      </c>
      <c r="I168">
        <v>20.4658012390137</v>
      </c>
      <c r="J168">
        <v>0</v>
      </c>
      <c r="K168">
        <v>595.56329345703102</v>
      </c>
      <c r="L168">
        <v>21.200659001459801</v>
      </c>
      <c r="M168">
        <v>753.01252021164203</v>
      </c>
      <c r="N168">
        <v>181.31437583047801</v>
      </c>
      <c r="O168">
        <v>41.5992381611808</v>
      </c>
      <c r="P168">
        <v>4.7540369033813503</v>
      </c>
      <c r="Q168">
        <v>34.061473846435497</v>
      </c>
      <c r="R168">
        <v>164.60542297363301</v>
      </c>
      <c r="S168">
        <v>3.37540555000305</v>
      </c>
      <c r="T168">
        <v>16.8074436187744</v>
      </c>
    </row>
    <row r="169" spans="1:20" x14ac:dyDescent="0.35">
      <c r="A169">
        <v>1.65321251377534</v>
      </c>
      <c r="B169">
        <v>1450</v>
      </c>
      <c r="C169">
        <v>1069.98327636719</v>
      </c>
      <c r="D169">
        <v>0.21423982838390801</v>
      </c>
      <c r="E169">
        <v>2.1512589515871299</v>
      </c>
      <c r="F169">
        <v>88.368147227528596</v>
      </c>
      <c r="G169">
        <v>8.6318980701120598</v>
      </c>
      <c r="H169">
        <v>2.1022325823863599</v>
      </c>
      <c r="I169">
        <v>33.3834838867188</v>
      </c>
      <c r="J169">
        <v>0</v>
      </c>
      <c r="K169">
        <v>553.035888671875</v>
      </c>
      <c r="L169">
        <v>16.6800996045597</v>
      </c>
      <c r="M169">
        <v>741.20939261014303</v>
      </c>
      <c r="N169">
        <v>170.270919049372</v>
      </c>
      <c r="O169">
        <v>45.162723541259801</v>
      </c>
      <c r="P169">
        <v>1.4682030677795399</v>
      </c>
      <c r="Q169">
        <v>25.192497253418001</v>
      </c>
      <c r="R169">
        <v>92.271629333496094</v>
      </c>
      <c r="S169">
        <v>3.4279875755310099</v>
      </c>
      <c r="T169">
        <v>15.298439025878899</v>
      </c>
    </row>
    <row r="170" spans="1:20" x14ac:dyDescent="0.35">
      <c r="A170">
        <v>1.93951925261862</v>
      </c>
      <c r="B170">
        <v>1070</v>
      </c>
      <c r="C170">
        <v>1388.17456054688</v>
      </c>
      <c r="D170">
        <v>0.16524629045525099</v>
      </c>
      <c r="E170">
        <v>0.541787583300811</v>
      </c>
      <c r="F170">
        <v>87.340931659295407</v>
      </c>
      <c r="G170">
        <v>11.769383364154701</v>
      </c>
      <c r="H170">
        <v>2.8647731367521398</v>
      </c>
      <c r="I170">
        <v>59.324756622314503</v>
      </c>
      <c r="J170">
        <v>0</v>
      </c>
      <c r="K170">
        <v>470.85873413085898</v>
      </c>
      <c r="L170">
        <v>13.080764246768601</v>
      </c>
      <c r="M170">
        <v>658.23702302526306</v>
      </c>
      <c r="N170">
        <v>176.19625779449001</v>
      </c>
      <c r="O170">
        <v>41.836458581392897</v>
      </c>
      <c r="P170">
        <v>1.64485895633698</v>
      </c>
      <c r="Q170">
        <v>30.690624237060501</v>
      </c>
      <c r="R170">
        <v>123.87166595459</v>
      </c>
      <c r="S170">
        <v>3.6004440784454301</v>
      </c>
      <c r="T170">
        <v>18.022455215454102</v>
      </c>
    </row>
    <row r="171" spans="1:20" x14ac:dyDescent="0.35">
      <c r="A171">
        <v>1.90308998699194</v>
      </c>
      <c r="B171">
        <v>1370</v>
      </c>
      <c r="C171">
        <v>1053.162109375</v>
      </c>
      <c r="D171">
        <v>0.177844310161383</v>
      </c>
      <c r="E171">
        <v>0.48042433399744999</v>
      </c>
      <c r="F171">
        <v>81.008793364629298</v>
      </c>
      <c r="G171">
        <v>18.200419488231098</v>
      </c>
      <c r="H171">
        <v>3.0913825607594898</v>
      </c>
      <c r="I171">
        <v>54.984424591064503</v>
      </c>
      <c r="J171">
        <v>0</v>
      </c>
      <c r="K171">
        <v>484.860595703125</v>
      </c>
      <c r="L171">
        <v>12.6266493211027</v>
      </c>
      <c r="M171">
        <v>655.91808031426103</v>
      </c>
      <c r="N171">
        <v>175.686239273822</v>
      </c>
      <c r="O171">
        <v>42.099200326888301</v>
      </c>
      <c r="P171">
        <v>2.7365190982818599</v>
      </c>
      <c r="Q171">
        <v>30.395452499389599</v>
      </c>
      <c r="R171">
        <v>128.798263549805</v>
      </c>
      <c r="S171">
        <v>3.58372282981873</v>
      </c>
      <c r="T171">
        <v>17.680866241455099</v>
      </c>
    </row>
    <row r="172" spans="1:20" x14ac:dyDescent="0.35">
      <c r="A172">
        <v>1.9777236052888501</v>
      </c>
      <c r="B172">
        <v>3430</v>
      </c>
      <c r="C172">
        <v>691.38201904296898</v>
      </c>
      <c r="D172">
        <v>0.226381907684265</v>
      </c>
      <c r="E172">
        <v>1.08261635958005</v>
      </c>
      <c r="F172">
        <v>77.387233505496098</v>
      </c>
      <c r="G172">
        <v>21.016380211027201</v>
      </c>
      <c r="H172">
        <v>2.9606124135723402</v>
      </c>
      <c r="I172">
        <v>42.033950805664098</v>
      </c>
      <c r="J172">
        <v>0</v>
      </c>
      <c r="K172">
        <v>551.3642578125</v>
      </c>
      <c r="L172">
        <v>13.767843606042099</v>
      </c>
      <c r="M172">
        <v>692.08048736071999</v>
      </c>
      <c r="N172">
        <v>172.09833814276999</v>
      </c>
      <c r="O172">
        <v>43.977903209748803</v>
      </c>
      <c r="P172">
        <v>3.6852118968963601</v>
      </c>
      <c r="Q172">
        <v>27.585597991943398</v>
      </c>
      <c r="R172">
        <v>117.33835601806599</v>
      </c>
      <c r="S172">
        <v>3.3804972171783398</v>
      </c>
      <c r="T172">
        <v>16.461372375488299</v>
      </c>
    </row>
    <row r="173" spans="1:20" x14ac:dyDescent="0.35">
      <c r="A173">
        <v>1.8573324964312701</v>
      </c>
      <c r="B173">
        <v>1270</v>
      </c>
      <c r="C173">
        <v>739.24853515625</v>
      </c>
      <c r="D173">
        <v>0.232155674634653</v>
      </c>
      <c r="E173">
        <v>1.6566151983936399E-2</v>
      </c>
      <c r="F173">
        <v>57.551642908241099</v>
      </c>
      <c r="G173">
        <v>42.345582142157703</v>
      </c>
      <c r="H173">
        <v>4.0313225175757603</v>
      </c>
      <c r="I173">
        <v>36.935131072997997</v>
      </c>
      <c r="J173">
        <v>0</v>
      </c>
      <c r="K173">
        <v>589.58856201171898</v>
      </c>
      <c r="L173">
        <v>8.0384734888545797</v>
      </c>
      <c r="M173">
        <v>616.85696861392205</v>
      </c>
      <c r="N173">
        <v>171.53488934626299</v>
      </c>
      <c r="O173">
        <v>43.446869709452599</v>
      </c>
      <c r="P173">
        <v>7.2038259506225604</v>
      </c>
      <c r="Q173">
        <v>29.653413772583001</v>
      </c>
      <c r="R173">
        <v>147.97200012207</v>
      </c>
      <c r="S173">
        <v>3.4422194957733199</v>
      </c>
      <c r="T173">
        <v>16.4519138336182</v>
      </c>
    </row>
    <row r="174" spans="1:20" x14ac:dyDescent="0.35">
      <c r="A174">
        <v>1.77085201164214</v>
      </c>
      <c r="B174">
        <v>1610</v>
      </c>
      <c r="C174">
        <v>583.42346191406205</v>
      </c>
      <c r="D174">
        <v>0.25003163718132398</v>
      </c>
      <c r="E174">
        <v>1.35384074602403E-2</v>
      </c>
      <c r="F174">
        <v>59.458071246277903</v>
      </c>
      <c r="G174">
        <v>40.424655507597699</v>
      </c>
      <c r="H174">
        <v>4.0315218649951801</v>
      </c>
      <c r="I174">
        <v>34.536911010742202</v>
      </c>
      <c r="J174">
        <v>0</v>
      </c>
      <c r="K174">
        <v>604.47821044921898</v>
      </c>
      <c r="L174">
        <v>8.2513339070023104</v>
      </c>
      <c r="M174">
        <v>620.41692014600403</v>
      </c>
      <c r="N174">
        <v>170.81992127465401</v>
      </c>
      <c r="O174">
        <v>43.531652669437598</v>
      </c>
      <c r="P174">
        <v>6.7388229370117196</v>
      </c>
      <c r="Q174">
        <v>29.054599761962901</v>
      </c>
      <c r="R174">
        <v>142.86674499511699</v>
      </c>
      <c r="S174">
        <v>3.3331947326660201</v>
      </c>
      <c r="T174">
        <v>17.115209579467798</v>
      </c>
    </row>
    <row r="175" spans="1:20" x14ac:dyDescent="0.35">
      <c r="A175">
        <v>2.17609125905568</v>
      </c>
      <c r="B175">
        <v>2460</v>
      </c>
      <c r="C175">
        <v>443.67684936523398</v>
      </c>
      <c r="D175">
        <v>0.32689985131069299</v>
      </c>
      <c r="E175">
        <v>3.2257528801868101</v>
      </c>
      <c r="F175">
        <v>64.885576201536594</v>
      </c>
      <c r="G175">
        <v>31.496141051606099</v>
      </c>
      <c r="H175">
        <v>4.4215020992063501</v>
      </c>
      <c r="I175">
        <v>37.158504486083999</v>
      </c>
      <c r="J175">
        <v>0</v>
      </c>
      <c r="K175">
        <v>725.21356201171898</v>
      </c>
      <c r="L175">
        <v>9.4227937713998298</v>
      </c>
      <c r="M175">
        <v>640.00772244813004</v>
      </c>
      <c r="N175">
        <v>170.134050713211</v>
      </c>
      <c r="O175">
        <v>44.0152215175941</v>
      </c>
      <c r="P175">
        <v>6.5366253852844203</v>
      </c>
      <c r="Q175">
        <v>30.393985748291001</v>
      </c>
      <c r="R175">
        <v>155.93206787109401</v>
      </c>
      <c r="S175">
        <v>3.2756140232086199</v>
      </c>
      <c r="T175">
        <v>18.6956672668457</v>
      </c>
    </row>
    <row r="176" spans="1:20" x14ac:dyDescent="0.35">
      <c r="A176">
        <v>2</v>
      </c>
      <c r="B176">
        <v>2040</v>
      </c>
      <c r="C176">
        <v>1051.41870117188</v>
      </c>
      <c r="D176">
        <v>0.25482753159163202</v>
      </c>
      <c r="E176">
        <v>1.7247004082681601</v>
      </c>
      <c r="F176">
        <v>94.171304316899594</v>
      </c>
      <c r="G176">
        <v>3.8690053457922899</v>
      </c>
      <c r="H176">
        <v>3.8019013964664299</v>
      </c>
      <c r="I176">
        <v>22.9950466156006</v>
      </c>
      <c r="J176">
        <v>0</v>
      </c>
      <c r="K176">
        <v>485.83413696289102</v>
      </c>
      <c r="L176">
        <v>6.5111219902507598</v>
      </c>
      <c r="M176">
        <v>505.13934776431199</v>
      </c>
      <c r="N176">
        <v>179.289600309778</v>
      </c>
      <c r="O176">
        <v>35.635487853503598</v>
      </c>
      <c r="P176">
        <v>0.63019061088562001</v>
      </c>
      <c r="Q176">
        <v>31.6448974609375</v>
      </c>
      <c r="R176">
        <v>118.689079284668</v>
      </c>
      <c r="S176">
        <v>2.94645047187805</v>
      </c>
      <c r="T176">
        <v>15.3081655502319</v>
      </c>
    </row>
    <row r="177" spans="1:20" x14ac:dyDescent="0.35">
      <c r="A177">
        <v>2.3010299956639799</v>
      </c>
      <c r="B177">
        <v>428</v>
      </c>
      <c r="C177">
        <v>579.41668701171898</v>
      </c>
      <c r="D177">
        <v>0.32615357803198403</v>
      </c>
      <c r="E177">
        <v>6.18589818037256E-2</v>
      </c>
      <c r="F177">
        <v>90.443904048628696</v>
      </c>
      <c r="G177">
        <v>9.4113720268663297</v>
      </c>
      <c r="H177">
        <v>3.5801435328467202</v>
      </c>
      <c r="I177">
        <v>75.779747009277301</v>
      </c>
      <c r="J177">
        <v>0</v>
      </c>
      <c r="K177">
        <v>553.59576416015602</v>
      </c>
      <c r="L177">
        <v>5.3807005374157999</v>
      </c>
      <c r="M177">
        <v>501.60592901511302</v>
      </c>
      <c r="N177">
        <v>169.640037411549</v>
      </c>
      <c r="O177">
        <v>36.530484621642103</v>
      </c>
      <c r="P177">
        <v>3.1181666851043701</v>
      </c>
      <c r="Q177">
        <v>27.416357040405298</v>
      </c>
      <c r="R177">
        <v>124.26137542724599</v>
      </c>
      <c r="S177">
        <v>2.7588233947753902</v>
      </c>
      <c r="T177">
        <v>16.349836349487301</v>
      </c>
    </row>
    <row r="178" spans="1:20" x14ac:dyDescent="0.35">
      <c r="A178">
        <v>2.17609125905568</v>
      </c>
      <c r="B178">
        <v>785</v>
      </c>
      <c r="C178">
        <v>241.04550170898401</v>
      </c>
      <c r="D178">
        <v>0.45741151139180702</v>
      </c>
      <c r="E178">
        <v>0.117354009728578</v>
      </c>
      <c r="F178">
        <v>81.877131326907403</v>
      </c>
      <c r="G178">
        <v>17.930168569926899</v>
      </c>
      <c r="H178">
        <v>3.5560597854250999</v>
      </c>
      <c r="I178">
        <v>83.128326416015597</v>
      </c>
      <c r="J178">
        <v>0</v>
      </c>
      <c r="K178">
        <v>692.93310546875</v>
      </c>
      <c r="L178">
        <v>7.15268655292323</v>
      </c>
      <c r="M178">
        <v>535.76921406730298</v>
      </c>
      <c r="N178">
        <v>168.748802310131</v>
      </c>
      <c r="O178">
        <v>37.598161822459701</v>
      </c>
      <c r="P178">
        <v>5.0887689590454102</v>
      </c>
      <c r="Q178">
        <v>26.184566497802699</v>
      </c>
      <c r="R178">
        <v>127.63523864746099</v>
      </c>
      <c r="S178">
        <v>2.9504292011261</v>
      </c>
      <c r="T178">
        <v>15.996768951416</v>
      </c>
    </row>
    <row r="179" spans="1:20" x14ac:dyDescent="0.35">
      <c r="A179">
        <v>2.1613680022349699</v>
      </c>
      <c r="B179">
        <v>1060</v>
      </c>
      <c r="C179">
        <v>-14.084962844848601</v>
      </c>
      <c r="D179">
        <v>0.475527893465508</v>
      </c>
      <c r="E179">
        <v>0.471862554950218</v>
      </c>
      <c r="F179">
        <v>69.946552160469693</v>
      </c>
      <c r="G179">
        <v>29.4961284865709</v>
      </c>
      <c r="H179">
        <v>3.6603145136298401</v>
      </c>
      <c r="I179">
        <v>90.650581359863295</v>
      </c>
      <c r="J179">
        <v>0</v>
      </c>
      <c r="K179">
        <v>832.324951171875</v>
      </c>
      <c r="L179">
        <v>9.1775484163252994</v>
      </c>
      <c r="M179">
        <v>556.94105804943604</v>
      </c>
      <c r="N179">
        <v>168.29721594638499</v>
      </c>
      <c r="O179">
        <v>37.337577694752198</v>
      </c>
      <c r="P179">
        <v>7.5613327026367196</v>
      </c>
      <c r="Q179">
        <v>25.912366867065401</v>
      </c>
      <c r="R179">
        <v>127.69826507568401</v>
      </c>
      <c r="S179">
        <v>3.27090287208557</v>
      </c>
      <c r="T179">
        <v>16.7583312988281</v>
      </c>
    </row>
    <row r="180" spans="1:20" x14ac:dyDescent="0.35">
      <c r="A180">
        <v>2.9493900066449101</v>
      </c>
      <c r="B180">
        <v>1480</v>
      </c>
      <c r="C180">
        <v>81.998039245605497</v>
      </c>
      <c r="D180">
        <v>0.687085717299592</v>
      </c>
      <c r="E180">
        <v>4.1811563891066896</v>
      </c>
      <c r="F180">
        <v>59.722672321357798</v>
      </c>
      <c r="G180">
        <v>33.463924970873002</v>
      </c>
      <c r="H180">
        <v>2.6607913091633502</v>
      </c>
      <c r="I180">
        <v>48.178260803222699</v>
      </c>
      <c r="J180">
        <v>0.18778471034291599</v>
      </c>
      <c r="K180">
        <v>900.89990234375</v>
      </c>
      <c r="L180">
        <v>8.9628605139060102</v>
      </c>
      <c r="M180">
        <v>634.64710973520698</v>
      </c>
      <c r="N180">
        <v>162.42458305984201</v>
      </c>
      <c r="O180">
        <v>44.041114056696699</v>
      </c>
      <c r="P180">
        <v>8.5293979644775408</v>
      </c>
      <c r="Q180">
        <v>27.516839981079102</v>
      </c>
      <c r="R180">
        <v>120.078323364258</v>
      </c>
      <c r="S180">
        <v>3.9158964157104501</v>
      </c>
      <c r="T180">
        <v>12.9390773773193</v>
      </c>
    </row>
    <row r="181" spans="1:20" x14ac:dyDescent="0.35">
      <c r="A181">
        <v>3.17609125905568</v>
      </c>
      <c r="B181">
        <v>166</v>
      </c>
      <c r="C181">
        <v>1291.99108886719</v>
      </c>
      <c r="D181">
        <v>0.205510564521901</v>
      </c>
      <c r="E181">
        <v>15.537084283711801</v>
      </c>
      <c r="F181">
        <v>63.762664637314103</v>
      </c>
      <c r="G181">
        <v>19.9879049145379</v>
      </c>
      <c r="H181">
        <v>6.3605835934065897</v>
      </c>
      <c r="I181">
        <v>35.9328002929688</v>
      </c>
      <c r="J181">
        <v>0</v>
      </c>
      <c r="K181">
        <v>626.11102294921898</v>
      </c>
      <c r="L181">
        <v>20.326278014261199</v>
      </c>
      <c r="M181">
        <v>749.12340908363205</v>
      </c>
      <c r="N181">
        <v>163.30263781938399</v>
      </c>
      <c r="O181">
        <v>42.207604361362101</v>
      </c>
      <c r="P181">
        <v>4.6041636466979998</v>
      </c>
      <c r="Q181">
        <v>29.540632247924801</v>
      </c>
      <c r="R181">
        <v>257.58523559570301</v>
      </c>
      <c r="S181">
        <v>3.8078250885009801</v>
      </c>
      <c r="T181">
        <v>12.596529006958001</v>
      </c>
    </row>
    <row r="182" spans="1:20" x14ac:dyDescent="0.35">
      <c r="A182">
        <v>3.2185355052165301</v>
      </c>
      <c r="B182">
        <v>426</v>
      </c>
      <c r="C182">
        <v>1319.23388671875</v>
      </c>
      <c r="D182">
        <v>0.187424913973774</v>
      </c>
      <c r="E182">
        <v>21.423559365155601</v>
      </c>
      <c r="F182">
        <v>76.616538566606906</v>
      </c>
      <c r="G182">
        <v>1.5474432783026</v>
      </c>
      <c r="H182">
        <v>5.5614542943396197</v>
      </c>
      <c r="I182">
        <v>60.3062934875488</v>
      </c>
      <c r="J182">
        <v>0</v>
      </c>
      <c r="K182">
        <v>439.94192504882801</v>
      </c>
      <c r="L182">
        <v>14.605162800335499</v>
      </c>
      <c r="M182">
        <v>620.79320038342098</v>
      </c>
      <c r="N182">
        <v>166.81094335337201</v>
      </c>
      <c r="O182">
        <v>37.2359584433134</v>
      </c>
      <c r="P182">
        <v>0.51191347837448098</v>
      </c>
      <c r="Q182">
        <v>34.421401977539098</v>
      </c>
      <c r="R182">
        <v>216.41455078125</v>
      </c>
      <c r="S182">
        <v>4.2119941711425799</v>
      </c>
      <c r="T182">
        <v>12.411108970642101</v>
      </c>
    </row>
    <row r="183" spans="1:20" x14ac:dyDescent="0.35">
      <c r="A183">
        <v>3.0534626049254601</v>
      </c>
      <c r="B183">
        <v>916</v>
      </c>
      <c r="C183">
        <v>1601.6982421875</v>
      </c>
      <c r="D183">
        <v>0.15797895504241399</v>
      </c>
      <c r="E183">
        <v>39.624707796834798</v>
      </c>
      <c r="F183">
        <v>54.611249842268101</v>
      </c>
      <c r="G183">
        <v>4.9913562539440903</v>
      </c>
      <c r="H183">
        <v>5.4462303747494998</v>
      </c>
      <c r="I183">
        <v>13.0057363510132</v>
      </c>
      <c r="J183">
        <v>4.9290130346834697</v>
      </c>
      <c r="K183">
        <v>534.23596191406205</v>
      </c>
      <c r="L183">
        <v>29.388559216358601</v>
      </c>
      <c r="M183">
        <v>788.78392253938296</v>
      </c>
      <c r="N183">
        <v>164.84082106293201</v>
      </c>
      <c r="O183">
        <v>36.438141619572903</v>
      </c>
      <c r="P183">
        <v>1.89775454998016</v>
      </c>
      <c r="Q183">
        <v>29.603044509887699</v>
      </c>
      <c r="R183">
        <v>260.66119384765602</v>
      </c>
      <c r="S183">
        <v>3.7615630626678498</v>
      </c>
      <c r="T183">
        <v>9.3720951080322301</v>
      </c>
    </row>
    <row r="184" spans="1:20" x14ac:dyDescent="0.35">
      <c r="A184">
        <v>3.29402509409532</v>
      </c>
      <c r="B184">
        <v>2197</v>
      </c>
      <c r="C184">
        <v>1097.07824707031</v>
      </c>
      <c r="D184">
        <v>0.21845865100682299</v>
      </c>
      <c r="E184">
        <v>34.303299614698297</v>
      </c>
      <c r="F184">
        <v>59.0130363450209</v>
      </c>
      <c r="G184">
        <v>5.77156090300344</v>
      </c>
      <c r="H184">
        <v>5.7753282488938096</v>
      </c>
      <c r="I184">
        <v>17.095230102539102</v>
      </c>
      <c r="J184">
        <v>7.6020272916573601</v>
      </c>
      <c r="K184">
        <v>545.99017333984398</v>
      </c>
      <c r="L184">
        <v>21.6562347099429</v>
      </c>
      <c r="M184">
        <v>722.51952824827094</v>
      </c>
      <c r="N184">
        <v>165.665886050365</v>
      </c>
      <c r="O184">
        <v>38.665575621557998</v>
      </c>
      <c r="P184">
        <v>1.6061658859252901</v>
      </c>
      <c r="Q184">
        <v>30.750934600830099</v>
      </c>
      <c r="R184">
        <v>256.78997802734398</v>
      </c>
      <c r="S184">
        <v>3.9421246051788299</v>
      </c>
      <c r="T184">
        <v>10.015221595764199</v>
      </c>
    </row>
    <row r="185" spans="1:20" x14ac:dyDescent="0.35">
      <c r="A185">
        <v>3.4005379893919501</v>
      </c>
      <c r="B185">
        <v>3607</v>
      </c>
      <c r="C185">
        <v>916.84997558593795</v>
      </c>
      <c r="D185">
        <v>0.24218911497395099</v>
      </c>
      <c r="E185">
        <v>33.713138842170302</v>
      </c>
      <c r="F185">
        <v>59.984189312882897</v>
      </c>
      <c r="G185">
        <v>5.2656281346349703</v>
      </c>
      <c r="H185">
        <v>5.8413880985981299</v>
      </c>
      <c r="I185">
        <v>19.788738250732401</v>
      </c>
      <c r="J185">
        <v>14.496633900851601</v>
      </c>
      <c r="K185">
        <v>554.26007080078102</v>
      </c>
      <c r="L185">
        <v>20.721509878752698</v>
      </c>
      <c r="M185">
        <v>710.07892796250599</v>
      </c>
      <c r="N185">
        <v>165.65917093245699</v>
      </c>
      <c r="O185">
        <v>38.564918267922302</v>
      </c>
      <c r="P185">
        <v>1.44429659843445</v>
      </c>
      <c r="Q185">
        <v>31.081863403320298</v>
      </c>
      <c r="R185">
        <v>255.45390319824199</v>
      </c>
      <c r="S185">
        <v>3.9772748947143599</v>
      </c>
      <c r="T185">
        <v>10.100548744201699</v>
      </c>
    </row>
    <row r="186" spans="1:20" x14ac:dyDescent="0.35">
      <c r="A186">
        <v>2.7641761323903302</v>
      </c>
      <c r="B186">
        <v>1060</v>
      </c>
      <c r="C186">
        <v>438.80651855468801</v>
      </c>
      <c r="D186">
        <v>0.35287258701014601</v>
      </c>
      <c r="E186">
        <v>4.8261286335272899</v>
      </c>
      <c r="F186">
        <v>79.313250185672501</v>
      </c>
      <c r="G186">
        <v>15.387033120384</v>
      </c>
      <c r="H186">
        <v>3.80010120625465</v>
      </c>
      <c r="I186">
        <v>33.384891510009801</v>
      </c>
      <c r="J186">
        <v>0</v>
      </c>
      <c r="K186">
        <v>601.067626953125</v>
      </c>
      <c r="L186">
        <v>9.2430277417917708</v>
      </c>
      <c r="M186">
        <v>617.05105390705</v>
      </c>
      <c r="N186">
        <v>161.11657214555601</v>
      </c>
      <c r="O186">
        <v>42.305766183821902</v>
      </c>
      <c r="P186">
        <v>2.30863690376282</v>
      </c>
      <c r="Q186">
        <v>32.781761169433601</v>
      </c>
      <c r="R186">
        <v>143.40280151367199</v>
      </c>
      <c r="S186">
        <v>4.0223312377929696</v>
      </c>
      <c r="T186">
        <v>10.435952186584499</v>
      </c>
    </row>
    <row r="187" spans="1:20" x14ac:dyDescent="0.35">
      <c r="A187">
        <v>2.7701152947871002</v>
      </c>
      <c r="B187">
        <v>7268</v>
      </c>
      <c r="C187">
        <v>596.067626953125</v>
      </c>
      <c r="D187">
        <v>0.30251896074168899</v>
      </c>
      <c r="E187">
        <v>17.5821264441906</v>
      </c>
      <c r="F187">
        <v>68.214560392093603</v>
      </c>
      <c r="G187">
        <v>13.6795865312339</v>
      </c>
      <c r="H187">
        <v>4.9463155975197299</v>
      </c>
      <c r="I187">
        <v>30.212059020996101</v>
      </c>
      <c r="J187">
        <v>28.269773742377801</v>
      </c>
      <c r="K187">
        <v>675.41174316406205</v>
      </c>
      <c r="L187">
        <v>19.958937410448399</v>
      </c>
      <c r="M187">
        <v>734.625502289319</v>
      </c>
      <c r="N187">
        <v>162.58795065958</v>
      </c>
      <c r="O187">
        <v>41.338897955222201</v>
      </c>
      <c r="P187">
        <v>3.0706338882446298</v>
      </c>
      <c r="Q187">
        <v>31.4875602722168</v>
      </c>
      <c r="R187">
        <v>210.97373962402301</v>
      </c>
      <c r="S187">
        <v>3.86907958984375</v>
      </c>
      <c r="T187">
        <v>10.020982742309601</v>
      </c>
    </row>
    <row r="188" spans="1:20" x14ac:dyDescent="0.35">
      <c r="A188">
        <v>3.0457140589408702</v>
      </c>
      <c r="B188">
        <v>3932</v>
      </c>
      <c r="C188">
        <v>770.9912109375</v>
      </c>
      <c r="D188">
        <v>0.27724716664105098</v>
      </c>
      <c r="E188">
        <v>17.253799643556501</v>
      </c>
      <c r="F188">
        <v>62.7094405582422</v>
      </c>
      <c r="G188">
        <v>19.162609570691401</v>
      </c>
      <c r="H188">
        <v>5.8386653430502697</v>
      </c>
      <c r="I188">
        <v>32.028285980224602</v>
      </c>
      <c r="J188">
        <v>25.777185415541101</v>
      </c>
      <c r="K188">
        <v>738.513916015625</v>
      </c>
      <c r="L188">
        <v>25.761096485325499</v>
      </c>
      <c r="M188">
        <v>820.67047419313496</v>
      </c>
      <c r="N188">
        <v>161.84253705134199</v>
      </c>
      <c r="O188">
        <v>42.688430473452698</v>
      </c>
      <c r="P188">
        <v>4.5772070884704599</v>
      </c>
      <c r="Q188">
        <v>30.292669296264599</v>
      </c>
      <c r="R188">
        <v>260.16104125976602</v>
      </c>
      <c r="S188">
        <v>3.8342475891113299</v>
      </c>
      <c r="T188">
        <v>9.3232231140136701</v>
      </c>
    </row>
    <row r="189" spans="1:20" x14ac:dyDescent="0.35">
      <c r="A189">
        <v>3.14488541828714</v>
      </c>
      <c r="B189">
        <v>4762</v>
      </c>
      <c r="C189">
        <v>509.55752563476602</v>
      </c>
      <c r="D189">
        <v>0.30774757088753002</v>
      </c>
      <c r="E189">
        <v>15.8270495516306</v>
      </c>
      <c r="F189">
        <v>65.329238311943698</v>
      </c>
      <c r="G189">
        <v>18.0584620254016</v>
      </c>
      <c r="H189">
        <v>5.7632717336399004</v>
      </c>
      <c r="I189">
        <v>33.122123718261697</v>
      </c>
      <c r="J189">
        <v>25.777185415541101</v>
      </c>
      <c r="K189">
        <v>742.346435546875</v>
      </c>
      <c r="L189">
        <v>22.708521733518499</v>
      </c>
      <c r="M189">
        <v>786.31788009893705</v>
      </c>
      <c r="N189">
        <v>161.59321369108599</v>
      </c>
      <c r="O189">
        <v>42.884557755266997</v>
      </c>
      <c r="P189">
        <v>4.2781815528869602</v>
      </c>
      <c r="Q189">
        <v>30.688825607299801</v>
      </c>
      <c r="R189">
        <v>250.49217224121099</v>
      </c>
      <c r="S189">
        <v>3.8521153926849401</v>
      </c>
      <c r="T189">
        <v>10.427176475524901</v>
      </c>
    </row>
    <row r="190" spans="1:20" x14ac:dyDescent="0.35">
      <c r="A190">
        <v>2.9912260756924902</v>
      </c>
      <c r="B190">
        <v>3190</v>
      </c>
      <c r="C190">
        <v>355.44140625</v>
      </c>
      <c r="D190">
        <v>0.39564215406208503</v>
      </c>
      <c r="E190">
        <v>11.878133112353099</v>
      </c>
      <c r="F190">
        <v>47.341648924159301</v>
      </c>
      <c r="G190">
        <v>39.552447790732202</v>
      </c>
      <c r="H190">
        <v>5.9400872264864901</v>
      </c>
      <c r="I190">
        <v>15.0428562164307</v>
      </c>
      <c r="J190">
        <v>34.213322298715703</v>
      </c>
      <c r="K190">
        <v>886.33489990234398</v>
      </c>
      <c r="L190">
        <v>22.139131874334598</v>
      </c>
      <c r="M190">
        <v>812.61948882556396</v>
      </c>
      <c r="N190">
        <v>159.46150682793299</v>
      </c>
      <c r="O190">
        <v>45.663429760542101</v>
      </c>
      <c r="P190">
        <v>9.1807146072387695</v>
      </c>
      <c r="Q190">
        <v>30.455659866333001</v>
      </c>
      <c r="R190">
        <v>249.25234985351599</v>
      </c>
      <c r="S190">
        <v>3.7944176197052002</v>
      </c>
      <c r="T190">
        <v>11.3444814682007</v>
      </c>
    </row>
    <row r="191" spans="1:20" x14ac:dyDescent="0.35">
      <c r="A191">
        <v>2.6170003411209</v>
      </c>
      <c r="B191">
        <v>908</v>
      </c>
      <c r="C191">
        <v>407.53878784179699</v>
      </c>
      <c r="D191">
        <v>0.45884870563132901</v>
      </c>
      <c r="E191">
        <v>16.047558259699599</v>
      </c>
      <c r="F191">
        <v>33.265936770016701</v>
      </c>
      <c r="G191">
        <v>50.082145386846399</v>
      </c>
      <c r="H191">
        <v>5.2668622817679598</v>
      </c>
      <c r="I191">
        <v>53.692752838134801</v>
      </c>
      <c r="J191">
        <v>5.9293552768994404</v>
      </c>
      <c r="K191">
        <v>1027.16857910156</v>
      </c>
      <c r="L191">
        <v>27.6370243009974</v>
      </c>
      <c r="M191">
        <v>904.25296070536604</v>
      </c>
      <c r="N191">
        <v>158.90097596215401</v>
      </c>
      <c r="O191">
        <v>47.791973989517999</v>
      </c>
      <c r="P191">
        <v>12.301100730896</v>
      </c>
      <c r="Q191">
        <v>29.0688991546631</v>
      </c>
      <c r="R191">
        <v>221.84075927734401</v>
      </c>
      <c r="S191">
        <v>3.6592247486114502</v>
      </c>
      <c r="T191">
        <v>9.5064592361450195</v>
      </c>
    </row>
    <row r="192" spans="1:20" x14ac:dyDescent="0.35">
      <c r="A192">
        <v>2.6551384348113798</v>
      </c>
      <c r="B192">
        <v>4820</v>
      </c>
      <c r="C192">
        <v>130.33842468261699</v>
      </c>
      <c r="D192">
        <v>0.80468830876903896</v>
      </c>
      <c r="E192">
        <v>3.2713190731028199</v>
      </c>
      <c r="F192">
        <v>50.460299518869903</v>
      </c>
      <c r="G192">
        <v>44.842242675757099</v>
      </c>
      <c r="H192">
        <v>2.0189248696109399</v>
      </c>
      <c r="I192">
        <v>119.101554870605</v>
      </c>
      <c r="J192">
        <v>5.9293552768994404</v>
      </c>
      <c r="K192">
        <v>1083.84387207031</v>
      </c>
      <c r="L192">
        <v>11.869589829054</v>
      </c>
      <c r="M192">
        <v>713.75260600105696</v>
      </c>
      <c r="N192">
        <v>155.1256616311</v>
      </c>
      <c r="O192">
        <v>47.699491344514399</v>
      </c>
      <c r="P192">
        <v>11.3671960830688</v>
      </c>
      <c r="Q192">
        <v>26.121383666992202</v>
      </c>
      <c r="R192">
        <v>96.714179992675795</v>
      </c>
      <c r="S192">
        <v>3.6288709640502899</v>
      </c>
      <c r="T192">
        <v>11.3396253585815</v>
      </c>
    </row>
    <row r="193" spans="1:20" x14ac:dyDescent="0.35">
      <c r="A193">
        <v>2.2810333672477299</v>
      </c>
      <c r="B193">
        <v>851</v>
      </c>
      <c r="C193">
        <v>198.45062255859401</v>
      </c>
      <c r="D193">
        <v>0.27420128193965998</v>
      </c>
      <c r="E193">
        <v>0.291974760524431</v>
      </c>
      <c r="F193">
        <v>91.228072750943795</v>
      </c>
      <c r="G193">
        <v>4.8503451303015801</v>
      </c>
      <c r="H193">
        <v>0.70473382029950105</v>
      </c>
      <c r="I193">
        <v>46.717655181884801</v>
      </c>
      <c r="J193">
        <v>0</v>
      </c>
      <c r="K193">
        <v>651.26751708984398</v>
      </c>
      <c r="L193">
        <v>3.9894217350443899</v>
      </c>
      <c r="M193">
        <v>521.823776995549</v>
      </c>
      <c r="N193">
        <v>146.51689097920399</v>
      </c>
      <c r="O193">
        <v>39.599652556122301</v>
      </c>
      <c r="P193">
        <v>1.4931583404541</v>
      </c>
      <c r="Q193">
        <v>20.417890548706101</v>
      </c>
      <c r="R193">
        <v>25.136665344238299</v>
      </c>
      <c r="S193">
        <v>2.50838994979858</v>
      </c>
      <c r="T193">
        <v>10.7500009536743</v>
      </c>
    </row>
    <row r="194" spans="1:20" x14ac:dyDescent="0.35">
      <c r="A194">
        <v>1.9777236052888501</v>
      </c>
      <c r="B194">
        <v>4807</v>
      </c>
      <c r="C194">
        <v>129.08174133300801</v>
      </c>
      <c r="D194">
        <v>0.30589045830957801</v>
      </c>
      <c r="E194">
        <v>7.1791648252753498E-2</v>
      </c>
      <c r="F194">
        <v>96.197147406806906</v>
      </c>
      <c r="G194">
        <v>2.2638204759292</v>
      </c>
      <c r="H194">
        <v>0.59473506809396404</v>
      </c>
      <c r="I194">
        <v>29.078954696655298</v>
      </c>
      <c r="J194">
        <v>0</v>
      </c>
      <c r="K194">
        <v>639.5693359375</v>
      </c>
      <c r="L194">
        <v>3.9819362632563902</v>
      </c>
      <c r="M194">
        <v>501.132551349577</v>
      </c>
      <c r="N194">
        <v>146.706620513416</v>
      </c>
      <c r="O194">
        <v>37.885536412723702</v>
      </c>
      <c r="P194">
        <v>0.85846722126007102</v>
      </c>
      <c r="Q194">
        <v>20.322280883789102</v>
      </c>
      <c r="R194">
        <v>24.749057769775401</v>
      </c>
      <c r="S194">
        <v>2.4735269546508798</v>
      </c>
      <c r="T194">
        <v>9.8490219116210902</v>
      </c>
    </row>
    <row r="195" spans="1:20" x14ac:dyDescent="0.35">
      <c r="A195">
        <v>2.2624510897304302</v>
      </c>
      <c r="B195">
        <v>3350</v>
      </c>
      <c r="C195">
        <v>434.54141235351602</v>
      </c>
      <c r="D195">
        <v>0.42188607010055201</v>
      </c>
      <c r="E195">
        <v>7.4225746706960098</v>
      </c>
      <c r="F195">
        <v>29.434721533826899</v>
      </c>
      <c r="G195">
        <v>61.479789900392198</v>
      </c>
      <c r="H195">
        <v>3.8294040906998199</v>
      </c>
      <c r="I195">
        <v>18.381809234619102</v>
      </c>
      <c r="J195">
        <v>18.119585885361499</v>
      </c>
      <c r="K195">
        <v>966.642578125</v>
      </c>
      <c r="L195">
        <v>52.283877450911703</v>
      </c>
      <c r="M195">
        <v>1171.6868576299901</v>
      </c>
      <c r="N195">
        <v>153.24667708600199</v>
      </c>
      <c r="O195">
        <v>45.479233976270301</v>
      </c>
      <c r="P195">
        <v>15.0295162200928</v>
      </c>
      <c r="Q195">
        <v>32.191867828369098</v>
      </c>
      <c r="R195">
        <v>168.03663635253901</v>
      </c>
      <c r="S195">
        <v>3.2979736328125</v>
      </c>
      <c r="T195">
        <v>11.9503030776978</v>
      </c>
    </row>
    <row r="196" spans="1:20" x14ac:dyDescent="0.35">
      <c r="A196">
        <v>1.91381385238372</v>
      </c>
      <c r="B196">
        <v>4879</v>
      </c>
      <c r="C196">
        <v>169.26229858398401</v>
      </c>
      <c r="D196">
        <v>0.56244656954968197</v>
      </c>
      <c r="E196">
        <v>4.9878224355903296</v>
      </c>
      <c r="F196">
        <v>33.0579287366686</v>
      </c>
      <c r="G196">
        <v>59.602311515385203</v>
      </c>
      <c r="H196">
        <v>2.91107468608124</v>
      </c>
      <c r="I196">
        <v>21.435789108276399</v>
      </c>
      <c r="J196">
        <v>18.119585885361499</v>
      </c>
      <c r="K196">
        <v>1052.98291015625</v>
      </c>
      <c r="L196">
        <v>44.664251733998803</v>
      </c>
      <c r="M196">
        <v>1114.6379634669599</v>
      </c>
      <c r="N196">
        <v>152.192324779073</v>
      </c>
      <c r="O196">
        <v>48.352703344626498</v>
      </c>
      <c r="P196">
        <v>14.5103244781494</v>
      </c>
      <c r="Q196">
        <v>30.929157257080099</v>
      </c>
      <c r="R196">
        <v>130.48411560058599</v>
      </c>
      <c r="S196">
        <v>3.0213859081268302</v>
      </c>
      <c r="T196">
        <v>11.9334516525269</v>
      </c>
    </row>
    <row r="197" spans="1:20" x14ac:dyDescent="0.35">
      <c r="A197">
        <v>2.0128372247051698</v>
      </c>
      <c r="B197">
        <v>11975</v>
      </c>
      <c r="C197">
        <v>37.977848052978501</v>
      </c>
      <c r="D197">
        <v>0.984752036410945</v>
      </c>
      <c r="E197">
        <v>2.0407982482207698</v>
      </c>
      <c r="F197">
        <v>60.7676694175248</v>
      </c>
      <c r="G197">
        <v>33.826300377561502</v>
      </c>
      <c r="H197">
        <v>1.3820372357019099</v>
      </c>
      <c r="I197">
        <v>37.243003845214801</v>
      </c>
      <c r="J197">
        <v>18.119585885361499</v>
      </c>
      <c r="K197">
        <v>1070.09252929688</v>
      </c>
      <c r="L197">
        <v>27.817578018688799</v>
      </c>
      <c r="M197">
        <v>940.17490974801501</v>
      </c>
      <c r="N197">
        <v>149.75467094046201</v>
      </c>
      <c r="O197">
        <v>50.649662330502402</v>
      </c>
      <c r="P197">
        <v>8.0372037887573207</v>
      </c>
      <c r="Q197">
        <v>27.384370803833001</v>
      </c>
      <c r="R197">
        <v>61.207420349121101</v>
      </c>
      <c r="S197">
        <v>2.57371306419373</v>
      </c>
      <c r="T197">
        <v>11.215213775634799</v>
      </c>
    </row>
    <row r="198" spans="1:20" x14ac:dyDescent="0.35">
      <c r="A198">
        <v>2.0293837776852102</v>
      </c>
      <c r="B198">
        <v>802</v>
      </c>
      <c r="C198">
        <v>905.13427734375</v>
      </c>
      <c r="D198">
        <v>0.295101045921494</v>
      </c>
      <c r="E198">
        <v>11.086934064516001</v>
      </c>
      <c r="F198">
        <v>35.131177668685503</v>
      </c>
      <c r="G198">
        <v>47.882102349036401</v>
      </c>
      <c r="H198">
        <v>3.8086971112929602</v>
      </c>
      <c r="I198">
        <v>17.670061111450199</v>
      </c>
      <c r="J198">
        <v>32.243566657384697</v>
      </c>
      <c r="K198">
        <v>793.95959472656205</v>
      </c>
      <c r="L198">
        <v>58.695396360803798</v>
      </c>
      <c r="M198">
        <v>1197.3098074490899</v>
      </c>
      <c r="N198">
        <v>156.40416554935601</v>
      </c>
      <c r="O198">
        <v>41.184256319139799</v>
      </c>
      <c r="P198">
        <v>12.322497367858899</v>
      </c>
      <c r="Q198">
        <v>33.960807800292997</v>
      </c>
      <c r="R198">
        <v>186.43206787109401</v>
      </c>
      <c r="S198">
        <v>3.38190841674805</v>
      </c>
      <c r="T198">
        <v>9.9837779998779297</v>
      </c>
    </row>
    <row r="199" spans="1:20" x14ac:dyDescent="0.35">
      <c r="A199">
        <v>2.11727129565576</v>
      </c>
      <c r="B199">
        <v>1336</v>
      </c>
      <c r="C199">
        <v>773.847900390625</v>
      </c>
      <c r="D199">
        <v>0.39018950533004298</v>
      </c>
      <c r="E199">
        <v>9.9354066160125907</v>
      </c>
      <c r="F199">
        <v>46.758505706866899</v>
      </c>
      <c r="G199">
        <v>38.634128490736799</v>
      </c>
      <c r="H199">
        <v>3.47563403100775</v>
      </c>
      <c r="I199">
        <v>18.859037399291999</v>
      </c>
      <c r="J199">
        <v>30.173925641543999</v>
      </c>
      <c r="K199">
        <v>821.47564697265602</v>
      </c>
      <c r="L199">
        <v>46.968921817717003</v>
      </c>
      <c r="M199">
        <v>1060.4606033075099</v>
      </c>
      <c r="N199">
        <v>156.509691832496</v>
      </c>
      <c r="O199">
        <v>41.515947623331002</v>
      </c>
      <c r="P199">
        <v>9.4502487182617205</v>
      </c>
      <c r="Q199">
        <v>32.458633422851598</v>
      </c>
      <c r="R199">
        <v>151.14004516601599</v>
      </c>
      <c r="S199">
        <v>3.00981616973877</v>
      </c>
      <c r="T199">
        <v>10.037133216857899</v>
      </c>
    </row>
    <row r="200" spans="1:20" x14ac:dyDescent="0.35">
      <c r="A200">
        <v>2.3802112417116099</v>
      </c>
      <c r="B200">
        <v>507</v>
      </c>
      <c r="C200">
        <v>1366.892578125</v>
      </c>
      <c r="D200">
        <v>0.20498677153005199</v>
      </c>
      <c r="E200">
        <v>20.9770596434584</v>
      </c>
      <c r="F200">
        <v>29.011268667103199</v>
      </c>
      <c r="G200">
        <v>27.4939373495361</v>
      </c>
      <c r="H200">
        <v>5.5015916026058598</v>
      </c>
      <c r="I200">
        <v>8.2760963439941406</v>
      </c>
      <c r="J200">
        <v>58.276413096783202</v>
      </c>
      <c r="K200">
        <v>674.440673828125</v>
      </c>
      <c r="L200">
        <v>78.230060952608696</v>
      </c>
      <c r="M200">
        <v>1371.7220058753801</v>
      </c>
      <c r="N200">
        <v>159.89352216876901</v>
      </c>
      <c r="O200">
        <v>36.1819826032295</v>
      </c>
      <c r="P200">
        <v>15.9052228927612</v>
      </c>
      <c r="Q200">
        <v>34.677692413330099</v>
      </c>
      <c r="R200">
        <v>304.58581542968801</v>
      </c>
      <c r="S200">
        <v>3.74368524551392</v>
      </c>
      <c r="T200">
        <v>8.8418788909912092</v>
      </c>
    </row>
    <row r="201" spans="1:20" x14ac:dyDescent="0.35">
      <c r="A201">
        <v>1.99122607569249</v>
      </c>
      <c r="B201">
        <v>2486</v>
      </c>
      <c r="C201">
        <v>928.162353515625</v>
      </c>
      <c r="D201">
        <v>0.27679081579065001</v>
      </c>
      <c r="E201">
        <v>16.580007920332498</v>
      </c>
      <c r="F201">
        <v>37.830412204041799</v>
      </c>
      <c r="G201">
        <v>37.145707833961303</v>
      </c>
      <c r="H201">
        <v>5.0516166091794199</v>
      </c>
      <c r="I201">
        <v>9.6983289718627894</v>
      </c>
      <c r="J201">
        <v>101.03241329842599</v>
      </c>
      <c r="K201">
        <v>639.57794189453102</v>
      </c>
      <c r="L201">
        <v>51.013919330034099</v>
      </c>
      <c r="M201">
        <v>1061.39343762007</v>
      </c>
      <c r="N201">
        <v>159.69960197073499</v>
      </c>
      <c r="O201">
        <v>37.5020202261503</v>
      </c>
      <c r="P201">
        <v>9.7968559265136701</v>
      </c>
      <c r="Q201">
        <v>34.108131408691399</v>
      </c>
      <c r="R201">
        <v>205.09408569335901</v>
      </c>
      <c r="S201">
        <v>3.2833700180053702</v>
      </c>
      <c r="T201">
        <v>9.9141778945922905</v>
      </c>
    </row>
    <row r="202" spans="1:20" x14ac:dyDescent="0.35">
      <c r="A202">
        <v>2.1139433523068401</v>
      </c>
      <c r="B202">
        <v>3793</v>
      </c>
      <c r="C202">
        <v>842.346435546875</v>
      </c>
      <c r="D202">
        <v>0.29086846626930402</v>
      </c>
      <c r="E202">
        <v>15.5190042163551</v>
      </c>
      <c r="F202">
        <v>36.639331883487003</v>
      </c>
      <c r="G202">
        <v>38.5795766898217</v>
      </c>
      <c r="H202">
        <v>4.9616053581291801</v>
      </c>
      <c r="I202">
        <v>10.415495872497599</v>
      </c>
      <c r="J202">
        <v>164.47010223249899</v>
      </c>
      <c r="K202">
        <v>669.489990234375</v>
      </c>
      <c r="L202">
        <v>52.978868703373102</v>
      </c>
      <c r="M202">
        <v>1091.87373727267</v>
      </c>
      <c r="N202">
        <v>159.21834301557701</v>
      </c>
      <c r="O202">
        <v>38.091425786252898</v>
      </c>
      <c r="P202">
        <v>10.945732116699199</v>
      </c>
      <c r="Q202">
        <v>34.085861206054702</v>
      </c>
      <c r="R202">
        <v>212.65234375</v>
      </c>
      <c r="S202">
        <v>3.27969193458557</v>
      </c>
      <c r="T202">
        <v>9.5694141387939506</v>
      </c>
    </row>
    <row r="203" spans="1:20" x14ac:dyDescent="0.35">
      <c r="A203">
        <v>2.2479732663618099</v>
      </c>
      <c r="B203">
        <v>4083</v>
      </c>
      <c r="C203">
        <v>704.124755859375</v>
      </c>
      <c r="D203">
        <v>0.32648319258786002</v>
      </c>
      <c r="E203">
        <v>14.3641246441577</v>
      </c>
      <c r="F203">
        <v>40.077132361653</v>
      </c>
      <c r="G203">
        <v>36.940298239131103</v>
      </c>
      <c r="H203">
        <v>4.7271492864117199</v>
      </c>
      <c r="I203">
        <v>11.9862260818481</v>
      </c>
      <c r="J203">
        <v>164.47010223249899</v>
      </c>
      <c r="K203">
        <v>695.62713623046898</v>
      </c>
      <c r="L203">
        <v>49.784116494850998</v>
      </c>
      <c r="M203">
        <v>1062.92322277632</v>
      </c>
      <c r="N203">
        <v>158.890726308354</v>
      </c>
      <c r="O203">
        <v>38.876895091572699</v>
      </c>
      <c r="P203">
        <v>10.375413894653301</v>
      </c>
      <c r="Q203">
        <v>33.570770263671903</v>
      </c>
      <c r="R203">
        <v>202.36962890625</v>
      </c>
      <c r="S203">
        <v>3.2043535709381099</v>
      </c>
      <c r="T203">
        <v>9.5126237869262695</v>
      </c>
    </row>
    <row r="204" spans="1:20" x14ac:dyDescent="0.35">
      <c r="A204">
        <v>2.0681858617461599</v>
      </c>
      <c r="B204">
        <v>1909</v>
      </c>
      <c r="C204">
        <v>712.48516845703102</v>
      </c>
      <c r="D204">
        <v>0.37562722022524098</v>
      </c>
      <c r="E204">
        <v>8.1235282121298305</v>
      </c>
      <c r="F204">
        <v>43.1353268069021</v>
      </c>
      <c r="G204">
        <v>45.592100890232302</v>
      </c>
      <c r="H204">
        <v>3.0960816417682899</v>
      </c>
      <c r="I204">
        <v>16.5872097015381</v>
      </c>
      <c r="J204">
        <v>32.243566657384697</v>
      </c>
      <c r="K204">
        <v>883.11901855468795</v>
      </c>
      <c r="L204">
        <v>45.8759396037117</v>
      </c>
      <c r="M204">
        <v>1068.60767902312</v>
      </c>
      <c r="N204">
        <v>155.06996855188601</v>
      </c>
      <c r="O204">
        <v>43.2945889957616</v>
      </c>
      <c r="P204">
        <v>10.9491672515869</v>
      </c>
      <c r="Q204">
        <v>32.7617378234863</v>
      </c>
      <c r="R204">
        <v>144.23138427734401</v>
      </c>
      <c r="S204">
        <v>3.0739653110504199</v>
      </c>
      <c r="T204">
        <v>11.2165784835815</v>
      </c>
    </row>
    <row r="205" spans="1:20" x14ac:dyDescent="0.35">
      <c r="A205">
        <v>2.2304489213782701</v>
      </c>
      <c r="B205">
        <v>7589</v>
      </c>
      <c r="C205">
        <v>353.0068359375</v>
      </c>
      <c r="D205">
        <v>0.50513007230413198</v>
      </c>
      <c r="E205">
        <v>9.6242524744698308</v>
      </c>
      <c r="F205">
        <v>53.905823549672299</v>
      </c>
      <c r="G205">
        <v>29.9144041576224</v>
      </c>
      <c r="H205">
        <v>3.3875303639854502</v>
      </c>
      <c r="I205">
        <v>25.602882385253899</v>
      </c>
      <c r="J205">
        <v>194.644027874046</v>
      </c>
      <c r="K205">
        <v>786.86822509765602</v>
      </c>
      <c r="L205">
        <v>36.776933544971897</v>
      </c>
      <c r="M205">
        <v>940.61256583792294</v>
      </c>
      <c r="N205">
        <v>156.508106919586</v>
      </c>
      <c r="O205">
        <v>41.702359934322203</v>
      </c>
      <c r="P205">
        <v>8.5337781906127894</v>
      </c>
      <c r="Q205">
        <v>30.849666595458999</v>
      </c>
      <c r="R205">
        <v>148.03521728515599</v>
      </c>
      <c r="S205">
        <v>2.9002590179443399</v>
      </c>
      <c r="T205">
        <v>10.543144226074199</v>
      </c>
    </row>
    <row r="206" spans="1:20" x14ac:dyDescent="0.35">
      <c r="A206">
        <v>2.1931245983544598</v>
      </c>
      <c r="B206">
        <v>2580</v>
      </c>
      <c r="C206">
        <v>392.05276489257801</v>
      </c>
      <c r="D206">
        <v>0.46748436023564899</v>
      </c>
      <c r="E206">
        <v>0.81495229119421597</v>
      </c>
      <c r="F206">
        <v>55.618995530623799</v>
      </c>
      <c r="G206">
        <v>42.323102728402098</v>
      </c>
      <c r="H206">
        <v>1.5940729790724</v>
      </c>
      <c r="I206">
        <v>19.765855789184599</v>
      </c>
      <c r="J206">
        <v>0</v>
      </c>
      <c r="K206">
        <v>1061.41186523438</v>
      </c>
      <c r="L206">
        <v>20.4399065580524</v>
      </c>
      <c r="M206">
        <v>834.82943675557101</v>
      </c>
      <c r="N206">
        <v>152.04625539310601</v>
      </c>
      <c r="O206">
        <v>49.2630008009614</v>
      </c>
      <c r="P206">
        <v>9.6039676666259801</v>
      </c>
      <c r="Q206">
        <v>27.727144241333001</v>
      </c>
      <c r="R206">
        <v>70.443611145019503</v>
      </c>
      <c r="S206">
        <v>2.5122718811035201</v>
      </c>
      <c r="T206">
        <v>12.0510263442993</v>
      </c>
    </row>
    <row r="207" spans="1:20" x14ac:dyDescent="0.35">
      <c r="A207">
        <v>2.47567118832443</v>
      </c>
      <c r="B207">
        <v>3132</v>
      </c>
      <c r="C207">
        <v>207.19413757324199</v>
      </c>
      <c r="D207">
        <v>0.53779111362353504</v>
      </c>
      <c r="E207">
        <v>0.67374002391207699</v>
      </c>
      <c r="F207">
        <v>61.650759199693603</v>
      </c>
      <c r="G207">
        <v>35.8828209243825</v>
      </c>
      <c r="H207">
        <v>1.40436506213937</v>
      </c>
      <c r="I207">
        <v>25.1371765136719</v>
      </c>
      <c r="J207">
        <v>0</v>
      </c>
      <c r="K207">
        <v>1043.44689941406</v>
      </c>
      <c r="L207">
        <v>17.5088458452068</v>
      </c>
      <c r="M207">
        <v>799.19973604796405</v>
      </c>
      <c r="N207">
        <v>151.484834264536</v>
      </c>
      <c r="O207">
        <v>49.219617562215802</v>
      </c>
      <c r="P207">
        <v>8.0945262908935494</v>
      </c>
      <c r="Q207">
        <v>26.5480442047119</v>
      </c>
      <c r="R207">
        <v>60.738636016845703</v>
      </c>
      <c r="S207">
        <v>2.46649837493896</v>
      </c>
      <c r="T207">
        <v>11.8056631088257</v>
      </c>
    </row>
    <row r="208" spans="1:20" x14ac:dyDescent="0.35">
      <c r="A208">
        <v>2.2671717284030102</v>
      </c>
      <c r="B208">
        <v>16868</v>
      </c>
      <c r="C208">
        <v>169.23907470703099</v>
      </c>
      <c r="D208">
        <v>0.68950327747358697</v>
      </c>
      <c r="E208">
        <v>5.38224324637146</v>
      </c>
      <c r="F208">
        <v>63.425908941439197</v>
      </c>
      <c r="G208">
        <v>26.559229389840599</v>
      </c>
      <c r="H208">
        <v>2.2327378852303998</v>
      </c>
      <c r="I208">
        <v>27.7894401550293</v>
      </c>
      <c r="J208">
        <v>226.88759453143001</v>
      </c>
      <c r="K208">
        <v>870.14825439453102</v>
      </c>
      <c r="L208">
        <v>25.942844297065101</v>
      </c>
      <c r="M208">
        <v>840.39479440157504</v>
      </c>
      <c r="N208">
        <v>153.55575836681899</v>
      </c>
      <c r="O208">
        <v>44.196020157610803</v>
      </c>
      <c r="P208">
        <v>7.0433616638183603</v>
      </c>
      <c r="Q208">
        <v>27.5246772766113</v>
      </c>
      <c r="R208">
        <v>99.473426818847699</v>
      </c>
      <c r="S208">
        <v>2.6800994873046902</v>
      </c>
      <c r="T208">
        <v>10.6194667816162</v>
      </c>
    </row>
    <row r="209" spans="1:20" x14ac:dyDescent="0.35">
      <c r="A209">
        <v>2.02530586526477</v>
      </c>
      <c r="B209">
        <v>19057</v>
      </c>
      <c r="C209">
        <v>92.239631652832003</v>
      </c>
      <c r="D209">
        <v>0.77578624318567801</v>
      </c>
      <c r="E209">
        <v>4.7593209449170804</v>
      </c>
      <c r="F209">
        <v>66.460794985343895</v>
      </c>
      <c r="G209">
        <v>24.033739186584398</v>
      </c>
      <c r="H209">
        <v>2.0157768898818502</v>
      </c>
      <c r="I209">
        <v>32.137485504150398</v>
      </c>
      <c r="J209">
        <v>226.88759453143001</v>
      </c>
      <c r="K209">
        <v>865.05413818359398</v>
      </c>
      <c r="L209">
        <v>23.47732203124</v>
      </c>
      <c r="M209">
        <v>811.52726470446999</v>
      </c>
      <c r="N209">
        <v>152.72108509501501</v>
      </c>
      <c r="O209">
        <v>44.254168963823197</v>
      </c>
      <c r="P209">
        <v>6.5034942626953098</v>
      </c>
      <c r="Q209">
        <v>26.667324066162099</v>
      </c>
      <c r="R209">
        <v>88.956970214843807</v>
      </c>
      <c r="S209">
        <v>2.6275758743286102</v>
      </c>
      <c r="T209">
        <v>10.634966850280801</v>
      </c>
    </row>
    <row r="210" spans="1:20" x14ac:dyDescent="0.35">
      <c r="A210">
        <v>1.92941892571429</v>
      </c>
      <c r="B210">
        <v>20087</v>
      </c>
      <c r="C210">
        <v>41.598499298095703</v>
      </c>
      <c r="D210">
        <v>0.81905519426600804</v>
      </c>
      <c r="E210">
        <v>4.5260273846800301</v>
      </c>
      <c r="F210">
        <v>67.529030129676201</v>
      </c>
      <c r="G210">
        <v>23.155701335532701</v>
      </c>
      <c r="H210">
        <v>1.9385506714555201</v>
      </c>
      <c r="I210">
        <v>34.218479156494098</v>
      </c>
      <c r="J210">
        <v>226.88759453143001</v>
      </c>
      <c r="K210">
        <v>866.81085205078102</v>
      </c>
      <c r="L210">
        <v>22.802896030613599</v>
      </c>
      <c r="M210">
        <v>804.38840071881395</v>
      </c>
      <c r="N210">
        <v>152.35634750616401</v>
      </c>
      <c r="O210">
        <v>44.332805508472902</v>
      </c>
      <c r="P210">
        <v>6.3177361488342303</v>
      </c>
      <c r="Q210">
        <v>26.4407558441162</v>
      </c>
      <c r="R210">
        <v>84.740989685058594</v>
      </c>
      <c r="S210">
        <v>2.6093308925628702</v>
      </c>
      <c r="T210">
        <v>10.6407375335693</v>
      </c>
    </row>
    <row r="211" spans="1:20" x14ac:dyDescent="0.35">
      <c r="A211">
        <v>2.18184358794477</v>
      </c>
      <c r="B211">
        <v>33895</v>
      </c>
      <c r="C211">
        <v>38.802558898925803</v>
      </c>
      <c r="D211">
        <v>0.88604016223252702</v>
      </c>
      <c r="E211">
        <v>4.1597699816632501</v>
      </c>
      <c r="F211">
        <v>69.693411525404002</v>
      </c>
      <c r="G211">
        <v>21.456753398773699</v>
      </c>
      <c r="H211">
        <v>1.8047009919624899</v>
      </c>
      <c r="I211">
        <v>37.057098388671903</v>
      </c>
      <c r="J211">
        <v>226.88759453143001</v>
      </c>
      <c r="K211">
        <v>872.822509765625</v>
      </c>
      <c r="L211">
        <v>21.9098799189583</v>
      </c>
      <c r="M211">
        <v>797.03659007588396</v>
      </c>
      <c r="N211">
        <v>151.835520009525</v>
      </c>
      <c r="O211">
        <v>44.612247717185099</v>
      </c>
      <c r="P211">
        <v>5.9129991531372097</v>
      </c>
      <c r="Q211">
        <v>26.212949752807599</v>
      </c>
      <c r="R211">
        <v>78.343696594238295</v>
      </c>
      <c r="S211">
        <v>2.5823240280151398</v>
      </c>
      <c r="T211">
        <v>10.6497192382812</v>
      </c>
    </row>
    <row r="212" spans="1:20" x14ac:dyDescent="0.35">
      <c r="A212">
        <v>2.1105897102992501</v>
      </c>
      <c r="B212">
        <v>1991</v>
      </c>
      <c r="C212">
        <v>352.85360717773398</v>
      </c>
      <c r="D212">
        <v>0.43915497880808602</v>
      </c>
      <c r="E212">
        <v>0.19848303993196201</v>
      </c>
      <c r="F212">
        <v>82.399165643706397</v>
      </c>
      <c r="G212">
        <v>15.0519685828154</v>
      </c>
      <c r="H212">
        <v>1.98874322180451</v>
      </c>
      <c r="I212">
        <v>53.080257415771499</v>
      </c>
      <c r="J212">
        <v>0</v>
      </c>
      <c r="K212">
        <v>709.63024902343795</v>
      </c>
      <c r="L212">
        <v>10.3974684809075</v>
      </c>
      <c r="M212">
        <v>656.64557184938496</v>
      </c>
      <c r="N212">
        <v>153.22102330942599</v>
      </c>
      <c r="O212">
        <v>44.410821820868797</v>
      </c>
      <c r="P212">
        <v>2.36540007591248</v>
      </c>
      <c r="Q212">
        <v>28.681169509887699</v>
      </c>
      <c r="R212">
        <v>68.028312683105497</v>
      </c>
      <c r="S212">
        <v>2.2950196266174299</v>
      </c>
      <c r="T212">
        <v>14.641817092895501</v>
      </c>
    </row>
    <row r="213" spans="1:20" x14ac:dyDescent="0.35">
      <c r="A213">
        <v>2.1003705451175598</v>
      </c>
      <c r="B213">
        <v>1540</v>
      </c>
      <c r="C213">
        <v>828.929443359375</v>
      </c>
      <c r="D213">
        <v>0.34256397232789898</v>
      </c>
      <c r="E213">
        <v>6.7124593513143402</v>
      </c>
      <c r="F213">
        <v>74.665139870768996</v>
      </c>
      <c r="G213">
        <v>14.831361640483101</v>
      </c>
      <c r="H213">
        <v>3.7951115051334701</v>
      </c>
      <c r="I213">
        <v>25.551054000854499</v>
      </c>
      <c r="J213">
        <v>65.192926301092101</v>
      </c>
      <c r="K213">
        <v>599.52520751953102</v>
      </c>
      <c r="L213">
        <v>27.7000782450692</v>
      </c>
      <c r="M213">
        <v>822.37414951011795</v>
      </c>
      <c r="N213">
        <v>156.053867277552</v>
      </c>
      <c r="O213">
        <v>40.421904704609901</v>
      </c>
      <c r="P213">
        <v>4.9263825416564897</v>
      </c>
      <c r="Q213">
        <v>31.705860137939499</v>
      </c>
      <c r="R213">
        <v>129.62145996093801</v>
      </c>
      <c r="S213">
        <v>2.78397512435913</v>
      </c>
      <c r="T213">
        <v>9.6845684051513707</v>
      </c>
    </row>
    <row r="214" spans="1:20" x14ac:dyDescent="0.35">
      <c r="A214">
        <v>2.4927603890268402</v>
      </c>
      <c r="B214">
        <v>2100</v>
      </c>
      <c r="C214">
        <v>701.61535644531205</v>
      </c>
      <c r="D214">
        <v>0.33845726410687899</v>
      </c>
      <c r="E214">
        <v>17.002520804684998</v>
      </c>
      <c r="F214">
        <v>54.923975118853697</v>
      </c>
      <c r="G214">
        <v>18.156384043006799</v>
      </c>
      <c r="H214">
        <v>5.9053844214123004</v>
      </c>
      <c r="I214">
        <v>23.9620971679688</v>
      </c>
      <c r="J214">
        <v>185.12274995053201</v>
      </c>
      <c r="K214">
        <v>680.22320556640602</v>
      </c>
      <c r="L214">
        <v>43.031512244802997</v>
      </c>
      <c r="M214">
        <v>950.02339647636995</v>
      </c>
      <c r="N214">
        <v>158.317135670146</v>
      </c>
      <c r="O214">
        <v>35.961100375066003</v>
      </c>
      <c r="P214">
        <v>8.2013187408447301</v>
      </c>
      <c r="Q214">
        <v>32.0836181640625</v>
      </c>
      <c r="R214">
        <v>216.57971191406199</v>
      </c>
      <c r="S214">
        <v>3.3450684547424299</v>
      </c>
      <c r="T214">
        <v>9.4123573303222692</v>
      </c>
    </row>
    <row r="215" spans="1:20" x14ac:dyDescent="0.35">
      <c r="A215">
        <v>2.5670263661590602</v>
      </c>
      <c r="B215">
        <v>2190</v>
      </c>
      <c r="C215">
        <v>603.904296875</v>
      </c>
      <c r="D215">
        <v>0.35418089274090803</v>
      </c>
      <c r="E215">
        <v>16.487905172168599</v>
      </c>
      <c r="F215">
        <v>54.899217009649803</v>
      </c>
      <c r="G215">
        <v>18.986430107155101</v>
      </c>
      <c r="H215">
        <v>5.8062009305047502</v>
      </c>
      <c r="I215">
        <v>24.936517715454102</v>
      </c>
      <c r="J215">
        <v>185.12274995053201</v>
      </c>
      <c r="K215">
        <v>686.55499267578102</v>
      </c>
      <c r="L215">
        <v>42.084721236932502</v>
      </c>
      <c r="M215">
        <v>943.31201872278405</v>
      </c>
      <c r="N215">
        <v>158.162189421107</v>
      </c>
      <c r="O215">
        <v>36.357299867223503</v>
      </c>
      <c r="P215">
        <v>8.1715564727783203</v>
      </c>
      <c r="Q215">
        <v>32.000839233398402</v>
      </c>
      <c r="R215">
        <v>212.394943237305</v>
      </c>
      <c r="S215">
        <v>3.3257000446319598</v>
      </c>
      <c r="T215">
        <v>9.7400999069213903</v>
      </c>
    </row>
    <row r="216" spans="1:20" x14ac:dyDescent="0.35">
      <c r="A216">
        <v>2.3729120029701098</v>
      </c>
      <c r="B216">
        <v>2000</v>
      </c>
      <c r="C216">
        <v>300.6572265625</v>
      </c>
      <c r="D216">
        <v>0.47422354106812598</v>
      </c>
      <c r="E216">
        <v>5.2168442774100701</v>
      </c>
      <c r="F216">
        <v>77.975606413856994</v>
      </c>
      <c r="G216">
        <v>13.689415836654399</v>
      </c>
      <c r="H216">
        <v>3.2310252881355899</v>
      </c>
      <c r="I216">
        <v>27.572546005248999</v>
      </c>
      <c r="J216">
        <v>65.192926301092101</v>
      </c>
      <c r="K216">
        <v>660.5830078125</v>
      </c>
      <c r="L216">
        <v>23.2434497739448</v>
      </c>
      <c r="M216">
        <v>782.05811247278405</v>
      </c>
      <c r="N216">
        <v>155.10047912597699</v>
      </c>
      <c r="O216">
        <v>41.6344730189589</v>
      </c>
      <c r="P216">
        <v>4.0607638359069798</v>
      </c>
      <c r="Q216">
        <v>30.700130462646499</v>
      </c>
      <c r="R216">
        <v>109.803146362305</v>
      </c>
      <c r="S216">
        <v>2.7097616195678702</v>
      </c>
      <c r="T216">
        <v>10.5759086608887</v>
      </c>
    </row>
    <row r="217" spans="1:20" x14ac:dyDescent="0.35">
      <c r="A217">
        <v>1.7160033436347999</v>
      </c>
      <c r="B217">
        <v>3591</v>
      </c>
      <c r="C217">
        <v>261.65313720703102</v>
      </c>
      <c r="D217">
        <v>0.52466539285196101</v>
      </c>
      <c r="E217">
        <v>5.8702148656955402E-2</v>
      </c>
      <c r="F217">
        <v>87.498731309419895</v>
      </c>
      <c r="G217">
        <v>10.0245694312214</v>
      </c>
      <c r="H217">
        <v>0.823490947740668</v>
      </c>
      <c r="I217">
        <v>54.5385551452637</v>
      </c>
      <c r="J217">
        <v>0</v>
      </c>
      <c r="K217">
        <v>768.74084472656205</v>
      </c>
      <c r="L217">
        <v>6.1249443273075297</v>
      </c>
      <c r="M217">
        <v>576.264654440958</v>
      </c>
      <c r="N217">
        <v>150.621844932681</v>
      </c>
      <c r="O217">
        <v>41.996737558333599</v>
      </c>
      <c r="P217">
        <v>2.1474180221557599</v>
      </c>
      <c r="Q217">
        <v>19.8651523590088</v>
      </c>
      <c r="R217">
        <v>34.8357124328613</v>
      </c>
      <c r="S217">
        <v>2.34641766548157</v>
      </c>
      <c r="T217">
        <v>10.141283988952599</v>
      </c>
    </row>
    <row r="218" spans="1:20" x14ac:dyDescent="0.35">
      <c r="A218">
        <v>2.0293837776852102</v>
      </c>
      <c r="B218">
        <v>6337</v>
      </c>
      <c r="C218">
        <v>210.61207580566401</v>
      </c>
      <c r="D218">
        <v>0.631315090611279</v>
      </c>
      <c r="E218">
        <v>0.134853925667163</v>
      </c>
      <c r="F218">
        <v>86.656298402089604</v>
      </c>
      <c r="G218">
        <v>10.8160163518096</v>
      </c>
      <c r="H218">
        <v>1.0902882469917701</v>
      </c>
      <c r="I218">
        <v>55.466468811035199</v>
      </c>
      <c r="J218">
        <v>0</v>
      </c>
      <c r="K218">
        <v>746.66784667968795</v>
      </c>
      <c r="L218">
        <v>7.1818018506784904</v>
      </c>
      <c r="M218">
        <v>591.60339205382297</v>
      </c>
      <c r="N218">
        <v>151.174297145156</v>
      </c>
      <c r="O218">
        <v>42.2133605831959</v>
      </c>
      <c r="P218">
        <v>2.1403849124908398</v>
      </c>
      <c r="Q218">
        <v>22.584285736083999</v>
      </c>
      <c r="R218">
        <v>41.099029541015597</v>
      </c>
      <c r="S218">
        <v>2.3672754764556898</v>
      </c>
      <c r="T218">
        <v>11.495333671569799</v>
      </c>
    </row>
    <row r="219" spans="1:20" x14ac:dyDescent="0.35">
      <c r="A219">
        <v>2.4065401804339599</v>
      </c>
      <c r="B219">
        <v>739</v>
      </c>
      <c r="C219">
        <v>984.65582275390602</v>
      </c>
      <c r="D219">
        <v>0.31247864166118899</v>
      </c>
      <c r="E219">
        <v>22.496661006031001</v>
      </c>
      <c r="F219">
        <v>47.099581073250697</v>
      </c>
      <c r="G219">
        <v>18.259198264809999</v>
      </c>
      <c r="H219">
        <v>6.4942258065217402</v>
      </c>
      <c r="I219">
        <v>45.828384399414098</v>
      </c>
      <c r="J219">
        <v>70.6793677594152</v>
      </c>
      <c r="K219">
        <v>733.06188964843795</v>
      </c>
      <c r="L219">
        <v>47.056783644879502</v>
      </c>
      <c r="M219">
        <v>984.39273621606003</v>
      </c>
      <c r="N219">
        <v>159.87967594334299</v>
      </c>
      <c r="O219">
        <v>35.110765957441501</v>
      </c>
      <c r="P219">
        <v>9.2359657287597692</v>
      </c>
      <c r="Q219">
        <v>31.3793029785156</v>
      </c>
      <c r="R219">
        <v>239.59558105468801</v>
      </c>
      <c r="S219">
        <v>3.5068025588989298</v>
      </c>
      <c r="T219">
        <v>9.0434551239013707</v>
      </c>
    </row>
    <row r="220" spans="1:20" x14ac:dyDescent="0.35">
      <c r="A220">
        <v>2.6757783416740901</v>
      </c>
      <c r="B220">
        <v>1350</v>
      </c>
      <c r="C220">
        <v>765.31896972656205</v>
      </c>
      <c r="D220">
        <v>0.35447501837196399</v>
      </c>
      <c r="E220">
        <v>19.744204179204601</v>
      </c>
      <c r="F220">
        <v>35.473785358877201</v>
      </c>
      <c r="G220">
        <v>20.8073725094427</v>
      </c>
      <c r="H220">
        <v>6.9237346846522803</v>
      </c>
      <c r="I220">
        <v>13.698498725891101</v>
      </c>
      <c r="J220">
        <v>197.559113088272</v>
      </c>
      <c r="K220">
        <v>824.66516113281205</v>
      </c>
      <c r="L220">
        <v>50.4289888475762</v>
      </c>
      <c r="M220">
        <v>1035.2742799852699</v>
      </c>
      <c r="N220">
        <v>159.685168907291</v>
      </c>
      <c r="O220">
        <v>35.973436511930899</v>
      </c>
      <c r="P220">
        <v>19.221286773681602</v>
      </c>
      <c r="Q220">
        <v>32.289215087890597</v>
      </c>
      <c r="R220">
        <v>275.45593261718801</v>
      </c>
      <c r="S220">
        <v>3.6551604270935099</v>
      </c>
      <c r="T220">
        <v>9.0574274063110405</v>
      </c>
    </row>
    <row r="221" spans="1:20" x14ac:dyDescent="0.35">
      <c r="A221">
        <v>2.5327543789925002</v>
      </c>
      <c r="B221">
        <v>6800</v>
      </c>
      <c r="C221">
        <v>191.09680175781199</v>
      </c>
      <c r="D221">
        <v>0.64196721472972795</v>
      </c>
      <c r="E221">
        <v>11.987427614199399</v>
      </c>
      <c r="F221">
        <v>50.3933977387371</v>
      </c>
      <c r="G221">
        <v>27.329054314975799</v>
      </c>
      <c r="H221">
        <v>3.90864568042843</v>
      </c>
      <c r="I221">
        <v>41.738574981689503</v>
      </c>
      <c r="J221">
        <v>468.41765691599602</v>
      </c>
      <c r="K221">
        <v>844.54742431640602</v>
      </c>
      <c r="L221">
        <v>32.543704986572301</v>
      </c>
      <c r="M221">
        <v>869.31224385245901</v>
      </c>
      <c r="N221">
        <v>156.72380616235</v>
      </c>
      <c r="O221">
        <v>39.9246273353452</v>
      </c>
      <c r="P221">
        <v>10.6510353088379</v>
      </c>
      <c r="Q221">
        <v>29.371620178222699</v>
      </c>
      <c r="R221">
        <v>162.63928222656199</v>
      </c>
      <c r="S221">
        <v>3.2667500972747798</v>
      </c>
      <c r="T221">
        <v>10.5410614013672</v>
      </c>
    </row>
    <row r="222" spans="1:20" x14ac:dyDescent="0.35">
      <c r="A222">
        <v>2.6627578316815699</v>
      </c>
      <c r="B222">
        <v>9820</v>
      </c>
      <c r="C222">
        <v>188.46258544921901</v>
      </c>
      <c r="D222">
        <v>0.65567423226974697</v>
      </c>
      <c r="E222">
        <v>9.6484959426861394</v>
      </c>
      <c r="F222">
        <v>59.250963070192903</v>
      </c>
      <c r="G222">
        <v>22.959941605478502</v>
      </c>
      <c r="H222">
        <v>3.48836959935129</v>
      </c>
      <c r="I222">
        <v>39.736251831054702</v>
      </c>
      <c r="J222">
        <v>533.61058321708504</v>
      </c>
      <c r="K222">
        <v>813.08380126953102</v>
      </c>
      <c r="L222">
        <v>28.545450554519402</v>
      </c>
      <c r="M222">
        <v>829.77600898117305</v>
      </c>
      <c r="N222">
        <v>155.96321631259599</v>
      </c>
      <c r="O222">
        <v>40.5691926674765</v>
      </c>
      <c r="P222">
        <v>8.5237007141113299</v>
      </c>
      <c r="Q222">
        <v>29.246696472168001</v>
      </c>
      <c r="R222">
        <v>140.07484436035199</v>
      </c>
      <c r="S222">
        <v>3.0910303592681898</v>
      </c>
      <c r="T222">
        <v>10.6458530426025</v>
      </c>
    </row>
    <row r="223" spans="1:20" x14ac:dyDescent="0.35">
      <c r="A223">
        <v>2.4409090820652199</v>
      </c>
      <c r="B223">
        <v>831</v>
      </c>
      <c r="C223">
        <v>1216.04614257812</v>
      </c>
      <c r="D223">
        <v>0.213171357494157</v>
      </c>
      <c r="E223">
        <v>22.880270006895501</v>
      </c>
      <c r="F223">
        <v>48.9626080057823</v>
      </c>
      <c r="G223">
        <v>20.904149306684999</v>
      </c>
      <c r="H223">
        <v>6.5518844413518904</v>
      </c>
      <c r="I223">
        <v>18.433843612670898</v>
      </c>
      <c r="J223">
        <v>47.381328936204298</v>
      </c>
      <c r="K223">
        <v>806.874755859375</v>
      </c>
      <c r="L223">
        <v>51.749667621049703</v>
      </c>
      <c r="M223">
        <v>1082.13181292424</v>
      </c>
      <c r="N223">
        <v>162.890429887615</v>
      </c>
      <c r="O223">
        <v>38.491012448170103</v>
      </c>
      <c r="P223">
        <v>6.6286487579345703</v>
      </c>
      <c r="Q223">
        <v>31.622758865356399</v>
      </c>
      <c r="R223">
        <v>275.51168823242199</v>
      </c>
      <c r="S223">
        <v>3.72357225418091</v>
      </c>
      <c r="T223">
        <v>8.9415178298950195</v>
      </c>
    </row>
    <row r="224" spans="1:20" x14ac:dyDescent="0.35">
      <c r="A224">
        <v>2.7979596437372001</v>
      </c>
      <c r="B224">
        <v>1080</v>
      </c>
      <c r="C224">
        <v>808.53131103515602</v>
      </c>
      <c r="D224">
        <v>0.263493311440267</v>
      </c>
      <c r="E224">
        <v>20.443086436648699</v>
      </c>
      <c r="F224">
        <v>48.535689539399101</v>
      </c>
      <c r="G224">
        <v>24.618750640567999</v>
      </c>
      <c r="H224">
        <v>6.6654265215999997</v>
      </c>
      <c r="I224">
        <v>18.659862518310501</v>
      </c>
      <c r="J224">
        <v>51.567377569801003</v>
      </c>
      <c r="K224">
        <v>853.75640869140602</v>
      </c>
      <c r="L224">
        <v>48.726551962680503</v>
      </c>
      <c r="M224">
        <v>1068.3935847047901</v>
      </c>
      <c r="N224">
        <v>162.41506357662001</v>
      </c>
      <c r="O224">
        <v>40.3748839956815</v>
      </c>
      <c r="P224">
        <v>7.0086417198181197</v>
      </c>
      <c r="Q224">
        <v>30.968563079833999</v>
      </c>
      <c r="R224">
        <v>276.13851928710898</v>
      </c>
      <c r="S224">
        <v>3.7180159091949498</v>
      </c>
      <c r="T224">
        <v>8.9570875167846697</v>
      </c>
    </row>
    <row r="225" spans="1:20" x14ac:dyDescent="0.35">
      <c r="A225">
        <v>2.4265112613645798</v>
      </c>
      <c r="B225">
        <v>398</v>
      </c>
      <c r="C225">
        <v>1002.84106445312</v>
      </c>
      <c r="D225">
        <v>0.33880939368562801</v>
      </c>
      <c r="E225">
        <v>22.807994496738001</v>
      </c>
      <c r="F225">
        <v>44.563544123309597</v>
      </c>
      <c r="G225">
        <v>29.705655195458299</v>
      </c>
      <c r="H225">
        <v>6.8503948686440701</v>
      </c>
      <c r="I225">
        <v>28.9202556610107</v>
      </c>
      <c r="J225">
        <v>12.6852985696784</v>
      </c>
      <c r="K225">
        <v>966</v>
      </c>
      <c r="L225">
        <v>42.588041837098203</v>
      </c>
      <c r="M225">
        <v>1040.9322599817499</v>
      </c>
      <c r="N225">
        <v>159.51405159371799</v>
      </c>
      <c r="O225">
        <v>44.241117758829098</v>
      </c>
      <c r="P225">
        <v>7.0684924125671396</v>
      </c>
      <c r="Q225">
        <v>29.538642883300799</v>
      </c>
      <c r="R225">
        <v>288.37365722656199</v>
      </c>
      <c r="S225">
        <v>3.6988077163696298</v>
      </c>
      <c r="T225">
        <v>9.0794191360473597</v>
      </c>
    </row>
    <row r="226" spans="1:20" x14ac:dyDescent="0.35">
      <c r="A226">
        <v>2.3710678622717398</v>
      </c>
      <c r="B226">
        <v>410</v>
      </c>
      <c r="C226">
        <v>927.08111572265602</v>
      </c>
      <c r="D226">
        <v>0.34872700136426599</v>
      </c>
      <c r="E226">
        <v>22.1484578000311</v>
      </c>
      <c r="F226">
        <v>43.337488818449003</v>
      </c>
      <c r="G226">
        <v>31.671628515302501</v>
      </c>
      <c r="H226">
        <v>6.7633023925619797</v>
      </c>
      <c r="I226">
        <v>28.991218566894499</v>
      </c>
      <c r="J226">
        <v>12.6852985696784</v>
      </c>
      <c r="K226">
        <v>977.440673828125</v>
      </c>
      <c r="L226">
        <v>41.946590173439901</v>
      </c>
      <c r="M226">
        <v>1037.6028862624901</v>
      </c>
      <c r="N226">
        <v>159.37162180415899</v>
      </c>
      <c r="O226">
        <v>44.606517541603999</v>
      </c>
      <c r="P226">
        <v>7.57486867904663</v>
      </c>
      <c r="Q226">
        <v>29.443763732910199</v>
      </c>
      <c r="R226">
        <v>284.73086547851602</v>
      </c>
      <c r="S226">
        <v>3.6975617408752401</v>
      </c>
      <c r="T226">
        <v>9.1523742675781197</v>
      </c>
    </row>
    <row r="227" spans="1:20" x14ac:dyDescent="0.35">
      <c r="A227">
        <v>2.4232458739368101</v>
      </c>
      <c r="B227">
        <v>160</v>
      </c>
      <c r="C227">
        <v>1500.64282226562</v>
      </c>
      <c r="D227">
        <v>0.32036021702434397</v>
      </c>
      <c r="E227">
        <v>24.854503790684401</v>
      </c>
      <c r="F227">
        <v>46.267130710812403</v>
      </c>
      <c r="G227">
        <v>13.6268789539448</v>
      </c>
      <c r="H227">
        <v>6.0726968035714304</v>
      </c>
      <c r="I227">
        <v>61.524269104003899</v>
      </c>
      <c r="J227">
        <v>18.9492501960443</v>
      </c>
      <c r="K227">
        <v>945.45062255859398</v>
      </c>
      <c r="L227">
        <v>48.6313216099974</v>
      </c>
      <c r="M227">
        <v>1036.8677658331201</v>
      </c>
      <c r="N227">
        <v>161.891431964812</v>
      </c>
      <c r="O227">
        <v>37.869025621257798</v>
      </c>
      <c r="P227">
        <v>7.9307355880737296</v>
      </c>
      <c r="Q227">
        <v>28.83127784729</v>
      </c>
      <c r="R227">
        <v>270.831787109375</v>
      </c>
      <c r="S227">
        <v>3.7102708816528298</v>
      </c>
      <c r="T227">
        <v>8.7080554962158203</v>
      </c>
    </row>
    <row r="228" spans="1:20" x14ac:dyDescent="0.35">
      <c r="A228">
        <v>2.3483048630481602</v>
      </c>
      <c r="B228">
        <v>410</v>
      </c>
      <c r="C228">
        <v>678.48498535156205</v>
      </c>
      <c r="D228">
        <v>0.404278633658055</v>
      </c>
      <c r="E228">
        <v>18.567589994815702</v>
      </c>
      <c r="F228">
        <v>39.1952802923335</v>
      </c>
      <c r="G228">
        <v>31.843525675033799</v>
      </c>
      <c r="H228">
        <v>6.4029352528301899</v>
      </c>
      <c r="I228">
        <v>76.712997436523395</v>
      </c>
      <c r="J228">
        <v>33.714407898448897</v>
      </c>
      <c r="K228">
        <v>1032.97900390625</v>
      </c>
      <c r="L228">
        <v>41.344264358770701</v>
      </c>
      <c r="M228">
        <v>1009.2156522156801</v>
      </c>
      <c r="N228">
        <v>159.956836137615</v>
      </c>
      <c r="O228">
        <v>42.848514119132602</v>
      </c>
      <c r="P228">
        <v>11.123106002807599</v>
      </c>
      <c r="Q228">
        <v>28.644371032714801</v>
      </c>
      <c r="R228">
        <v>267.76626586914102</v>
      </c>
      <c r="S228">
        <v>3.6995289325714098</v>
      </c>
      <c r="T228">
        <v>9.5795612335205096</v>
      </c>
    </row>
    <row r="229" spans="1:20" x14ac:dyDescent="0.35">
      <c r="A229">
        <v>3.0425755124401901</v>
      </c>
      <c r="B229">
        <v>1010</v>
      </c>
      <c r="C229">
        <v>1203.81774902344</v>
      </c>
      <c r="D229">
        <v>0.208762648394761</v>
      </c>
      <c r="E229">
        <v>38.944998373229403</v>
      </c>
      <c r="F229">
        <v>45.376171014132197</v>
      </c>
      <c r="G229">
        <v>9.2669731166019709</v>
      </c>
      <c r="H229">
        <v>6.2073040527950303</v>
      </c>
      <c r="I229">
        <v>8.7900609970092791</v>
      </c>
      <c r="J229">
        <v>66.183364659310797</v>
      </c>
      <c r="K229">
        <v>812.39831542968795</v>
      </c>
      <c r="L229">
        <v>56.801334881391703</v>
      </c>
      <c r="M229">
        <v>1109.2426747806701</v>
      </c>
      <c r="N229">
        <v>162.02563376504901</v>
      </c>
      <c r="O229">
        <v>35.691418413256002</v>
      </c>
      <c r="P229">
        <v>5.3708868026733398</v>
      </c>
      <c r="Q229">
        <v>30.751426696777301</v>
      </c>
      <c r="R229">
        <v>262.42398071289102</v>
      </c>
      <c r="S229">
        <v>3.7507357597351101</v>
      </c>
      <c r="T229">
        <v>8.5168628692627006</v>
      </c>
    </row>
    <row r="230" spans="1:20" x14ac:dyDescent="0.35">
      <c r="A230">
        <v>3.1872386198314802</v>
      </c>
      <c r="B230">
        <v>1490</v>
      </c>
      <c r="C230">
        <v>704.22021484375</v>
      </c>
      <c r="D230">
        <v>0.30460045450711498</v>
      </c>
      <c r="E230">
        <v>33.970306615023901</v>
      </c>
      <c r="F230">
        <v>42.437873867752998</v>
      </c>
      <c r="G230">
        <v>18.444231419310999</v>
      </c>
      <c r="H230">
        <v>5.9459194293305</v>
      </c>
      <c r="I230">
        <v>19.511985778808601</v>
      </c>
      <c r="J230">
        <v>71.489495914923793</v>
      </c>
      <c r="K230">
        <v>897.0009765625</v>
      </c>
      <c r="L230">
        <v>49.3677989146749</v>
      </c>
      <c r="M230">
        <v>1062.25362108575</v>
      </c>
      <c r="N230">
        <v>161.315016449475</v>
      </c>
      <c r="O230">
        <v>39.2151557422075</v>
      </c>
      <c r="P230">
        <v>6.8150110244751003</v>
      </c>
      <c r="Q230">
        <v>30.19553565979</v>
      </c>
      <c r="R230">
        <v>258.61022949218801</v>
      </c>
      <c r="S230">
        <v>3.7332303524017298</v>
      </c>
      <c r="T230">
        <v>8.7741842269897496</v>
      </c>
    </row>
    <row r="231" spans="1:20" x14ac:dyDescent="0.35">
      <c r="A231">
        <v>2.5092025223310999</v>
      </c>
      <c r="B231">
        <v>6490</v>
      </c>
      <c r="C231">
        <v>341.48388671875</v>
      </c>
      <c r="D231">
        <v>0.63665395702974503</v>
      </c>
      <c r="E231">
        <v>14.9929984149411</v>
      </c>
      <c r="F231">
        <v>52.450987534636802</v>
      </c>
      <c r="G231">
        <v>27.5628231600897</v>
      </c>
      <c r="H231">
        <v>3.4447109688367101</v>
      </c>
      <c r="I231">
        <v>46.522350311279297</v>
      </c>
      <c r="J231">
        <v>169.45657995287499</v>
      </c>
      <c r="K231">
        <v>1065.57189941406</v>
      </c>
      <c r="L231">
        <v>31.985203696078901</v>
      </c>
      <c r="M231">
        <v>933.24542636558704</v>
      </c>
      <c r="N231">
        <v>158.15579173603999</v>
      </c>
      <c r="O231">
        <v>45.868241544629697</v>
      </c>
      <c r="P231">
        <v>7.7228941917419398</v>
      </c>
      <c r="Q231">
        <v>27.9266166687012</v>
      </c>
      <c r="R231">
        <v>168.21461486816401</v>
      </c>
      <c r="S231">
        <v>3.6727373600006099</v>
      </c>
      <c r="T231">
        <v>10.2924451828003</v>
      </c>
    </row>
    <row r="232" spans="1:20" x14ac:dyDescent="0.35">
      <c r="A232">
        <v>2.7024305364455299</v>
      </c>
      <c r="B232">
        <v>8920</v>
      </c>
      <c r="C232">
        <v>221.95314025878901</v>
      </c>
      <c r="D232">
        <v>0.68903286557744403</v>
      </c>
      <c r="E232">
        <v>13.279394166236001</v>
      </c>
      <c r="F232">
        <v>52.445270905870402</v>
      </c>
      <c r="G232">
        <v>28.059863387688299</v>
      </c>
      <c r="H232">
        <v>3.3124123975502799</v>
      </c>
      <c r="I232">
        <v>43.2600708007812</v>
      </c>
      <c r="J232">
        <v>284.54266103673098</v>
      </c>
      <c r="K232">
        <v>1048.9912109375</v>
      </c>
      <c r="L232">
        <v>30.380773075291401</v>
      </c>
      <c r="M232">
        <v>907.01165471311504</v>
      </c>
      <c r="N232">
        <v>157.73211094590499</v>
      </c>
      <c r="O232">
        <v>45.2906501644947</v>
      </c>
      <c r="P232">
        <v>8.6128797531127894</v>
      </c>
      <c r="Q232">
        <v>27.982000350952099</v>
      </c>
      <c r="R232">
        <v>155.33973693847699</v>
      </c>
      <c r="S232">
        <v>3.6145873069763201</v>
      </c>
      <c r="T232">
        <v>10.3597602844238</v>
      </c>
    </row>
    <row r="233" spans="1:20" x14ac:dyDescent="0.35">
      <c r="A233">
        <v>2.5224442335063202</v>
      </c>
      <c r="B233">
        <v>19600</v>
      </c>
      <c r="C233">
        <v>167.75770568847699</v>
      </c>
      <c r="D233">
        <v>0.69970578463019395</v>
      </c>
      <c r="E233">
        <v>10.941438852094601</v>
      </c>
      <c r="F233">
        <v>57.1542198901276</v>
      </c>
      <c r="G233">
        <v>24.791035191289399</v>
      </c>
      <c r="H233">
        <v>3.2858925009825901</v>
      </c>
      <c r="I233">
        <v>41.8834037780762</v>
      </c>
      <c r="J233">
        <v>818.15324425381198</v>
      </c>
      <c r="K233">
        <v>923.72845458984398</v>
      </c>
      <c r="L233">
        <v>28.562145108082301</v>
      </c>
      <c r="M233">
        <v>854.18009673571999</v>
      </c>
      <c r="N233">
        <v>156.577261002337</v>
      </c>
      <c r="O233">
        <v>42.644882264684497</v>
      </c>
      <c r="P233">
        <v>8.3620882034301793</v>
      </c>
      <c r="Q233">
        <v>28.4236660003662</v>
      </c>
      <c r="R233">
        <v>142.09500122070301</v>
      </c>
      <c r="S233">
        <v>3.3101320266723602</v>
      </c>
      <c r="T233">
        <v>10.4369163513184</v>
      </c>
    </row>
    <row r="234" spans="1:20" x14ac:dyDescent="0.35">
      <c r="A234">
        <v>2.5921767573958698</v>
      </c>
      <c r="B234">
        <v>20600</v>
      </c>
      <c r="C234">
        <v>134.83921813964801</v>
      </c>
      <c r="D234">
        <v>0.73698658235210501</v>
      </c>
      <c r="E234">
        <v>10.3619949740921</v>
      </c>
      <c r="F234">
        <v>58.446655446287203</v>
      </c>
      <c r="G234">
        <v>24.359216251078202</v>
      </c>
      <c r="H234">
        <v>3.1393387818169698</v>
      </c>
      <c r="I234">
        <v>43.105106353759801</v>
      </c>
      <c r="J234">
        <v>818.15324425381198</v>
      </c>
      <c r="K234">
        <v>927.77679443359398</v>
      </c>
      <c r="L234">
        <v>27.382376029843201</v>
      </c>
      <c r="M234">
        <v>838.42437944255903</v>
      </c>
      <c r="N234">
        <v>156.310315491723</v>
      </c>
      <c r="O234">
        <v>42.515348027964102</v>
      </c>
      <c r="P234">
        <v>8.1141614913940394</v>
      </c>
      <c r="Q234">
        <v>28.1690273284912</v>
      </c>
      <c r="R234">
        <v>135.67622375488301</v>
      </c>
      <c r="S234">
        <v>3.3086311817169198</v>
      </c>
      <c r="T234">
        <v>10.3587636947632</v>
      </c>
    </row>
    <row r="235" spans="1:20" x14ac:dyDescent="0.35">
      <c r="A235">
        <v>2.8549130223078598</v>
      </c>
      <c r="B235">
        <v>12200</v>
      </c>
      <c r="C235">
        <v>40.6092529296875</v>
      </c>
      <c r="D235">
        <v>0.83155344785483298</v>
      </c>
      <c r="E235">
        <v>5.0021059037638897</v>
      </c>
      <c r="F235">
        <v>57.319503345473699</v>
      </c>
      <c r="G235">
        <v>36.113743470935702</v>
      </c>
      <c r="H235">
        <v>2.5508546839131001</v>
      </c>
      <c r="I235">
        <v>100.189971923828</v>
      </c>
      <c r="J235">
        <v>40.142677575615501</v>
      </c>
      <c r="K235">
        <v>981.10308837890602</v>
      </c>
      <c r="L235">
        <v>13.040283257844001</v>
      </c>
      <c r="M235">
        <v>698.89454075547496</v>
      </c>
      <c r="N235">
        <v>155.751907598777</v>
      </c>
      <c r="O235">
        <v>45.287587587950703</v>
      </c>
      <c r="P235">
        <v>8.7608833312988299</v>
      </c>
      <c r="Q235">
        <v>26.807807922363299</v>
      </c>
      <c r="R235">
        <v>123.83945465087901</v>
      </c>
      <c r="S235">
        <v>3.6932065486907999</v>
      </c>
      <c r="T235">
        <v>11.2454996109009</v>
      </c>
    </row>
    <row r="236" spans="1:20" x14ac:dyDescent="0.35">
      <c r="A236">
        <v>0.95424250943932498</v>
      </c>
      <c r="B236">
        <v>10000</v>
      </c>
      <c r="C236">
        <v>147.91943359375</v>
      </c>
      <c r="D236">
        <v>0.68629533060694903</v>
      </c>
      <c r="E236">
        <v>0.14391634424710001</v>
      </c>
      <c r="F236">
        <v>89.172134650187203</v>
      </c>
      <c r="G236">
        <v>8.6149230896211595</v>
      </c>
      <c r="H236">
        <v>0.91217656270369896</v>
      </c>
      <c r="I236">
        <v>52.141445159912102</v>
      </c>
      <c r="J236">
        <v>0</v>
      </c>
      <c r="K236">
        <v>734.26629638671898</v>
      </c>
      <c r="L236">
        <v>6.5009446613124204</v>
      </c>
      <c r="M236">
        <v>569.56080452340598</v>
      </c>
      <c r="N236">
        <v>150.38098094502399</v>
      </c>
      <c r="O236">
        <v>41.058138706645003</v>
      </c>
      <c r="P236">
        <v>1.8335654735565201</v>
      </c>
      <c r="Q236">
        <v>22.069585800170898</v>
      </c>
      <c r="R236">
        <v>35.2260131835938</v>
      </c>
      <c r="S236">
        <v>2.42798972129822</v>
      </c>
      <c r="T236">
        <v>11.424105644226101</v>
      </c>
    </row>
    <row r="237" spans="1:20" x14ac:dyDescent="0.35">
      <c r="A237">
        <v>1.88081359228079</v>
      </c>
      <c r="B237">
        <v>11026</v>
      </c>
      <c r="C237">
        <v>116.38388061523401</v>
      </c>
      <c r="D237">
        <v>0.71131456362087897</v>
      </c>
      <c r="E237">
        <v>0.14870990699629699</v>
      </c>
      <c r="F237">
        <v>89.506593093739497</v>
      </c>
      <c r="G237">
        <v>8.3430098445733005</v>
      </c>
      <c r="H237">
        <v>0.878372251808197</v>
      </c>
      <c r="I237">
        <v>50.906097412109403</v>
      </c>
      <c r="J237">
        <v>0</v>
      </c>
      <c r="K237">
        <v>728.78631591796898</v>
      </c>
      <c r="L237">
        <v>6.4066681119262201</v>
      </c>
      <c r="M237">
        <v>564.19550661180801</v>
      </c>
      <c r="N237">
        <v>150.19702073394299</v>
      </c>
      <c r="O237">
        <v>40.704999861170002</v>
      </c>
      <c r="P237">
        <v>1.7787778377532999</v>
      </c>
      <c r="Q237">
        <v>22.072107315063501</v>
      </c>
      <c r="R237">
        <v>33.8589477539062</v>
      </c>
      <c r="S237">
        <v>2.4387679100036599</v>
      </c>
      <c r="T237">
        <v>11.3886575698853</v>
      </c>
    </row>
    <row r="238" spans="1:20" x14ac:dyDescent="0.35">
      <c r="A238">
        <v>1.53147891704226</v>
      </c>
      <c r="B238">
        <v>15082</v>
      </c>
      <c r="C238">
        <v>89.443809509277301</v>
      </c>
      <c r="D238">
        <v>0.79850996336064906</v>
      </c>
      <c r="E238">
        <v>0.16833532866964401</v>
      </c>
      <c r="F238">
        <v>91.902991353876203</v>
      </c>
      <c r="G238">
        <v>6.2397412380781399</v>
      </c>
      <c r="H238">
        <v>0.73135387933400398</v>
      </c>
      <c r="I238">
        <v>42.392646789550803</v>
      </c>
      <c r="J238">
        <v>0</v>
      </c>
      <c r="K238">
        <v>684.01544189453102</v>
      </c>
      <c r="L238">
        <v>5.7962040197653897</v>
      </c>
      <c r="M238">
        <v>533.63191248158898</v>
      </c>
      <c r="N238">
        <v>148.990018000368</v>
      </c>
      <c r="O238">
        <v>38.768393500906498</v>
      </c>
      <c r="P238">
        <v>1.43911933898926</v>
      </c>
      <c r="Q238">
        <v>21.900335311889599</v>
      </c>
      <c r="R238">
        <v>29.239229202270501</v>
      </c>
      <c r="S238">
        <v>2.4824872016906698</v>
      </c>
      <c r="T238">
        <v>11.194746017456101</v>
      </c>
    </row>
    <row r="239" spans="1:20" x14ac:dyDescent="0.35">
      <c r="A239">
        <v>1.2041199826559199</v>
      </c>
      <c r="B239">
        <v>19746</v>
      </c>
      <c r="C239">
        <v>52.654571533203097</v>
      </c>
      <c r="D239">
        <v>0.87781342065049395</v>
      </c>
      <c r="E239">
        <v>0.18830394428793401</v>
      </c>
      <c r="F239">
        <v>92.549080024368394</v>
      </c>
      <c r="G239">
        <v>4.8704817785213201</v>
      </c>
      <c r="H239">
        <v>0.63165315860735005</v>
      </c>
      <c r="I239">
        <v>37.012157440185497</v>
      </c>
      <c r="J239">
        <v>0</v>
      </c>
      <c r="K239">
        <v>638.657470703125</v>
      </c>
      <c r="L239">
        <v>5.3262718857311802</v>
      </c>
      <c r="M239">
        <v>505.90054721519601</v>
      </c>
      <c r="N239">
        <v>148.19719208263999</v>
      </c>
      <c r="O239">
        <v>36.925349219900703</v>
      </c>
      <c r="P239">
        <v>1.21251332759857</v>
      </c>
      <c r="Q239">
        <v>22.679010391235401</v>
      </c>
      <c r="R239">
        <v>26.1035861968994</v>
      </c>
      <c r="S239">
        <v>2.26548075675964</v>
      </c>
      <c r="T239">
        <v>11.0535669326782</v>
      </c>
    </row>
    <row r="240" spans="1:20" x14ac:dyDescent="0.35">
      <c r="A240">
        <v>2.17318626841227</v>
      </c>
      <c r="B240">
        <v>1252</v>
      </c>
      <c r="C240">
        <v>143.55276489257801</v>
      </c>
      <c r="D240">
        <v>0.398209720540316</v>
      </c>
      <c r="E240">
        <v>1.1018914199753E-3</v>
      </c>
      <c r="F240">
        <v>32.567263686645902</v>
      </c>
      <c r="G240">
        <v>64.894523117935506</v>
      </c>
      <c r="H240">
        <v>0.71227860943168098</v>
      </c>
      <c r="I240">
        <v>19.809301376342798</v>
      </c>
      <c r="J240">
        <v>0</v>
      </c>
      <c r="K240">
        <v>1200.59545898438</v>
      </c>
      <c r="L240">
        <v>26.9792625083298</v>
      </c>
      <c r="M240">
        <v>988.08872310450795</v>
      </c>
      <c r="N240">
        <v>148.84979523205399</v>
      </c>
      <c r="O240">
        <v>55.5001953625288</v>
      </c>
      <c r="P240">
        <v>13.583116531372101</v>
      </c>
      <c r="Q240">
        <v>28.184263229370099</v>
      </c>
      <c r="R240">
        <v>32.7402954101562</v>
      </c>
      <c r="S240">
        <v>2.2672281265258798</v>
      </c>
      <c r="T240">
        <v>10.694120407104499</v>
      </c>
    </row>
    <row r="241" spans="1:20" x14ac:dyDescent="0.35">
      <c r="A241">
        <v>2.3926969532596698</v>
      </c>
      <c r="B241">
        <v>566</v>
      </c>
      <c r="C241">
        <v>32.537387847900398</v>
      </c>
      <c r="D241">
        <v>0.54499781335335595</v>
      </c>
      <c r="E241">
        <v>2.37741099109393E-3</v>
      </c>
      <c r="F241">
        <v>5.2768929832450402</v>
      </c>
      <c r="G241">
        <v>93.397964353415603</v>
      </c>
      <c r="H241">
        <v>0.72718847900763395</v>
      </c>
      <c r="I241">
        <v>54.0390014648438</v>
      </c>
      <c r="J241">
        <v>0</v>
      </c>
      <c r="K241">
        <v>879.67077636718795</v>
      </c>
      <c r="L241">
        <v>27.6246308967715</v>
      </c>
      <c r="M241">
        <v>987.91815585777397</v>
      </c>
      <c r="N241">
        <v>147.712962166208</v>
      </c>
      <c r="O241">
        <v>54.793618311647499</v>
      </c>
      <c r="P241">
        <v>18.571800231933601</v>
      </c>
      <c r="Q241">
        <v>28.883680343627901</v>
      </c>
      <c r="R241">
        <v>63.866161346435497</v>
      </c>
      <c r="S241">
        <v>2.1527171134948699</v>
      </c>
      <c r="T241">
        <v>11.1290197372437</v>
      </c>
    </row>
    <row r="242" spans="1:20" x14ac:dyDescent="0.35">
      <c r="A242">
        <v>3.14612803567824</v>
      </c>
      <c r="B242">
        <v>517</v>
      </c>
      <c r="C242">
        <v>844.10943603515602</v>
      </c>
      <c r="D242">
        <v>0.26926770639451603</v>
      </c>
      <c r="E242">
        <v>18.0306497204209</v>
      </c>
      <c r="F242">
        <v>73.491504274886594</v>
      </c>
      <c r="G242">
        <v>8.1227143725466906</v>
      </c>
      <c r="H242">
        <v>5.8707333975155302</v>
      </c>
      <c r="I242">
        <v>60.312076568603501</v>
      </c>
      <c r="J242">
        <v>0</v>
      </c>
      <c r="K242">
        <v>490.04293823242199</v>
      </c>
      <c r="L242">
        <v>13.3134273153837</v>
      </c>
      <c r="M242">
        <v>615.17788596231401</v>
      </c>
      <c r="N242">
        <v>165.657662063348</v>
      </c>
      <c r="O242">
        <v>38.058785235295503</v>
      </c>
      <c r="P242">
        <v>1.69012367725372</v>
      </c>
      <c r="Q242">
        <v>34.196510314941399</v>
      </c>
      <c r="R242">
        <v>210.5009765625</v>
      </c>
      <c r="S242">
        <v>4.2080378532409703</v>
      </c>
      <c r="T242">
        <v>12.581469535827599</v>
      </c>
    </row>
    <row r="243" spans="1:20" x14ac:dyDescent="0.35">
      <c r="A243">
        <v>2.43136376415899</v>
      </c>
      <c r="B243">
        <v>449</v>
      </c>
      <c r="C243">
        <v>1162.35546875</v>
      </c>
      <c r="D243">
        <v>0.226960337052903</v>
      </c>
      <c r="E243">
        <v>0.22774178390722499</v>
      </c>
      <c r="F243">
        <v>97.059870564446598</v>
      </c>
      <c r="G243">
        <v>2.5285194410276399</v>
      </c>
      <c r="H243">
        <v>3.89404173655914</v>
      </c>
      <c r="I243">
        <v>25.047113418579102</v>
      </c>
      <c r="J243">
        <v>0</v>
      </c>
      <c r="K243">
        <v>474.41299438476602</v>
      </c>
      <c r="L243">
        <v>4.5721164179629996</v>
      </c>
      <c r="M243">
        <v>488.89776411212898</v>
      </c>
      <c r="N243">
        <v>180.033039030482</v>
      </c>
      <c r="O243">
        <v>36.218421185602899</v>
      </c>
      <c r="P243">
        <v>0.272068351507187</v>
      </c>
      <c r="Q243">
        <v>29.177524566650401</v>
      </c>
      <c r="R243">
        <v>128.56179809570301</v>
      </c>
      <c r="S243">
        <v>2.87022137641907</v>
      </c>
      <c r="T243">
        <v>17.860000610351602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5A6A3-562E-42F7-84B8-D072D8D37BA8}">
  <sheetPr codeName="XLSTAT_20210923_105258_1">
    <tabColor rgb="FF007800"/>
  </sheetPr>
  <dimension ref="B1:V2031"/>
  <sheetViews>
    <sheetView tabSelected="1" zoomScaleNormal="100" workbookViewId="0">
      <selection activeCell="B1768" sqref="B1768:F2011"/>
    </sheetView>
  </sheetViews>
  <sheetFormatPr defaultRowHeight="14.5" x14ac:dyDescent="0.35"/>
  <cols>
    <col min="1" max="1" width="4.6328125" customWidth="1"/>
    <col min="7" max="7" width="9.36328125" bestFit="1" customWidth="1"/>
  </cols>
  <sheetData>
    <row r="1" spans="2:13" x14ac:dyDescent="0.35">
      <c r="B1" s="4" t="s">
        <v>20</v>
      </c>
      <c r="C1" s="3"/>
      <c r="D1" s="3"/>
      <c r="E1" s="3"/>
      <c r="F1" s="3"/>
      <c r="G1" s="3"/>
      <c r="H1" s="3"/>
      <c r="I1" s="3"/>
      <c r="J1" s="3"/>
      <c r="K1" s="3"/>
      <c r="L1" s="3"/>
      <c r="M1" s="2"/>
    </row>
    <row r="2" spans="2:13" x14ac:dyDescent="0.3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2"/>
    </row>
    <row r="3" spans="2:13" x14ac:dyDescent="0.35">
      <c r="B3" t="s">
        <v>377</v>
      </c>
    </row>
    <row r="4" spans="2:13" x14ac:dyDescent="0.35">
      <c r="B4" t="s">
        <v>21</v>
      </c>
    </row>
    <row r="5" spans="2:13" x14ac:dyDescent="0.35">
      <c r="B5" t="s">
        <v>22</v>
      </c>
    </row>
    <row r="6" spans="2:13" x14ac:dyDescent="0.35">
      <c r="B6" t="s">
        <v>23</v>
      </c>
    </row>
    <row r="7" spans="2:13" x14ac:dyDescent="0.35">
      <c r="B7" t="s">
        <v>24</v>
      </c>
    </row>
    <row r="8" spans="2:13" x14ac:dyDescent="0.35">
      <c r="B8" t="s">
        <v>25</v>
      </c>
    </row>
    <row r="9" spans="2:13" x14ac:dyDescent="0.35">
      <c r="B9" t="s">
        <v>26</v>
      </c>
    </row>
    <row r="10" spans="2:13" x14ac:dyDescent="0.35">
      <c r="B10" t="s">
        <v>27</v>
      </c>
    </row>
    <row r="11" spans="2:13" x14ac:dyDescent="0.35">
      <c r="B11" t="s">
        <v>28</v>
      </c>
    </row>
    <row r="12" spans="2:13" ht="38" customHeight="1" x14ac:dyDescent="0.35"/>
    <row r="13" spans="2:13" ht="16" customHeight="1" x14ac:dyDescent="0.35">
      <c r="B13" s="46"/>
    </row>
    <row r="16" spans="2:13" x14ac:dyDescent="0.35">
      <c r="B16" s="6" t="s">
        <v>29</v>
      </c>
    </row>
    <row r="17" spans="2:9" ht="15" thickBot="1" x14ac:dyDescent="0.4"/>
    <row r="18" spans="2:9" ht="29" customHeight="1" x14ac:dyDescent="0.35">
      <c r="B18" s="8" t="s">
        <v>30</v>
      </c>
      <c r="C18" s="9" t="s">
        <v>31</v>
      </c>
      <c r="D18" s="9" t="s">
        <v>32</v>
      </c>
      <c r="E18" s="9" t="s">
        <v>33</v>
      </c>
      <c r="F18" s="9" t="s">
        <v>34</v>
      </c>
      <c r="G18" s="9" t="s">
        <v>35</v>
      </c>
      <c r="H18" s="9" t="s">
        <v>36</v>
      </c>
      <c r="I18" s="9" t="s">
        <v>37</v>
      </c>
    </row>
    <row r="19" spans="2:9" x14ac:dyDescent="0.35">
      <c r="B19" s="10" t="s">
        <v>0</v>
      </c>
      <c r="C19" s="12">
        <v>242</v>
      </c>
      <c r="D19" s="12">
        <v>0</v>
      </c>
      <c r="E19" s="12">
        <v>242</v>
      </c>
      <c r="F19" s="15">
        <v>0.69897000433601897</v>
      </c>
      <c r="G19" s="15">
        <v>3.6127838567197399</v>
      </c>
      <c r="H19" s="15">
        <v>2.3337661808476158</v>
      </c>
      <c r="I19" s="15">
        <v>0.53592114105518507</v>
      </c>
    </row>
    <row r="20" spans="2:9" x14ac:dyDescent="0.35">
      <c r="B20" s="7" t="s">
        <v>1</v>
      </c>
      <c r="C20" s="13">
        <v>242</v>
      </c>
      <c r="D20" s="13">
        <v>0</v>
      </c>
      <c r="E20" s="13">
        <v>242</v>
      </c>
      <c r="F20" s="16">
        <v>3.9</v>
      </c>
      <c r="G20" s="16">
        <v>33895</v>
      </c>
      <c r="H20" s="16">
        <v>2075.859090909089</v>
      </c>
      <c r="I20" s="16">
        <v>4295.001820520919</v>
      </c>
    </row>
    <row r="21" spans="2:9" x14ac:dyDescent="0.35">
      <c r="B21" s="7" t="s">
        <v>2</v>
      </c>
      <c r="C21" s="13">
        <v>242</v>
      </c>
      <c r="D21" s="13">
        <v>0</v>
      </c>
      <c r="E21" s="13">
        <v>242</v>
      </c>
      <c r="F21" s="16">
        <v>-14.084962844848601</v>
      </c>
      <c r="G21" s="16">
        <v>2077.20092773438</v>
      </c>
      <c r="H21" s="16">
        <v>664.86605866684351</v>
      </c>
      <c r="I21" s="16">
        <v>531.49968145444177</v>
      </c>
    </row>
    <row r="22" spans="2:9" x14ac:dyDescent="0.35">
      <c r="B22" s="7" t="s">
        <v>3</v>
      </c>
      <c r="C22" s="13">
        <v>242</v>
      </c>
      <c r="D22" s="13">
        <v>0</v>
      </c>
      <c r="E22" s="13">
        <v>242</v>
      </c>
      <c r="F22" s="16">
        <v>9.1181251180425804E-2</v>
      </c>
      <c r="G22" s="16">
        <v>0.984752036410945</v>
      </c>
      <c r="H22" s="16">
        <v>0.37291573840885456</v>
      </c>
      <c r="I22" s="16">
        <v>0.1868934017487465</v>
      </c>
    </row>
    <row r="23" spans="2:9" x14ac:dyDescent="0.35">
      <c r="B23" s="7" t="s">
        <v>4</v>
      </c>
      <c r="C23" s="13">
        <v>242</v>
      </c>
      <c r="D23" s="13">
        <v>0</v>
      </c>
      <c r="E23" s="13">
        <v>242</v>
      </c>
      <c r="F23" s="16">
        <v>1.1018914199753E-3</v>
      </c>
      <c r="G23" s="16">
        <v>44.264300037297701</v>
      </c>
      <c r="H23" s="16">
        <v>8.2995481279488228</v>
      </c>
      <c r="I23" s="16">
        <v>10.533303804755159</v>
      </c>
    </row>
    <row r="24" spans="2:9" x14ac:dyDescent="0.35">
      <c r="B24" s="7" t="s">
        <v>5</v>
      </c>
      <c r="C24" s="13">
        <v>242</v>
      </c>
      <c r="D24" s="13">
        <v>0</v>
      </c>
      <c r="E24" s="13">
        <v>242</v>
      </c>
      <c r="F24" s="16">
        <v>0.61423502616381098</v>
      </c>
      <c r="G24" s="16">
        <v>98.878576812179304</v>
      </c>
      <c r="H24" s="16">
        <v>47.860400566567705</v>
      </c>
      <c r="I24" s="16">
        <v>28.363750438875545</v>
      </c>
    </row>
    <row r="25" spans="2:9" x14ac:dyDescent="0.35">
      <c r="B25" s="7" t="s">
        <v>6</v>
      </c>
      <c r="C25" s="13">
        <v>242</v>
      </c>
      <c r="D25" s="13">
        <v>0</v>
      </c>
      <c r="E25" s="13">
        <v>242</v>
      </c>
      <c r="F25" s="16">
        <v>6.00684647958823E-2</v>
      </c>
      <c r="G25" s="16">
        <v>99.332129725966894</v>
      </c>
      <c r="H25" s="16">
        <v>40.190919476418806</v>
      </c>
      <c r="I25" s="16">
        <v>30.805390093226684</v>
      </c>
    </row>
    <row r="26" spans="2:9" x14ac:dyDescent="0.35">
      <c r="B26" s="7" t="s">
        <v>7</v>
      </c>
      <c r="C26" s="13">
        <v>242</v>
      </c>
      <c r="D26" s="13">
        <v>0</v>
      </c>
      <c r="E26" s="13">
        <v>242</v>
      </c>
      <c r="F26" s="16">
        <v>0.51701034999999995</v>
      </c>
      <c r="G26" s="16">
        <v>10.394392804878001</v>
      </c>
      <c r="H26" s="16">
        <v>3.8750161430916799</v>
      </c>
      <c r="I26" s="16">
        <v>1.932587296730236</v>
      </c>
    </row>
    <row r="27" spans="2:9" x14ac:dyDescent="0.35">
      <c r="B27" s="7" t="s">
        <v>8</v>
      </c>
      <c r="C27" s="13">
        <v>242</v>
      </c>
      <c r="D27" s="13">
        <v>0</v>
      </c>
      <c r="E27" s="13">
        <v>242</v>
      </c>
      <c r="F27" s="16">
        <v>4.2794914245605504</v>
      </c>
      <c r="G27" s="16">
        <v>352.05862426757801</v>
      </c>
      <c r="H27" s="16">
        <v>46.158911892205225</v>
      </c>
      <c r="I27" s="16">
        <v>42.425252171261945</v>
      </c>
    </row>
    <row r="28" spans="2:9" x14ac:dyDescent="0.35">
      <c r="B28" s="7" t="s">
        <v>9</v>
      </c>
      <c r="C28" s="13">
        <v>242</v>
      </c>
      <c r="D28" s="13">
        <v>0</v>
      </c>
      <c r="E28" s="13">
        <v>242</v>
      </c>
      <c r="F28" s="16">
        <v>0</v>
      </c>
      <c r="G28" s="16">
        <v>818.15324425381198</v>
      </c>
      <c r="H28" s="16">
        <v>33.592505468882486</v>
      </c>
      <c r="I28" s="16">
        <v>100.13546080873475</v>
      </c>
    </row>
    <row r="29" spans="2:9" x14ac:dyDescent="0.35">
      <c r="B29" s="7" t="s">
        <v>10</v>
      </c>
      <c r="C29" s="13">
        <v>242</v>
      </c>
      <c r="D29" s="13">
        <v>0</v>
      </c>
      <c r="E29" s="13">
        <v>242</v>
      </c>
      <c r="F29" s="16">
        <v>336.938720703125</v>
      </c>
      <c r="G29" s="16">
        <v>4513.1640625</v>
      </c>
      <c r="H29" s="16">
        <v>917.64974937754266</v>
      </c>
      <c r="I29" s="16">
        <v>503.61828923375492</v>
      </c>
    </row>
    <row r="30" spans="2:9" x14ac:dyDescent="0.35">
      <c r="B30" s="7" t="s">
        <v>11</v>
      </c>
      <c r="C30" s="13">
        <v>242</v>
      </c>
      <c r="D30" s="13">
        <v>0</v>
      </c>
      <c r="E30" s="13">
        <v>242</v>
      </c>
      <c r="F30" s="16">
        <v>2.1511961632087599</v>
      </c>
      <c r="G30" s="16">
        <v>113.066774337018</v>
      </c>
      <c r="H30" s="16">
        <v>33.266628404924035</v>
      </c>
      <c r="I30" s="16">
        <v>24.527531568076174</v>
      </c>
    </row>
    <row r="31" spans="2:9" x14ac:dyDescent="0.35">
      <c r="B31" s="7" t="s">
        <v>12</v>
      </c>
      <c r="C31" s="13">
        <v>242</v>
      </c>
      <c r="D31" s="13">
        <v>0</v>
      </c>
      <c r="E31" s="13">
        <v>242</v>
      </c>
      <c r="F31" s="16">
        <v>427.95397949218801</v>
      </c>
      <c r="G31" s="16">
        <v>2230.8502097208002</v>
      </c>
      <c r="H31" s="16">
        <v>931.11306535291612</v>
      </c>
      <c r="I31" s="16">
        <v>338.43601887090279</v>
      </c>
    </row>
    <row r="32" spans="2:9" x14ac:dyDescent="0.35">
      <c r="B32" s="7" t="s">
        <v>13</v>
      </c>
      <c r="C32" s="13">
        <v>242</v>
      </c>
      <c r="D32" s="13">
        <v>0</v>
      </c>
      <c r="E32" s="13">
        <v>242</v>
      </c>
      <c r="F32" s="16">
        <v>146.022400402632</v>
      </c>
      <c r="G32" s="16">
        <v>181.417437443968</v>
      </c>
      <c r="H32" s="16">
        <v>159.81260533856769</v>
      </c>
      <c r="I32" s="16">
        <v>8.4743546019641141</v>
      </c>
    </row>
    <row r="33" spans="2:22" x14ac:dyDescent="0.35">
      <c r="B33" s="7" t="s">
        <v>14</v>
      </c>
      <c r="C33" s="13">
        <v>242</v>
      </c>
      <c r="D33" s="13">
        <v>0</v>
      </c>
      <c r="E33" s="13">
        <v>242</v>
      </c>
      <c r="F33" s="16">
        <v>25.746012171760899</v>
      </c>
      <c r="G33" s="16">
        <v>72.918874021436395</v>
      </c>
      <c r="H33" s="16">
        <v>44.413522576659098</v>
      </c>
      <c r="I33" s="16">
        <v>7.7780458996734616</v>
      </c>
    </row>
    <row r="34" spans="2:22" x14ac:dyDescent="0.35">
      <c r="B34" s="7" t="s">
        <v>15</v>
      </c>
      <c r="C34" s="13">
        <v>242</v>
      </c>
      <c r="D34" s="13">
        <v>0</v>
      </c>
      <c r="E34" s="13">
        <v>242</v>
      </c>
      <c r="F34" s="16">
        <v>3.4029141068458599E-2</v>
      </c>
      <c r="G34" s="16">
        <v>28.293596267700199</v>
      </c>
      <c r="H34" s="16">
        <v>9.9474741284204349</v>
      </c>
      <c r="I34" s="16">
        <v>7.4144878465254429</v>
      </c>
    </row>
    <row r="35" spans="2:22" x14ac:dyDescent="0.35">
      <c r="B35" s="7" t="s">
        <v>16</v>
      </c>
      <c r="C35" s="13">
        <v>242</v>
      </c>
      <c r="D35" s="13">
        <v>0</v>
      </c>
      <c r="E35" s="13">
        <v>242</v>
      </c>
      <c r="F35" s="16">
        <v>11.9284467697144</v>
      </c>
      <c r="G35" s="16">
        <v>37.457447052002003</v>
      </c>
      <c r="H35" s="16">
        <v>30.353929145277029</v>
      </c>
      <c r="I35" s="16">
        <v>4.1121006692384841</v>
      </c>
    </row>
    <row r="36" spans="2:22" x14ac:dyDescent="0.35">
      <c r="B36" s="7" t="s">
        <v>17</v>
      </c>
      <c r="C36" s="13">
        <v>242</v>
      </c>
      <c r="D36" s="13">
        <v>0</v>
      </c>
      <c r="E36" s="13">
        <v>242</v>
      </c>
      <c r="F36" s="16">
        <v>18.578117370605501</v>
      </c>
      <c r="G36" s="16">
        <v>343.61911010742199</v>
      </c>
      <c r="H36" s="16">
        <v>162.57265814473809</v>
      </c>
      <c r="I36" s="16">
        <v>78.483317476629708</v>
      </c>
    </row>
    <row r="37" spans="2:22" x14ac:dyDescent="0.35">
      <c r="B37" s="7" t="s">
        <v>18</v>
      </c>
      <c r="C37" s="13">
        <v>242</v>
      </c>
      <c r="D37" s="13">
        <v>0</v>
      </c>
      <c r="E37" s="13">
        <v>242</v>
      </c>
      <c r="F37" s="16">
        <v>2.1427848339080802</v>
      </c>
      <c r="G37" s="16">
        <v>4.2206230163574201</v>
      </c>
      <c r="H37" s="16">
        <v>3.1902619216067749</v>
      </c>
      <c r="I37" s="16">
        <v>0.61880152975125857</v>
      </c>
    </row>
    <row r="38" spans="2:22" ht="15" thickBot="1" x14ac:dyDescent="0.4">
      <c r="B38" s="11" t="s">
        <v>19</v>
      </c>
      <c r="C38" s="14">
        <v>242</v>
      </c>
      <c r="D38" s="14">
        <v>0</v>
      </c>
      <c r="E38" s="14">
        <v>242</v>
      </c>
      <c r="F38" s="17">
        <v>7.52183294296265</v>
      </c>
      <c r="G38" s="17">
        <v>30.129999160766602</v>
      </c>
      <c r="H38" s="17">
        <v>12.382660974155772</v>
      </c>
      <c r="I38" s="17">
        <v>3.6095159406358159</v>
      </c>
    </row>
    <row r="41" spans="2:22" x14ac:dyDescent="0.35">
      <c r="B41" s="6" t="s">
        <v>38</v>
      </c>
    </row>
    <row r="42" spans="2:22" ht="15" thickBot="1" x14ac:dyDescent="0.4"/>
    <row r="43" spans="2:22" ht="29" x14ac:dyDescent="0.35">
      <c r="B43" s="8" t="s">
        <v>39</v>
      </c>
      <c r="C43" s="9" t="s">
        <v>1</v>
      </c>
      <c r="D43" s="9" t="s">
        <v>2</v>
      </c>
      <c r="E43" s="9" t="s">
        <v>3</v>
      </c>
      <c r="F43" s="9" t="s">
        <v>4</v>
      </c>
      <c r="G43" s="9" t="s">
        <v>5</v>
      </c>
      <c r="H43" s="9" t="s">
        <v>6</v>
      </c>
      <c r="I43" s="9" t="s">
        <v>7</v>
      </c>
      <c r="J43" s="9" t="s">
        <v>8</v>
      </c>
      <c r="K43" s="9" t="s">
        <v>9</v>
      </c>
      <c r="L43" s="9" t="s">
        <v>10</v>
      </c>
      <c r="M43" s="9" t="s">
        <v>11</v>
      </c>
      <c r="N43" s="9" t="s">
        <v>12</v>
      </c>
      <c r="O43" s="9" t="s">
        <v>13</v>
      </c>
      <c r="P43" s="9" t="s">
        <v>14</v>
      </c>
      <c r="Q43" s="9" t="s">
        <v>15</v>
      </c>
      <c r="R43" s="9" t="s">
        <v>16</v>
      </c>
      <c r="S43" s="9" t="s">
        <v>17</v>
      </c>
      <c r="T43" s="9" t="s">
        <v>18</v>
      </c>
      <c r="U43" s="9" t="s">
        <v>19</v>
      </c>
      <c r="V43" s="18" t="s">
        <v>0</v>
      </c>
    </row>
    <row r="44" spans="2:22" x14ac:dyDescent="0.35">
      <c r="B44" s="19" t="s">
        <v>1</v>
      </c>
      <c r="C44" s="25">
        <v>1</v>
      </c>
      <c r="D44" s="21">
        <v>-0.30579569206402341</v>
      </c>
      <c r="E44" s="21">
        <v>0.51170050508869169</v>
      </c>
      <c r="F44" s="21">
        <v>-6.1478361374982714E-2</v>
      </c>
      <c r="G44" s="21">
        <v>0.16310587896714565</v>
      </c>
      <c r="H44" s="21">
        <v>-0.19266559125666236</v>
      </c>
      <c r="I44" s="21">
        <v>-0.19692659018334077</v>
      </c>
      <c r="J44" s="21">
        <v>-9.4856715854659643E-2</v>
      </c>
      <c r="K44" s="21">
        <v>0.55775711257698135</v>
      </c>
      <c r="L44" s="21">
        <v>-6.1846796112567867E-2</v>
      </c>
      <c r="M44" s="21">
        <v>-0.12956407732552516</v>
      </c>
      <c r="N44" s="21">
        <v>-0.13125451684861553</v>
      </c>
      <c r="O44" s="21">
        <v>-0.14488205613348679</v>
      </c>
      <c r="P44" s="21">
        <v>-6.7756330087452549E-2</v>
      </c>
      <c r="Q44" s="21">
        <v>-0.16480772813515385</v>
      </c>
      <c r="R44" s="21">
        <v>-0.21347614784646049</v>
      </c>
      <c r="S44" s="21">
        <v>-0.1985730528433628</v>
      </c>
      <c r="T44" s="21">
        <v>-0.10350481740933655</v>
      </c>
      <c r="U44" s="21">
        <v>-0.11970362207024954</v>
      </c>
      <c r="V44" s="22">
        <v>-4.5666375655369448E-2</v>
      </c>
    </row>
    <row r="45" spans="2:22" x14ac:dyDescent="0.35">
      <c r="B45" s="7" t="s">
        <v>2</v>
      </c>
      <c r="C45" s="16">
        <v>-0.30579569206402341</v>
      </c>
      <c r="D45" s="27">
        <v>1</v>
      </c>
      <c r="E45" s="16">
        <v>-0.77605793616565355</v>
      </c>
      <c r="F45" s="16">
        <v>0.55163662015606962</v>
      </c>
      <c r="G45" s="16">
        <v>0.34019835504286433</v>
      </c>
      <c r="H45" s="16">
        <v>-0.54172469455958505</v>
      </c>
      <c r="I45" s="16">
        <v>0.48713868221774043</v>
      </c>
      <c r="J45" s="16">
        <v>-0.36475456206505524</v>
      </c>
      <c r="K45" s="16">
        <v>-0.1009332323159214</v>
      </c>
      <c r="L45" s="16">
        <v>-0.45955518001243995</v>
      </c>
      <c r="M45" s="16">
        <v>-4.0215109770817256E-2</v>
      </c>
      <c r="N45" s="16">
        <v>-0.19662548282726075</v>
      </c>
      <c r="O45" s="16">
        <v>0.61300847434307426</v>
      </c>
      <c r="P45" s="16">
        <v>-0.58791985169320649</v>
      </c>
      <c r="Q45" s="16">
        <v>-0.3904186429524103</v>
      </c>
      <c r="R45" s="16">
        <v>0.37685511921271214</v>
      </c>
      <c r="S45" s="16">
        <v>0.4662560858815275</v>
      </c>
      <c r="T45" s="16">
        <v>0.4807645809171649</v>
      </c>
      <c r="U45" s="16">
        <v>-0.11535967143219855</v>
      </c>
      <c r="V45" s="23">
        <v>-1.1547244195810262E-3</v>
      </c>
    </row>
    <row r="46" spans="2:22" x14ac:dyDescent="0.35">
      <c r="B46" s="7" t="s">
        <v>3</v>
      </c>
      <c r="C46" s="16">
        <v>0.51170050508869169</v>
      </c>
      <c r="D46" s="16">
        <v>-0.77605793616565355</v>
      </c>
      <c r="E46" s="27">
        <v>1</v>
      </c>
      <c r="F46" s="16">
        <v>-0.338613327590086</v>
      </c>
      <c r="G46" s="16">
        <v>-0.25980221490960276</v>
      </c>
      <c r="H46" s="16">
        <v>0.37794102262841534</v>
      </c>
      <c r="I46" s="16">
        <v>-0.4197219048744022</v>
      </c>
      <c r="J46" s="16">
        <v>0.26921340333957561</v>
      </c>
      <c r="K46" s="16">
        <v>0.25551458974125968</v>
      </c>
      <c r="L46" s="16">
        <v>0.48340719592261655</v>
      </c>
      <c r="M46" s="16">
        <v>0.10002135960169019</v>
      </c>
      <c r="N46" s="16">
        <v>0.21734260189640289</v>
      </c>
      <c r="O46" s="16">
        <v>-0.5152313852259125</v>
      </c>
      <c r="P46" s="16">
        <v>0.47358318827145496</v>
      </c>
      <c r="Q46" s="16">
        <v>0.28995786717690519</v>
      </c>
      <c r="R46" s="16">
        <v>-0.3482348966581168</v>
      </c>
      <c r="S46" s="16">
        <v>-0.38226885940941613</v>
      </c>
      <c r="T46" s="16">
        <v>-0.35180443559063518</v>
      </c>
      <c r="U46" s="16">
        <v>1.9292700090098223E-2</v>
      </c>
      <c r="V46" s="23">
        <v>1.9989291586970159E-2</v>
      </c>
    </row>
    <row r="47" spans="2:22" x14ac:dyDescent="0.35">
      <c r="B47" s="7" t="s">
        <v>4</v>
      </c>
      <c r="C47" s="16">
        <v>-6.1478361374982714E-2</v>
      </c>
      <c r="D47" s="16">
        <v>0.55163662015606962</v>
      </c>
      <c r="E47" s="16">
        <v>-0.338613327590086</v>
      </c>
      <c r="F47" s="27">
        <v>1</v>
      </c>
      <c r="G47" s="16">
        <v>-3.2789841563344666E-3</v>
      </c>
      <c r="H47" s="16">
        <v>-0.41700297375519696</v>
      </c>
      <c r="I47" s="16">
        <v>0.68801819677955556</v>
      </c>
      <c r="J47" s="16">
        <v>-0.2919783978138572</v>
      </c>
      <c r="K47" s="16">
        <v>0.16721750362985346</v>
      </c>
      <c r="L47" s="16">
        <v>-0.24128585841416997</v>
      </c>
      <c r="M47" s="16">
        <v>0.2173357167664311</v>
      </c>
      <c r="N47" s="16">
        <v>4.7110744897280919E-2</v>
      </c>
      <c r="O47" s="16">
        <v>0.16203418905895242</v>
      </c>
      <c r="P47" s="16">
        <v>-0.51612860616180167</v>
      </c>
      <c r="Q47" s="16">
        <v>-0.19455443298787575</v>
      </c>
      <c r="R47" s="16">
        <v>0.2599339104042655</v>
      </c>
      <c r="S47" s="16">
        <v>0.72346472007926266</v>
      </c>
      <c r="T47" s="16">
        <v>0.59629838397679014</v>
      </c>
      <c r="U47" s="16">
        <v>-0.44254000335974025</v>
      </c>
      <c r="V47" s="23">
        <v>0.48829182195662824</v>
      </c>
    </row>
    <row r="48" spans="2:22" x14ac:dyDescent="0.35">
      <c r="B48" s="7" t="s">
        <v>5</v>
      </c>
      <c r="C48" s="16">
        <v>0.16310587896714565</v>
      </c>
      <c r="D48" s="16">
        <v>0.34019835504286433</v>
      </c>
      <c r="E48" s="16">
        <v>-0.25980221490960276</v>
      </c>
      <c r="F48" s="16">
        <v>-3.2789841563344666E-3</v>
      </c>
      <c r="G48" s="27">
        <v>1</v>
      </c>
      <c r="H48" s="16">
        <v>-0.87303515434511869</v>
      </c>
      <c r="I48" s="16">
        <v>-0.15709371843577061</v>
      </c>
      <c r="J48" s="16">
        <v>-0.13417140738258296</v>
      </c>
      <c r="K48" s="16">
        <v>1.4106185341995975E-2</v>
      </c>
      <c r="L48" s="16">
        <v>-0.56007678228543012</v>
      </c>
      <c r="M48" s="16">
        <v>-0.72694605065955198</v>
      </c>
      <c r="N48" s="16">
        <v>-0.79573379030117375</v>
      </c>
      <c r="O48" s="16">
        <v>0.44526593696224998</v>
      </c>
      <c r="P48" s="16">
        <v>-0.59532838449261105</v>
      </c>
      <c r="Q48" s="16">
        <v>-0.905303806158399</v>
      </c>
      <c r="R48" s="16">
        <v>-0.368817513531078</v>
      </c>
      <c r="S48" s="16">
        <v>-0.28749186079696465</v>
      </c>
      <c r="T48" s="16">
        <v>0.14675134627860956</v>
      </c>
      <c r="U48" s="16">
        <v>0.15788998394447792</v>
      </c>
      <c r="V48" s="23">
        <v>-0.30568377177471845</v>
      </c>
    </row>
    <row r="49" spans="2:22" x14ac:dyDescent="0.35">
      <c r="B49" s="7" t="s">
        <v>6</v>
      </c>
      <c r="C49" s="16">
        <v>-0.19266559125666236</v>
      </c>
      <c r="D49" s="16">
        <v>-0.54172469455958505</v>
      </c>
      <c r="E49" s="16">
        <v>0.37794102262841534</v>
      </c>
      <c r="F49" s="16">
        <v>-0.41700297375519696</v>
      </c>
      <c r="G49" s="16">
        <v>-0.87303515434511869</v>
      </c>
      <c r="H49" s="27">
        <v>1</v>
      </c>
      <c r="I49" s="16">
        <v>-0.16921281902314717</v>
      </c>
      <c r="J49" s="16">
        <v>0.26717344284365085</v>
      </c>
      <c r="K49" s="16">
        <v>-0.1344723448831332</v>
      </c>
      <c r="L49" s="16">
        <v>0.61838864724122544</v>
      </c>
      <c r="M49" s="16">
        <v>0.52807261061979871</v>
      </c>
      <c r="N49" s="16">
        <v>0.68008255584706978</v>
      </c>
      <c r="O49" s="16">
        <v>-0.48403962101950149</v>
      </c>
      <c r="P49" s="16">
        <v>0.80388696715877539</v>
      </c>
      <c r="Q49" s="16">
        <v>0.87355667422050365</v>
      </c>
      <c r="R49" s="16">
        <v>0.20163125253017922</v>
      </c>
      <c r="S49" s="16">
        <v>-6.3684228707629478E-2</v>
      </c>
      <c r="T49" s="16">
        <v>-0.39097262049745418</v>
      </c>
      <c r="U49" s="16">
        <v>6.4665121991497251E-2</v>
      </c>
      <c r="V49" s="23">
        <v>7.8119027612217742E-2</v>
      </c>
    </row>
    <row r="50" spans="2:22" x14ac:dyDescent="0.35">
      <c r="B50" s="7" t="s">
        <v>7</v>
      </c>
      <c r="C50" s="16">
        <v>-0.19692659018334077</v>
      </c>
      <c r="D50" s="16">
        <v>0.48713868221774043</v>
      </c>
      <c r="E50" s="16">
        <v>-0.4197219048744022</v>
      </c>
      <c r="F50" s="16">
        <v>0.68801819677955556</v>
      </c>
      <c r="G50" s="16">
        <v>-0.15709371843577061</v>
      </c>
      <c r="H50" s="16">
        <v>-0.16921281902314717</v>
      </c>
      <c r="I50" s="27">
        <v>1</v>
      </c>
      <c r="J50" s="16">
        <v>-0.34861816912559002</v>
      </c>
      <c r="K50" s="16">
        <v>9.8029922137180231E-2</v>
      </c>
      <c r="L50" s="16">
        <v>-0.10184736216766822</v>
      </c>
      <c r="M50" s="16">
        <v>0.38125551165680521</v>
      </c>
      <c r="N50" s="16">
        <v>0.22345269842485951</v>
      </c>
      <c r="O50" s="16">
        <v>0.39318564597936273</v>
      </c>
      <c r="P50" s="16">
        <v>-0.3927346174922397</v>
      </c>
      <c r="Q50" s="16">
        <v>4.4883205064768415E-2</v>
      </c>
      <c r="R50" s="16">
        <v>0.55590421889247366</v>
      </c>
      <c r="S50" s="16">
        <v>0.95206826897501384</v>
      </c>
      <c r="T50" s="16">
        <v>0.64796183006714569</v>
      </c>
      <c r="U50" s="16">
        <v>-0.30175783478170404</v>
      </c>
      <c r="V50" s="23">
        <v>0.45205015111436425</v>
      </c>
    </row>
    <row r="51" spans="2:22" x14ac:dyDescent="0.35">
      <c r="B51" s="7" t="s">
        <v>8</v>
      </c>
      <c r="C51" s="16">
        <v>-9.4856715854659643E-2</v>
      </c>
      <c r="D51" s="16">
        <v>-0.36475456206505524</v>
      </c>
      <c r="E51" s="16">
        <v>0.26921340333957561</v>
      </c>
      <c r="F51" s="16">
        <v>-0.2919783978138572</v>
      </c>
      <c r="G51" s="16">
        <v>-0.13417140738258296</v>
      </c>
      <c r="H51" s="16">
        <v>0.26717344284365085</v>
      </c>
      <c r="I51" s="16">
        <v>-0.34861816912559002</v>
      </c>
      <c r="J51" s="27">
        <v>1</v>
      </c>
      <c r="K51" s="16">
        <v>-0.13609118867688577</v>
      </c>
      <c r="L51" s="16">
        <v>0.25182189352206452</v>
      </c>
      <c r="M51" s="16">
        <v>-0.14072336289723425</v>
      </c>
      <c r="N51" s="16">
        <v>-3.4276060086484907E-2</v>
      </c>
      <c r="O51" s="16">
        <v>-0.23195172044433512</v>
      </c>
      <c r="P51" s="16">
        <v>0.31975923133826406</v>
      </c>
      <c r="Q51" s="16">
        <v>0.14065430797098755</v>
      </c>
      <c r="R51" s="16">
        <v>-0.38608956780559583</v>
      </c>
      <c r="S51" s="16">
        <v>-0.32111352342895561</v>
      </c>
      <c r="T51" s="16">
        <v>-0.24346671630099803</v>
      </c>
      <c r="U51" s="16">
        <v>0.40866212376106775</v>
      </c>
      <c r="V51" s="23">
        <v>-9.9889792466642993E-2</v>
      </c>
    </row>
    <row r="52" spans="2:22" x14ac:dyDescent="0.35">
      <c r="B52" s="7" t="s">
        <v>9</v>
      </c>
      <c r="C52" s="16">
        <v>0.55775711257698135</v>
      </c>
      <c r="D52" s="16">
        <v>-0.1009332323159214</v>
      </c>
      <c r="E52" s="16">
        <v>0.25551458974125968</v>
      </c>
      <c r="F52" s="16">
        <v>0.16721750362985346</v>
      </c>
      <c r="G52" s="16">
        <v>1.4106185341995975E-2</v>
      </c>
      <c r="H52" s="16">
        <v>-0.1344723448831332</v>
      </c>
      <c r="I52" s="16">
        <v>9.8029922137180231E-2</v>
      </c>
      <c r="J52" s="16">
        <v>-0.13609118867688577</v>
      </c>
      <c r="K52" s="27">
        <v>1</v>
      </c>
      <c r="L52" s="16">
        <v>-4.2070215166513464E-2</v>
      </c>
      <c r="M52" s="16">
        <v>9.3357983047015633E-2</v>
      </c>
      <c r="N52" s="16">
        <v>3.6438144574060541E-2</v>
      </c>
      <c r="O52" s="16">
        <v>-8.6105787352480812E-2</v>
      </c>
      <c r="P52" s="16">
        <v>-0.16466581039592681</v>
      </c>
      <c r="Q52" s="16">
        <v>1.2974684011296853E-2</v>
      </c>
      <c r="R52" s="16">
        <v>2.3346687673152438E-2</v>
      </c>
      <c r="S52" s="16">
        <v>9.6824432477845279E-2</v>
      </c>
      <c r="T52" s="16">
        <v>8.0744439644935495E-2</v>
      </c>
      <c r="U52" s="16">
        <v>-0.2229846233219481</v>
      </c>
      <c r="V52" s="23">
        <v>9.9778760340787392E-2</v>
      </c>
    </row>
    <row r="53" spans="2:22" x14ac:dyDescent="0.35">
      <c r="B53" s="7" t="s">
        <v>10</v>
      </c>
      <c r="C53" s="16">
        <v>-6.1846796112567867E-2</v>
      </c>
      <c r="D53" s="16">
        <v>-0.45955518001243995</v>
      </c>
      <c r="E53" s="16">
        <v>0.48340719592261655</v>
      </c>
      <c r="F53" s="16">
        <v>-0.24128585841416997</v>
      </c>
      <c r="G53" s="16">
        <v>-0.56007678228543012</v>
      </c>
      <c r="H53" s="16">
        <v>0.61838864724122544</v>
      </c>
      <c r="I53" s="16">
        <v>-0.10184736216766822</v>
      </c>
      <c r="J53" s="16">
        <v>0.25182189352206452</v>
      </c>
      <c r="K53" s="16">
        <v>-4.2070215166513464E-2</v>
      </c>
      <c r="L53" s="27">
        <v>1</v>
      </c>
      <c r="M53" s="16">
        <v>0.61074171726217441</v>
      </c>
      <c r="N53" s="16">
        <v>0.7376824402008253</v>
      </c>
      <c r="O53" s="16">
        <v>-0.31129604415930379</v>
      </c>
      <c r="P53" s="16">
        <v>0.75120958261974446</v>
      </c>
      <c r="Q53" s="16">
        <v>0.53553568372311378</v>
      </c>
      <c r="R53" s="16">
        <v>-0.12497486928952957</v>
      </c>
      <c r="S53" s="16">
        <v>-3.5977234435184066E-2</v>
      </c>
      <c r="T53" s="16">
        <v>-0.18977260080549108</v>
      </c>
      <c r="U53" s="16">
        <v>4.9221780815075569E-2</v>
      </c>
      <c r="V53" s="23">
        <v>6.2297196009315402E-2</v>
      </c>
    </row>
    <row r="54" spans="2:22" x14ac:dyDescent="0.35">
      <c r="B54" s="7" t="s">
        <v>11</v>
      </c>
      <c r="C54" s="16">
        <v>-0.12956407732552516</v>
      </c>
      <c r="D54" s="16">
        <v>-4.0215109770817256E-2</v>
      </c>
      <c r="E54" s="16">
        <v>0.10002135960169019</v>
      </c>
      <c r="F54" s="16">
        <v>0.2173357167664311</v>
      </c>
      <c r="G54" s="16">
        <v>-0.72694605065955198</v>
      </c>
      <c r="H54" s="16">
        <v>0.52807261061979871</v>
      </c>
      <c r="I54" s="16">
        <v>0.38125551165680521</v>
      </c>
      <c r="J54" s="16">
        <v>-0.14072336289723425</v>
      </c>
      <c r="K54" s="16">
        <v>9.3357983047015633E-2</v>
      </c>
      <c r="L54" s="16">
        <v>0.61074171726217441</v>
      </c>
      <c r="M54" s="27">
        <v>1</v>
      </c>
      <c r="N54" s="16">
        <v>0.96631347907210663</v>
      </c>
      <c r="O54" s="16">
        <v>-0.28538062923562946</v>
      </c>
      <c r="P54" s="16">
        <v>0.35167693812310907</v>
      </c>
      <c r="Q54" s="16">
        <v>0.6728877394174404</v>
      </c>
      <c r="R54" s="16">
        <v>0.43917837504407642</v>
      </c>
      <c r="S54" s="16">
        <v>0.49921429857204025</v>
      </c>
      <c r="T54" s="16">
        <v>1.4142080969417431E-2</v>
      </c>
      <c r="U54" s="16">
        <v>-0.32929206072051703</v>
      </c>
      <c r="V54" s="23">
        <v>0.23479059161565224</v>
      </c>
    </row>
    <row r="55" spans="2:22" x14ac:dyDescent="0.35">
      <c r="B55" s="7" t="s">
        <v>12</v>
      </c>
      <c r="C55" s="16">
        <v>-0.13125451684861553</v>
      </c>
      <c r="D55" s="16">
        <v>-0.19662548282726075</v>
      </c>
      <c r="E55" s="16">
        <v>0.21734260189640289</v>
      </c>
      <c r="F55" s="16">
        <v>4.7110744897280919E-2</v>
      </c>
      <c r="G55" s="16">
        <v>-0.79573379030117375</v>
      </c>
      <c r="H55" s="16">
        <v>0.68008255584706978</v>
      </c>
      <c r="I55" s="16">
        <v>0.22345269842485951</v>
      </c>
      <c r="J55" s="16">
        <v>-3.4276060086484907E-2</v>
      </c>
      <c r="K55" s="16">
        <v>3.6438144574060541E-2</v>
      </c>
      <c r="L55" s="16">
        <v>0.7376824402008253</v>
      </c>
      <c r="M55" s="16">
        <v>0.96631347907210663</v>
      </c>
      <c r="N55" s="27">
        <v>1</v>
      </c>
      <c r="O55" s="16">
        <v>-0.36251820193692008</v>
      </c>
      <c r="P55" s="16">
        <v>0.58074225530388701</v>
      </c>
      <c r="Q55" s="16">
        <v>0.74638758281457529</v>
      </c>
      <c r="R55" s="16">
        <v>0.36850939980405889</v>
      </c>
      <c r="S55" s="16">
        <v>0.35075801187531114</v>
      </c>
      <c r="T55" s="16">
        <v>-0.10905593458609839</v>
      </c>
      <c r="U55" s="16">
        <v>-0.2346011292917107</v>
      </c>
      <c r="V55" s="23">
        <v>0.19961566309702403</v>
      </c>
    </row>
    <row r="56" spans="2:22" x14ac:dyDescent="0.35">
      <c r="B56" s="7" t="s">
        <v>13</v>
      </c>
      <c r="C56" s="16">
        <v>-0.14488205613348679</v>
      </c>
      <c r="D56" s="16">
        <v>0.61300847434307426</v>
      </c>
      <c r="E56" s="16">
        <v>-0.5152313852259125</v>
      </c>
      <c r="F56" s="16">
        <v>0.16203418905895242</v>
      </c>
      <c r="G56" s="16">
        <v>0.44526593696224998</v>
      </c>
      <c r="H56" s="16">
        <v>-0.48403962101950149</v>
      </c>
      <c r="I56" s="16">
        <v>0.39318564597936273</v>
      </c>
      <c r="J56" s="16">
        <v>-0.23195172044433512</v>
      </c>
      <c r="K56" s="16">
        <v>-8.6105787352480812E-2</v>
      </c>
      <c r="L56" s="16">
        <v>-0.31129604415930379</v>
      </c>
      <c r="M56" s="16">
        <v>-0.28538062923562946</v>
      </c>
      <c r="N56" s="16">
        <v>-0.36251820193692008</v>
      </c>
      <c r="O56" s="27">
        <v>1</v>
      </c>
      <c r="P56" s="16">
        <v>-0.41562937159075874</v>
      </c>
      <c r="Q56" s="16">
        <v>-0.50481901646590133</v>
      </c>
      <c r="R56" s="16">
        <v>0.18893134368296932</v>
      </c>
      <c r="S56" s="16">
        <v>0.28062146378094571</v>
      </c>
      <c r="T56" s="16">
        <v>0.46885126814885791</v>
      </c>
      <c r="U56" s="16">
        <v>0.35200508670285097</v>
      </c>
      <c r="V56" s="23">
        <v>-9.8641301796397352E-2</v>
      </c>
    </row>
    <row r="57" spans="2:22" x14ac:dyDescent="0.35">
      <c r="B57" s="7" t="s">
        <v>14</v>
      </c>
      <c r="C57" s="16">
        <v>-6.7756330087452549E-2</v>
      </c>
      <c r="D57" s="16">
        <v>-0.58791985169320649</v>
      </c>
      <c r="E57" s="16">
        <v>0.47358318827145496</v>
      </c>
      <c r="F57" s="16">
        <v>-0.51612860616180167</v>
      </c>
      <c r="G57" s="16">
        <v>-0.59532838449261105</v>
      </c>
      <c r="H57" s="16">
        <v>0.80388696715877539</v>
      </c>
      <c r="I57" s="16">
        <v>-0.3927346174922397</v>
      </c>
      <c r="J57" s="16">
        <v>0.31975923133826406</v>
      </c>
      <c r="K57" s="16">
        <v>-0.16466581039592681</v>
      </c>
      <c r="L57" s="16">
        <v>0.75120958261974446</v>
      </c>
      <c r="M57" s="16">
        <v>0.35167693812310907</v>
      </c>
      <c r="N57" s="16">
        <v>0.58074225530388701</v>
      </c>
      <c r="O57" s="16">
        <v>-0.41562937159075874</v>
      </c>
      <c r="P57" s="27">
        <v>1</v>
      </c>
      <c r="Q57" s="16">
        <v>0.58684705279521832</v>
      </c>
      <c r="R57" s="16">
        <v>-4.8232449900821851E-2</v>
      </c>
      <c r="S57" s="16">
        <v>-0.30255072851770198</v>
      </c>
      <c r="T57" s="16">
        <v>-0.44020362976083505</v>
      </c>
      <c r="U57" s="16">
        <v>0.18834456101861441</v>
      </c>
      <c r="V57" s="23">
        <v>-1.5800552195742921E-2</v>
      </c>
    </row>
    <row r="58" spans="2:22" x14ac:dyDescent="0.35">
      <c r="B58" s="7" t="s">
        <v>15</v>
      </c>
      <c r="C58" s="16">
        <v>-0.16480772813515385</v>
      </c>
      <c r="D58" s="16">
        <v>-0.3904186429524103</v>
      </c>
      <c r="E58" s="16">
        <v>0.28995786717690519</v>
      </c>
      <c r="F58" s="16">
        <v>-0.19455443298787575</v>
      </c>
      <c r="G58" s="16">
        <v>-0.905303806158399</v>
      </c>
      <c r="H58" s="16">
        <v>0.87355667422050365</v>
      </c>
      <c r="I58" s="16">
        <v>4.4883205064768415E-2</v>
      </c>
      <c r="J58" s="16">
        <v>0.14065430797098755</v>
      </c>
      <c r="K58" s="16">
        <v>1.2974684011296853E-2</v>
      </c>
      <c r="L58" s="16">
        <v>0.53553568372311378</v>
      </c>
      <c r="M58" s="16">
        <v>0.6728877394174404</v>
      </c>
      <c r="N58" s="16">
        <v>0.74638758281457529</v>
      </c>
      <c r="O58" s="16">
        <v>-0.50481901646590133</v>
      </c>
      <c r="P58" s="16">
        <v>0.58684705279521832</v>
      </c>
      <c r="Q58" s="27">
        <v>1</v>
      </c>
      <c r="R58" s="16">
        <v>0.37286872068997362</v>
      </c>
      <c r="S58" s="16">
        <v>0.16005877449931721</v>
      </c>
      <c r="T58" s="16">
        <v>-0.27798918312990345</v>
      </c>
      <c r="U58" s="16">
        <v>-0.16482192079127211</v>
      </c>
      <c r="V58" s="23">
        <v>0.17133658558619891</v>
      </c>
    </row>
    <row r="59" spans="2:22" x14ac:dyDescent="0.35">
      <c r="B59" s="7" t="s">
        <v>16</v>
      </c>
      <c r="C59" s="16">
        <v>-0.21347614784646049</v>
      </c>
      <c r="D59" s="16">
        <v>0.37685511921271214</v>
      </c>
      <c r="E59" s="16">
        <v>-0.3482348966581168</v>
      </c>
      <c r="F59" s="16">
        <v>0.2599339104042655</v>
      </c>
      <c r="G59" s="16">
        <v>-0.368817513531078</v>
      </c>
      <c r="H59" s="16">
        <v>0.20163125253017922</v>
      </c>
      <c r="I59" s="16">
        <v>0.55590421889247366</v>
      </c>
      <c r="J59" s="16">
        <v>-0.38608956780559583</v>
      </c>
      <c r="K59" s="16">
        <v>2.3346687673152438E-2</v>
      </c>
      <c r="L59" s="16">
        <v>-0.12497486928952957</v>
      </c>
      <c r="M59" s="16">
        <v>0.43917837504407642</v>
      </c>
      <c r="N59" s="16">
        <v>0.36850939980405889</v>
      </c>
      <c r="O59" s="16">
        <v>0.18893134368296932</v>
      </c>
      <c r="P59" s="16">
        <v>-4.8232449900821851E-2</v>
      </c>
      <c r="Q59" s="16">
        <v>0.37286872068997362</v>
      </c>
      <c r="R59" s="27">
        <v>1</v>
      </c>
      <c r="S59" s="16">
        <v>0.57721722201227244</v>
      </c>
      <c r="T59" s="16">
        <v>0.30348433974621675</v>
      </c>
      <c r="U59" s="16">
        <v>-0.26294174335930226</v>
      </c>
      <c r="V59" s="23">
        <v>0.32280116606424097</v>
      </c>
    </row>
    <row r="60" spans="2:22" x14ac:dyDescent="0.35">
      <c r="B60" s="7" t="s">
        <v>17</v>
      </c>
      <c r="C60" s="16">
        <v>-0.1985730528433628</v>
      </c>
      <c r="D60" s="16">
        <v>0.4662560858815275</v>
      </c>
      <c r="E60" s="16">
        <v>-0.38226885940941613</v>
      </c>
      <c r="F60" s="16">
        <v>0.72346472007926266</v>
      </c>
      <c r="G60" s="16">
        <v>-0.28749186079696465</v>
      </c>
      <c r="H60" s="16">
        <v>-6.3684228707629478E-2</v>
      </c>
      <c r="I60" s="16">
        <v>0.95206826897501384</v>
      </c>
      <c r="J60" s="16">
        <v>-0.32111352342895561</v>
      </c>
      <c r="K60" s="16">
        <v>9.6824432477845279E-2</v>
      </c>
      <c r="L60" s="16">
        <v>-3.5977234435184066E-2</v>
      </c>
      <c r="M60" s="16">
        <v>0.49921429857204025</v>
      </c>
      <c r="N60" s="16">
        <v>0.35075801187531114</v>
      </c>
      <c r="O60" s="16">
        <v>0.28062146378094571</v>
      </c>
      <c r="P60" s="16">
        <v>-0.30255072851770198</v>
      </c>
      <c r="Q60" s="16">
        <v>0.16005877449931721</v>
      </c>
      <c r="R60" s="16">
        <v>0.57721722201227244</v>
      </c>
      <c r="S60" s="27">
        <v>1</v>
      </c>
      <c r="T60" s="16">
        <v>0.63672270346601134</v>
      </c>
      <c r="U60" s="16">
        <v>-0.37861971534186706</v>
      </c>
      <c r="V60" s="23">
        <v>0.51613780370892703</v>
      </c>
    </row>
    <row r="61" spans="2:22" x14ac:dyDescent="0.35">
      <c r="B61" s="7" t="s">
        <v>18</v>
      </c>
      <c r="C61" s="16">
        <v>-0.10350481740933655</v>
      </c>
      <c r="D61" s="16">
        <v>0.4807645809171649</v>
      </c>
      <c r="E61" s="16">
        <v>-0.35180443559063518</v>
      </c>
      <c r="F61" s="16">
        <v>0.59629838397679014</v>
      </c>
      <c r="G61" s="16">
        <v>0.14675134627860956</v>
      </c>
      <c r="H61" s="16">
        <v>-0.39097262049745418</v>
      </c>
      <c r="I61" s="16">
        <v>0.64796183006714569</v>
      </c>
      <c r="J61" s="16">
        <v>-0.24346671630099803</v>
      </c>
      <c r="K61" s="16">
        <v>8.0744439644935495E-2</v>
      </c>
      <c r="L61" s="16">
        <v>-0.18977260080549108</v>
      </c>
      <c r="M61" s="16">
        <v>1.4142080969417431E-2</v>
      </c>
      <c r="N61" s="16">
        <v>-0.10905593458609839</v>
      </c>
      <c r="O61" s="16">
        <v>0.46885126814885791</v>
      </c>
      <c r="P61" s="16">
        <v>-0.44020362976083505</v>
      </c>
      <c r="Q61" s="16">
        <v>-0.27798918312990345</v>
      </c>
      <c r="R61" s="16">
        <v>0.30348433974621675</v>
      </c>
      <c r="S61" s="16">
        <v>0.63672270346601134</v>
      </c>
      <c r="T61" s="27">
        <v>1</v>
      </c>
      <c r="U61" s="16">
        <v>-0.19472834827788058</v>
      </c>
      <c r="V61" s="23">
        <v>0.48849886321923314</v>
      </c>
    </row>
    <row r="62" spans="2:22" x14ac:dyDescent="0.35">
      <c r="B62" s="7" t="s">
        <v>19</v>
      </c>
      <c r="C62" s="16">
        <v>-0.11970362207024954</v>
      </c>
      <c r="D62" s="16">
        <v>-0.11535967143219855</v>
      </c>
      <c r="E62" s="16">
        <v>1.9292700090098223E-2</v>
      </c>
      <c r="F62" s="16">
        <v>-0.44254000335974025</v>
      </c>
      <c r="G62" s="16">
        <v>0.15788998394447792</v>
      </c>
      <c r="H62" s="16">
        <v>6.4665121991497251E-2</v>
      </c>
      <c r="I62" s="16">
        <v>-0.30175783478170404</v>
      </c>
      <c r="J62" s="16">
        <v>0.40866212376106775</v>
      </c>
      <c r="K62" s="16">
        <v>-0.2229846233219481</v>
      </c>
      <c r="L62" s="16">
        <v>4.9221780815075569E-2</v>
      </c>
      <c r="M62" s="16">
        <v>-0.32929206072051703</v>
      </c>
      <c r="N62" s="16">
        <v>-0.2346011292917107</v>
      </c>
      <c r="O62" s="16">
        <v>0.35200508670285097</v>
      </c>
      <c r="P62" s="16">
        <v>0.18834456101861441</v>
      </c>
      <c r="Q62" s="16">
        <v>-0.16482192079127211</v>
      </c>
      <c r="R62" s="16">
        <v>-0.26294174335930226</v>
      </c>
      <c r="S62" s="16">
        <v>-0.37861971534186706</v>
      </c>
      <c r="T62" s="16">
        <v>-0.19472834827788058</v>
      </c>
      <c r="U62" s="27">
        <v>1</v>
      </c>
      <c r="V62" s="23">
        <v>-0.35876822876167985</v>
      </c>
    </row>
    <row r="63" spans="2:22" ht="15" thickBot="1" x14ac:dyDescent="0.4">
      <c r="B63" s="20" t="s">
        <v>0</v>
      </c>
      <c r="C63" s="24">
        <v>-4.5666375655369448E-2</v>
      </c>
      <c r="D63" s="24">
        <v>-1.1547244195810262E-3</v>
      </c>
      <c r="E63" s="24">
        <v>1.9989291586970159E-2</v>
      </c>
      <c r="F63" s="24">
        <v>0.48829182195662824</v>
      </c>
      <c r="G63" s="24">
        <v>-0.30568377177471845</v>
      </c>
      <c r="H63" s="24">
        <v>7.8119027612217742E-2</v>
      </c>
      <c r="I63" s="24">
        <v>0.45205015111436425</v>
      </c>
      <c r="J63" s="24">
        <v>-9.9889792466642993E-2</v>
      </c>
      <c r="K63" s="24">
        <v>9.9778760340787392E-2</v>
      </c>
      <c r="L63" s="24">
        <v>6.2297196009315402E-2</v>
      </c>
      <c r="M63" s="24">
        <v>0.23479059161565224</v>
      </c>
      <c r="N63" s="24">
        <v>0.19961566309702403</v>
      </c>
      <c r="O63" s="24">
        <v>-9.8641301796397352E-2</v>
      </c>
      <c r="P63" s="24">
        <v>-1.5800552195742921E-2</v>
      </c>
      <c r="Q63" s="24">
        <v>0.17133658558619891</v>
      </c>
      <c r="R63" s="24">
        <v>0.32280116606424097</v>
      </c>
      <c r="S63" s="24">
        <v>0.51613780370892703</v>
      </c>
      <c r="T63" s="24">
        <v>0.48849886321923314</v>
      </c>
      <c r="U63" s="24">
        <v>-0.35876822876167985</v>
      </c>
      <c r="V63" s="28">
        <v>1</v>
      </c>
    </row>
    <row r="66" spans="2:6" x14ac:dyDescent="0.35">
      <c r="B66" s="6" t="s">
        <v>40</v>
      </c>
    </row>
    <row r="67" spans="2:6" ht="15" thickBot="1" x14ac:dyDescent="0.4"/>
    <row r="68" spans="2:6" x14ac:dyDescent="0.35">
      <c r="B68" s="8" t="s">
        <v>41</v>
      </c>
      <c r="C68" s="9" t="s">
        <v>42</v>
      </c>
      <c r="D68" s="9" t="s">
        <v>43</v>
      </c>
      <c r="E68" s="9" t="s">
        <v>44</v>
      </c>
      <c r="F68" s="9" t="s">
        <v>45</v>
      </c>
    </row>
    <row r="69" spans="2:6" x14ac:dyDescent="0.35">
      <c r="B69" s="19" t="s">
        <v>46</v>
      </c>
      <c r="C69" s="21">
        <v>0.32849750996937011</v>
      </c>
      <c r="D69" s="21">
        <v>0.4606075639642957</v>
      </c>
      <c r="E69" s="21">
        <v>0.48561379297698248</v>
      </c>
      <c r="F69" s="21">
        <v>0.49613411769602844</v>
      </c>
    </row>
    <row r="70" spans="2:6" x14ac:dyDescent="0.35">
      <c r="B70" s="7" t="s">
        <v>47</v>
      </c>
      <c r="C70" s="16">
        <v>0.34341463621616891</v>
      </c>
      <c r="D70" s="16">
        <v>0.50077386943811508</v>
      </c>
      <c r="E70" s="16">
        <v>0.53621962551670954</v>
      </c>
      <c r="F70" s="16">
        <v>0.55152859008413335</v>
      </c>
    </row>
    <row r="71" spans="2:6" ht="15" thickBot="1" x14ac:dyDescent="0.4">
      <c r="B71" s="11" t="s">
        <v>48</v>
      </c>
      <c r="C71" s="17">
        <v>0.24817504184248837</v>
      </c>
      <c r="D71" s="17">
        <v>0.33072145753035553</v>
      </c>
      <c r="E71" s="17">
        <v>0.51357127873751907</v>
      </c>
      <c r="F71" s="17">
        <v>0.73835437662358638</v>
      </c>
    </row>
    <row r="91" spans="2:10" x14ac:dyDescent="0.35">
      <c r="G91" t="s">
        <v>49</v>
      </c>
    </row>
    <row r="94" spans="2:10" x14ac:dyDescent="0.35">
      <c r="B94" s="6" t="s">
        <v>50</v>
      </c>
    </row>
    <row r="95" spans="2:10" ht="15" thickBot="1" x14ac:dyDescent="0.4"/>
    <row r="96" spans="2:10" x14ac:dyDescent="0.35">
      <c r="B96" s="8"/>
      <c r="C96" s="9" t="s">
        <v>51</v>
      </c>
      <c r="D96" s="9" t="s">
        <v>52</v>
      </c>
      <c r="E96" s="9" t="s">
        <v>53</v>
      </c>
      <c r="F96" s="9" t="s">
        <v>54</v>
      </c>
      <c r="G96" s="9" t="s">
        <v>55</v>
      </c>
      <c r="H96" s="9" t="s">
        <v>56</v>
      </c>
      <c r="I96" s="9" t="s">
        <v>57</v>
      </c>
      <c r="J96" s="9" t="s">
        <v>58</v>
      </c>
    </row>
    <row r="97" spans="2:10" x14ac:dyDescent="0.35">
      <c r="B97" s="19" t="s">
        <v>1</v>
      </c>
      <c r="C97" s="21">
        <v>-0.1652346404651035</v>
      </c>
      <c r="D97" s="21">
        <v>0.43870033427235577</v>
      </c>
      <c r="E97" s="21">
        <v>-0.49379885187416467</v>
      </c>
      <c r="F97" s="21">
        <v>-0.44423750870450512</v>
      </c>
      <c r="G97" s="21">
        <v>-4.5666375655369552E-2</v>
      </c>
      <c r="H97" s="21">
        <v>6.3141773845241583E-2</v>
      </c>
      <c r="I97" s="21">
        <v>-0.17388804502107066</v>
      </c>
      <c r="J97" s="21">
        <v>-4.3897030400435126E-2</v>
      </c>
    </row>
    <row r="98" spans="2:10" x14ac:dyDescent="0.35">
      <c r="B98" s="7" t="s">
        <v>2</v>
      </c>
      <c r="C98" s="16">
        <v>0.32946144326972493</v>
      </c>
      <c r="D98" s="16">
        <v>-0.53504091305122281</v>
      </c>
      <c r="E98" s="16">
        <v>0.46302894052533522</v>
      </c>
      <c r="F98" s="16">
        <v>-0.48470932351191581</v>
      </c>
      <c r="G98" s="16">
        <v>-1.1547244195810424E-3</v>
      </c>
      <c r="H98" s="16">
        <v>-0.23969452838516919</v>
      </c>
      <c r="I98" s="16">
        <v>2.5501750028014959E-2</v>
      </c>
      <c r="J98" s="16">
        <v>-0.10154877323100606</v>
      </c>
    </row>
    <row r="99" spans="2:10" x14ac:dyDescent="0.35">
      <c r="B99" s="7" t="s">
        <v>3</v>
      </c>
      <c r="C99" s="16">
        <v>-0.2230797579862813</v>
      </c>
      <c r="D99" s="16">
        <v>0.60251127380143987</v>
      </c>
      <c r="E99" s="16">
        <v>-0.5717299302389981</v>
      </c>
      <c r="F99" s="16">
        <v>0.24172951605895096</v>
      </c>
      <c r="G99" s="16">
        <v>1.9989291586970298E-2</v>
      </c>
      <c r="H99" s="16">
        <v>0.18600229582508784</v>
      </c>
      <c r="I99" s="16">
        <v>-0.12495736079490778</v>
      </c>
      <c r="J99" s="16">
        <v>2.8413574981383173E-2</v>
      </c>
    </row>
    <row r="100" spans="2:10" x14ac:dyDescent="0.35">
      <c r="B100" s="7" t="s">
        <v>4</v>
      </c>
      <c r="C100" s="16">
        <v>0.69978200338912411</v>
      </c>
      <c r="D100" s="16">
        <v>0.15469351652725166</v>
      </c>
      <c r="E100" s="16">
        <v>0.26694870549085403</v>
      </c>
      <c r="F100" s="16">
        <v>-0.43012734273066594</v>
      </c>
      <c r="G100" s="16">
        <v>0.48829182195662779</v>
      </c>
      <c r="H100" s="16">
        <v>9.651793655849697E-2</v>
      </c>
      <c r="I100" s="16">
        <v>2.3839179683959214E-2</v>
      </c>
      <c r="J100" s="16">
        <v>-4.9066159977993171E-2</v>
      </c>
    </row>
    <row r="101" spans="2:10" x14ac:dyDescent="0.35">
      <c r="B101" s="7" t="s">
        <v>5</v>
      </c>
      <c r="C101" s="16">
        <v>-0.50885681471305833</v>
      </c>
      <c r="D101" s="16">
        <v>-2.7772232793435395E-2</v>
      </c>
      <c r="E101" s="16">
        <v>0.39357364175738846</v>
      </c>
      <c r="F101" s="16">
        <v>-0.67808014545989681</v>
      </c>
      <c r="G101" s="16">
        <v>-0.3056837717747185</v>
      </c>
      <c r="H101" s="16">
        <v>-9.2380490733510352E-3</v>
      </c>
      <c r="I101" s="16">
        <v>4.9978103434168602E-3</v>
      </c>
      <c r="J101" s="16">
        <v>-0.10362049401277602</v>
      </c>
    </row>
    <row r="102" spans="2:10" x14ac:dyDescent="0.35">
      <c r="B102" s="7" t="s">
        <v>6</v>
      </c>
      <c r="C102" s="16">
        <v>0.1394041975142627</v>
      </c>
      <c r="D102" s="16">
        <v>-2.5215552293297101E-2</v>
      </c>
      <c r="E102" s="16">
        <v>-0.40785634293514478</v>
      </c>
      <c r="F102" s="16">
        <v>0.85273881782062289</v>
      </c>
      <c r="G102" s="16">
        <v>7.8119027612217645E-2</v>
      </c>
      <c r="H102" s="16">
        <v>-4.4107747411959415E-3</v>
      </c>
      <c r="I102" s="16">
        <v>9.0984433514274075E-3</v>
      </c>
      <c r="J102" s="16">
        <v>0.12219404193713561</v>
      </c>
    </row>
    <row r="103" spans="2:10" x14ac:dyDescent="0.35">
      <c r="B103" s="7" t="s">
        <v>7</v>
      </c>
      <c r="C103" s="16">
        <v>0.8402463754793873</v>
      </c>
      <c r="D103" s="16">
        <v>-9.7513734429643104E-2</v>
      </c>
      <c r="E103" s="16">
        <v>0.27232544540152714</v>
      </c>
      <c r="F103" s="16">
        <v>-0.23561113913677975</v>
      </c>
      <c r="G103" s="16">
        <v>0.45205015111436414</v>
      </c>
      <c r="H103" s="16">
        <v>-4.9793419697853739E-2</v>
      </c>
      <c r="I103" s="16">
        <v>-2.3569427112555318E-3</v>
      </c>
      <c r="J103" s="16">
        <v>-7.7731341906965581E-2</v>
      </c>
    </row>
    <row r="104" spans="2:10" x14ac:dyDescent="0.35">
      <c r="B104" s="7" t="s">
        <v>8</v>
      </c>
      <c r="C104" s="16">
        <v>-0.3578203359898095</v>
      </c>
      <c r="D104" s="16">
        <v>0.31378021360289698</v>
      </c>
      <c r="E104" s="16">
        <v>1.6998497579480777E-2</v>
      </c>
      <c r="F104" s="16">
        <v>0.3444511272428149</v>
      </c>
      <c r="G104" s="16">
        <v>-9.9889792466642938E-2</v>
      </c>
      <c r="H104" s="16">
        <v>0.13550373299180049</v>
      </c>
      <c r="I104" s="16">
        <v>-2.0767379534381767E-2</v>
      </c>
      <c r="J104" s="16">
        <v>-2.6245708629233606E-2</v>
      </c>
    </row>
    <row r="105" spans="2:10" x14ac:dyDescent="0.35">
      <c r="B105" s="7" t="s">
        <v>9</v>
      </c>
      <c r="C105" s="16">
        <v>0.17127264808409795</v>
      </c>
      <c r="D105" s="16">
        <v>0.28555525764386613</v>
      </c>
      <c r="E105" s="16">
        <v>-0.49167100432877053</v>
      </c>
      <c r="F105" s="16">
        <v>-0.47751466536721465</v>
      </c>
      <c r="G105" s="16">
        <v>9.977876034078749E-2</v>
      </c>
      <c r="H105" s="16">
        <v>-7.2779855330361179E-4</v>
      </c>
      <c r="I105" s="16">
        <v>-0.1611546266773789</v>
      </c>
      <c r="J105" s="16">
        <v>-3.1274232176453837E-2</v>
      </c>
    </row>
    <row r="106" spans="2:10" x14ac:dyDescent="0.35">
      <c r="B106" s="7" t="s">
        <v>10</v>
      </c>
      <c r="C106" s="16">
        <v>0.13567292872255421</v>
      </c>
      <c r="D106" s="16">
        <v>4.9283306248067919E-2</v>
      </c>
      <c r="E106" s="16">
        <v>-0.51222962759295976</v>
      </c>
      <c r="F106" s="16">
        <v>0.54545118867787468</v>
      </c>
      <c r="G106" s="16">
        <v>6.2297196009315381E-2</v>
      </c>
      <c r="H106" s="16">
        <v>-2.1238192118357667E-2</v>
      </c>
      <c r="I106" s="16">
        <v>-5.2025722229724451E-2</v>
      </c>
      <c r="J106" s="16">
        <v>8.7631698041051656E-2</v>
      </c>
    </row>
    <row r="107" spans="2:10" x14ac:dyDescent="0.35">
      <c r="B107" s="7" t="s">
        <v>11</v>
      </c>
      <c r="C107" s="16">
        <v>0.69195763596910875</v>
      </c>
      <c r="D107" s="16">
        <v>-0.23081820509762527</v>
      </c>
      <c r="E107" s="16">
        <v>-0.54135615837663764</v>
      </c>
      <c r="F107" s="16">
        <v>0.28458110283638433</v>
      </c>
      <c r="G107" s="16">
        <v>0.23479059161565222</v>
      </c>
      <c r="H107" s="16">
        <v>-0.21067219582996669</v>
      </c>
      <c r="I107" s="16">
        <v>-0.11201521000546513</v>
      </c>
      <c r="J107" s="16">
        <v>3.3444181501369873E-2</v>
      </c>
    </row>
    <row r="108" spans="2:10" x14ac:dyDescent="0.35">
      <c r="B108" s="7" t="s">
        <v>12</v>
      </c>
      <c r="C108" s="16">
        <v>0.5676899189815765</v>
      </c>
      <c r="D108" s="16">
        <v>-0.19232492108626573</v>
      </c>
      <c r="E108" s="16">
        <v>-0.57955838952680061</v>
      </c>
      <c r="F108" s="16">
        <v>0.47139815633007837</v>
      </c>
      <c r="G108" s="16">
        <v>0.19961566309702383</v>
      </c>
      <c r="H108" s="16">
        <v>-0.16421045272697712</v>
      </c>
      <c r="I108" s="16">
        <v>-8.0343123205547817E-2</v>
      </c>
      <c r="J108" s="16">
        <v>7.6865535921846598E-2</v>
      </c>
    </row>
    <row r="109" spans="2:10" x14ac:dyDescent="0.35">
      <c r="B109" s="7" t="s">
        <v>13</v>
      </c>
      <c r="C109" s="16">
        <v>2.6177885353163618E-2</v>
      </c>
      <c r="D109" s="16">
        <v>-0.4238649604043801</v>
      </c>
      <c r="E109" s="16">
        <v>0.53250681464479355</v>
      </c>
      <c r="F109" s="16">
        <v>-0.36317847827874095</v>
      </c>
      <c r="G109" s="16">
        <v>-9.8641301796397282E-2</v>
      </c>
      <c r="H109" s="16">
        <v>-0.14066644687469035</v>
      </c>
      <c r="I109" s="16">
        <v>7.6651795022720751E-2</v>
      </c>
      <c r="J109" s="16">
        <v>-6.7687639655997486E-2</v>
      </c>
    </row>
    <row r="110" spans="2:10" x14ac:dyDescent="0.35">
      <c r="B110" s="7" t="s">
        <v>14</v>
      </c>
      <c r="C110" s="16">
        <v>-0.12331598709195045</v>
      </c>
      <c r="D110" s="16">
        <v>3.0670686210418133E-2</v>
      </c>
      <c r="E110" s="16">
        <v>-0.39438528761063113</v>
      </c>
      <c r="F110" s="16">
        <v>0.81546352368874564</v>
      </c>
      <c r="G110" s="16">
        <v>-1.5800552195742869E-2</v>
      </c>
      <c r="H110" s="16">
        <v>6.9683584244167984E-2</v>
      </c>
      <c r="I110" s="16">
        <v>6.2695321783700034E-2</v>
      </c>
      <c r="J110" s="16">
        <v>0.17407720892569789</v>
      </c>
    </row>
    <row r="111" spans="2:10" x14ac:dyDescent="0.35">
      <c r="B111" s="7" t="s">
        <v>15</v>
      </c>
      <c r="C111" s="16">
        <v>0.38628957444328738</v>
      </c>
      <c r="D111" s="16">
        <v>-4.8770702524739293E-2</v>
      </c>
      <c r="E111" s="16">
        <v>-0.48081698237428577</v>
      </c>
      <c r="F111" s="16">
        <v>0.66551402536679394</v>
      </c>
      <c r="G111" s="16">
        <v>0.17133658558619899</v>
      </c>
      <c r="H111" s="16">
        <v>-6.7919632063542526E-2</v>
      </c>
      <c r="I111" s="16">
        <v>-5.051044295341011E-2</v>
      </c>
      <c r="J111" s="16">
        <v>8.0519603470454199E-2</v>
      </c>
    </row>
    <row r="112" spans="2:10" x14ac:dyDescent="0.35">
      <c r="B112" s="7" t="s">
        <v>16</v>
      </c>
      <c r="C112" s="16">
        <v>0.66219074294817515</v>
      </c>
      <c r="D112" s="16">
        <v>-0.36878542386721919</v>
      </c>
      <c r="E112" s="16">
        <v>0.11575405263105812</v>
      </c>
      <c r="F112" s="16">
        <v>0.16344490576211892</v>
      </c>
      <c r="G112" s="16">
        <v>0.32280116606424114</v>
      </c>
      <c r="H112" s="16">
        <v>-8.0529649364552036E-2</v>
      </c>
      <c r="I112" s="16">
        <v>0.11469470927550446</v>
      </c>
      <c r="J112" s="16">
        <v>8.6996060691368365E-2</v>
      </c>
    </row>
    <row r="113" spans="2:10" x14ac:dyDescent="0.35">
      <c r="B113" s="7" t="s">
        <v>17</v>
      </c>
      <c r="C113" s="16">
        <v>0.91428888065744396</v>
      </c>
      <c r="D113" s="16">
        <v>-7.0368693826564466E-2</v>
      </c>
      <c r="E113" s="16">
        <v>0.19960386473926775</v>
      </c>
      <c r="F113" s="16">
        <v>-0.15805676710609537</v>
      </c>
      <c r="G113" s="16">
        <v>0.5161378037089267</v>
      </c>
      <c r="H113" s="16">
        <v>-2.425031386401157E-2</v>
      </c>
      <c r="I113" s="16">
        <v>1.1696410735844973E-2</v>
      </c>
      <c r="J113" s="16">
        <v>-4.3046527589970428E-2</v>
      </c>
    </row>
    <row r="114" spans="2:10" x14ac:dyDescent="0.35">
      <c r="B114" s="7" t="s">
        <v>18</v>
      </c>
      <c r="C114" s="16">
        <v>0.57181530284820226</v>
      </c>
      <c r="D114" s="16">
        <v>0.21336833165151425</v>
      </c>
      <c r="E114" s="16">
        <v>0.5671000907371736</v>
      </c>
      <c r="F114" s="16">
        <v>-0.25822551665666554</v>
      </c>
      <c r="G114" s="16">
        <v>0.48849886321923375</v>
      </c>
      <c r="H114" s="16">
        <v>0.18932011373147073</v>
      </c>
      <c r="I114" s="16">
        <v>9.7325044231568472E-2</v>
      </c>
      <c r="J114" s="16">
        <v>-5.580244493760398E-2</v>
      </c>
    </row>
    <row r="115" spans="2:10" x14ac:dyDescent="0.35">
      <c r="B115" s="7" t="s">
        <v>19</v>
      </c>
      <c r="C115" s="16">
        <v>-0.55881748141848453</v>
      </c>
      <c r="D115" s="16">
        <v>-0.22278535120198539</v>
      </c>
      <c r="E115" s="16">
        <v>0.20946176932572821</v>
      </c>
      <c r="F115" s="16">
        <v>0.21708513054184761</v>
      </c>
      <c r="G115" s="16">
        <v>-0.35876822876167996</v>
      </c>
      <c r="H115" s="16">
        <v>-3.8618186107895906E-2</v>
      </c>
      <c r="I115" s="16">
        <v>8.0790631069666205E-2</v>
      </c>
      <c r="J115" s="16">
        <v>2.5914170265048025E-2</v>
      </c>
    </row>
    <row r="116" spans="2:10" ht="15" thickBot="1" x14ac:dyDescent="0.4">
      <c r="B116" s="29" t="s">
        <v>0</v>
      </c>
      <c r="C116" s="30">
        <v>0.58601590099260015</v>
      </c>
      <c r="D116" s="30">
        <v>0.39668530754484232</v>
      </c>
      <c r="E116" s="30">
        <v>0.1882704333627413</v>
      </c>
      <c r="F116" s="30">
        <v>0.12372940057813173</v>
      </c>
      <c r="G116" s="30">
        <v>1.0000000000000004</v>
      </c>
      <c r="H116" s="30">
        <v>0.81029955188425984</v>
      </c>
      <c r="I116" s="30">
        <v>0.70655936096118954</v>
      </c>
      <c r="J116" s="30">
        <v>0.68101422487587571</v>
      </c>
    </row>
    <row r="136" spans="2:7" x14ac:dyDescent="0.35">
      <c r="G136" t="s">
        <v>49</v>
      </c>
    </row>
    <row r="139" spans="2:7" x14ac:dyDescent="0.35">
      <c r="B139" s="6" t="s">
        <v>59</v>
      </c>
    </row>
    <row r="140" spans="2:7" ht="15" thickBot="1" x14ac:dyDescent="0.4"/>
    <row r="141" spans="2:7" x14ac:dyDescent="0.35">
      <c r="B141" s="8" t="s">
        <v>30</v>
      </c>
      <c r="C141" s="9" t="s">
        <v>60</v>
      </c>
      <c r="D141" s="9" t="s">
        <v>61</v>
      </c>
      <c r="E141" s="9" t="s">
        <v>62</v>
      </c>
      <c r="F141" s="9" t="s">
        <v>63</v>
      </c>
    </row>
    <row r="142" spans="2:7" x14ac:dyDescent="0.35">
      <c r="B142" s="19" t="s">
        <v>1</v>
      </c>
      <c r="C142" s="21">
        <v>-3.8043715978363306E-2</v>
      </c>
      <c r="D142" s="21">
        <v>0.12112220673062121</v>
      </c>
      <c r="E142" s="21">
        <v>-0.46989384426622199</v>
      </c>
      <c r="F142" s="21">
        <v>-0.12772837703315576</v>
      </c>
    </row>
    <row r="143" spans="2:7" x14ac:dyDescent="0.35">
      <c r="B143" s="7" t="s">
        <v>2</v>
      </c>
      <c r="C143" s="16">
        <v>-9.6197710506626085E-4</v>
      </c>
      <c r="D143" s="16">
        <v>-0.45979592354222631</v>
      </c>
      <c r="E143" s="16">
        <v>6.8912818904417361E-2</v>
      </c>
      <c r="F143" s="16">
        <v>-0.29547921297144686</v>
      </c>
    </row>
    <row r="144" spans="2:7" x14ac:dyDescent="0.35">
      <c r="B144" s="7" t="s">
        <v>3</v>
      </c>
      <c r="C144" s="16">
        <v>1.6652666668412697E-2</v>
      </c>
      <c r="D144" s="16">
        <v>0.35680037406795645</v>
      </c>
      <c r="E144" s="16">
        <v>-0.33766953114094561</v>
      </c>
      <c r="F144" s="16">
        <v>8.2675747880337602E-2</v>
      </c>
    </row>
    <row r="145" spans="2:6" x14ac:dyDescent="0.35">
      <c r="B145" s="7" t="s">
        <v>4</v>
      </c>
      <c r="C145" s="16">
        <v>0.4067858489420374</v>
      </c>
      <c r="D145" s="16">
        <v>0.18514629464962756</v>
      </c>
      <c r="E145" s="16">
        <v>6.4420091585315559E-2</v>
      </c>
      <c r="F145" s="16">
        <v>-0.14276913322082183</v>
      </c>
    </row>
    <row r="146" spans="2:6" x14ac:dyDescent="0.35">
      <c r="B146" s="7" t="s">
        <v>5</v>
      </c>
      <c r="C146" s="16">
        <v>-0.254658847471396</v>
      </c>
      <c r="D146" s="16">
        <v>-1.7720960649482316E-2</v>
      </c>
      <c r="E146" s="16">
        <v>1.3505473104243848E-2</v>
      </c>
      <c r="F146" s="16">
        <v>-0.30150735498259223</v>
      </c>
    </row>
    <row r="147" spans="2:6" x14ac:dyDescent="0.35">
      <c r="B147" s="7" t="s">
        <v>6</v>
      </c>
      <c r="C147" s="16">
        <v>6.5079351192953286E-2</v>
      </c>
      <c r="D147" s="16">
        <v>-8.4610035086240959E-3</v>
      </c>
      <c r="E147" s="16">
        <v>2.4586523603290951E-2</v>
      </c>
      <c r="F147" s="16">
        <v>0.35555130990357109</v>
      </c>
    </row>
    <row r="148" spans="2:6" x14ac:dyDescent="0.35">
      <c r="B148" s="7" t="s">
        <v>7</v>
      </c>
      <c r="C148" s="16">
        <v>0.37659366021855412</v>
      </c>
      <c r="D148" s="16">
        <v>-9.5516620886357317E-2</v>
      </c>
      <c r="E148" s="16">
        <v>-6.3691145137255599E-3</v>
      </c>
      <c r="F148" s="16">
        <v>-0.22617698864403243</v>
      </c>
    </row>
    <row r="149" spans="2:6" x14ac:dyDescent="0.35">
      <c r="B149" s="7" t="s">
        <v>8</v>
      </c>
      <c r="C149" s="16">
        <v>-8.3216126508865756E-2</v>
      </c>
      <c r="D149" s="16">
        <v>0.2599311067888323</v>
      </c>
      <c r="E149" s="16">
        <v>-5.6119233519267342E-2</v>
      </c>
      <c r="F149" s="16">
        <v>-7.6367848501748853E-2</v>
      </c>
    </row>
    <row r="150" spans="2:6" x14ac:dyDescent="0.35">
      <c r="B150" s="7" t="s">
        <v>9</v>
      </c>
      <c r="C150" s="16">
        <v>8.3123627934150693E-2</v>
      </c>
      <c r="D150" s="16">
        <v>-1.3961053271571019E-3</v>
      </c>
      <c r="E150" s="16">
        <v>-0.43548460759073659</v>
      </c>
      <c r="F150" s="16">
        <v>-9.0999479518709028E-2</v>
      </c>
    </row>
    <row r="151" spans="2:6" x14ac:dyDescent="0.35">
      <c r="B151" s="7" t="s">
        <v>10</v>
      </c>
      <c r="C151" s="16">
        <v>5.1898509509767751E-2</v>
      </c>
      <c r="D151" s="16">
        <v>-4.07403298907833E-2</v>
      </c>
      <c r="E151" s="16">
        <v>-0.14058796633368092</v>
      </c>
      <c r="F151" s="16">
        <v>0.25498432275118232</v>
      </c>
    </row>
    <row r="152" spans="2:6" x14ac:dyDescent="0.35">
      <c r="B152" s="7" t="s">
        <v>11</v>
      </c>
      <c r="C152" s="16">
        <v>0.1955992008042679</v>
      </c>
      <c r="D152" s="16">
        <v>-0.4041236047351584</v>
      </c>
      <c r="E152" s="16">
        <v>-0.3026962413625276</v>
      </c>
      <c r="F152" s="16">
        <v>9.7313439779513802E-2</v>
      </c>
    </row>
    <row r="153" spans="2:6" x14ac:dyDescent="0.35">
      <c r="B153" s="7" t="s">
        <v>12</v>
      </c>
      <c r="C153" s="16">
        <v>0.16629569311579254</v>
      </c>
      <c r="D153" s="16">
        <v>-0.31499799880938478</v>
      </c>
      <c r="E153" s="16">
        <v>-0.21710945694302827</v>
      </c>
      <c r="F153" s="16">
        <v>0.22365772954390595</v>
      </c>
    </row>
    <row r="154" spans="2:6" x14ac:dyDescent="0.35">
      <c r="B154" s="7" t="s">
        <v>13</v>
      </c>
      <c r="C154" s="16">
        <v>-8.2176034673706502E-2</v>
      </c>
      <c r="D154" s="16">
        <v>-0.26983452349909215</v>
      </c>
      <c r="E154" s="16">
        <v>0.20713446188188631</v>
      </c>
      <c r="F154" s="16">
        <v>-0.19695255646222121</v>
      </c>
    </row>
    <row r="155" spans="2:6" x14ac:dyDescent="0.35">
      <c r="B155" s="7" t="s">
        <v>14</v>
      </c>
      <c r="C155" s="16">
        <v>-1.3163114247834272E-2</v>
      </c>
      <c r="D155" s="16">
        <v>0.13367108623269774</v>
      </c>
      <c r="E155" s="16">
        <v>0.16942019082956983</v>
      </c>
      <c r="F155" s="16">
        <v>0.50651716463992147</v>
      </c>
    </row>
    <row r="156" spans="2:6" x14ac:dyDescent="0.35">
      <c r="B156" s="7" t="s">
        <v>15</v>
      </c>
      <c r="C156" s="16">
        <v>0.14273697671861241</v>
      </c>
      <c r="D156" s="16">
        <v>-0.13028737102051033</v>
      </c>
      <c r="E156" s="16">
        <v>-0.13649326043139737</v>
      </c>
      <c r="F156" s="16">
        <v>0.23429006875445429</v>
      </c>
    </row>
    <row r="157" spans="2:6" x14ac:dyDescent="0.35">
      <c r="B157" s="7" t="s">
        <v>16</v>
      </c>
      <c r="C157" s="16">
        <v>0.26891899571601996</v>
      </c>
      <c r="D157" s="16">
        <v>-0.15447663637363584</v>
      </c>
      <c r="E157" s="16">
        <v>0.30993699337946384</v>
      </c>
      <c r="F157" s="16">
        <v>0.25313479155702107</v>
      </c>
    </row>
    <row r="158" spans="2:6" x14ac:dyDescent="0.35">
      <c r="B158" s="7" t="s">
        <v>17</v>
      </c>
      <c r="C158" s="16">
        <v>0.42998376219265033</v>
      </c>
      <c r="D158" s="16">
        <v>-4.6518356236211929E-2</v>
      </c>
      <c r="E158" s="16">
        <v>3.1606953796720044E-2</v>
      </c>
      <c r="F158" s="16">
        <v>-0.12525364599436167</v>
      </c>
    </row>
    <row r="159" spans="2:6" x14ac:dyDescent="0.35">
      <c r="B159" s="7" t="s">
        <v>18</v>
      </c>
      <c r="C159" s="16">
        <v>0.40695833074899807</v>
      </c>
      <c r="D159" s="16">
        <v>0.3631648044898253</v>
      </c>
      <c r="E159" s="16">
        <v>0.26299932909022111</v>
      </c>
      <c r="F159" s="16">
        <v>-0.16236988382456688</v>
      </c>
    </row>
    <row r="160" spans="2:6" ht="15" thickBot="1" x14ac:dyDescent="0.4">
      <c r="B160" s="11" t="s">
        <v>19</v>
      </c>
      <c r="C160" s="17">
        <v>-0.29888241405610577</v>
      </c>
      <c r="D160" s="17">
        <v>-7.4079640727018684E-2</v>
      </c>
      <c r="E160" s="17">
        <v>0.21831874761384143</v>
      </c>
      <c r="F160" s="17">
        <v>7.5403162353383985E-2</v>
      </c>
    </row>
    <row r="163" spans="2:6" x14ac:dyDescent="0.35">
      <c r="B163" s="6" t="s">
        <v>64</v>
      </c>
    </row>
    <row r="164" spans="2:6" ht="15" thickBot="1" x14ac:dyDescent="0.4"/>
    <row r="165" spans="2:6" x14ac:dyDescent="0.35">
      <c r="B165" s="8" t="s">
        <v>30</v>
      </c>
      <c r="C165" s="9" t="s">
        <v>65</v>
      </c>
      <c r="D165" s="9" t="s">
        <v>66</v>
      </c>
      <c r="E165" s="9" t="s">
        <v>67</v>
      </c>
      <c r="F165" s="9" t="s">
        <v>68</v>
      </c>
    </row>
    <row r="166" spans="2:6" x14ac:dyDescent="0.35">
      <c r="B166" s="19" t="s">
        <v>1</v>
      </c>
      <c r="C166" s="21">
        <v>-3.8043715978363306E-2</v>
      </c>
      <c r="D166" s="21">
        <v>0.10773444670665661</v>
      </c>
      <c r="E166" s="21">
        <v>-0.40320785366572598</v>
      </c>
      <c r="F166" s="21">
        <v>-0.48865115388512687</v>
      </c>
    </row>
    <row r="167" spans="2:6" x14ac:dyDescent="0.35">
      <c r="B167" s="7" t="s">
        <v>2</v>
      </c>
      <c r="C167" s="16">
        <v>-9.6197710506626085E-4</v>
      </c>
      <c r="D167" s="16">
        <v>-0.46013444774523782</v>
      </c>
      <c r="E167" s="16">
        <v>-0.21590343434884685</v>
      </c>
      <c r="F167" s="16">
        <v>-0.48874049582747309</v>
      </c>
    </row>
    <row r="168" spans="2:6" x14ac:dyDescent="0.35">
      <c r="B168" s="7" t="s">
        <v>3</v>
      </c>
      <c r="C168" s="16">
        <v>1.6652666668412697E-2</v>
      </c>
      <c r="D168" s="16">
        <v>0.36266052467055732</v>
      </c>
      <c r="E168" s="16">
        <v>-0.11318815978158915</v>
      </c>
      <c r="F168" s="16">
        <v>-1.8642181727759027E-2</v>
      </c>
    </row>
    <row r="169" spans="2:6" x14ac:dyDescent="0.35">
      <c r="B169" s="7" t="s">
        <v>4</v>
      </c>
      <c r="C169" s="16">
        <v>0.4067858489420374</v>
      </c>
      <c r="D169" s="16">
        <v>0.32829612075699321</v>
      </c>
      <c r="E169" s="16">
        <v>0.26763041745806626</v>
      </c>
      <c r="F169" s="16">
        <v>9.6794438175030473E-2</v>
      </c>
    </row>
    <row r="170" spans="2:6" x14ac:dyDescent="0.35">
      <c r="B170" s="7" t="s">
        <v>5</v>
      </c>
      <c r="C170" s="16">
        <v>-0.254658847471396</v>
      </c>
      <c r="D170" s="16">
        <v>-0.10733658967650592</v>
      </c>
      <c r="E170" s="16">
        <v>-5.2934250021140855E-2</v>
      </c>
      <c r="F170" s="16">
        <v>-0.34889030234959834</v>
      </c>
    </row>
    <row r="171" spans="2:6" x14ac:dyDescent="0.35">
      <c r="B171" s="7" t="s">
        <v>6</v>
      </c>
      <c r="C171" s="16">
        <v>6.5079351192953286E-2</v>
      </c>
      <c r="D171" s="16">
        <v>1.444072188492293E-2</v>
      </c>
      <c r="E171" s="16">
        <v>3.3525111708768714E-2</v>
      </c>
      <c r="F171" s="16">
        <v>0.3855605875061664</v>
      </c>
    </row>
    <row r="172" spans="2:6" x14ac:dyDescent="0.35">
      <c r="B172" s="7" t="s">
        <v>7</v>
      </c>
      <c r="C172" s="16">
        <v>0.37659366021855412</v>
      </c>
      <c r="D172" s="16">
        <v>3.7008434037821919E-2</v>
      </c>
      <c r="E172" s="16">
        <v>1.653854556926608E-2</v>
      </c>
      <c r="F172" s="16">
        <v>-0.21137286779746536</v>
      </c>
    </row>
    <row r="173" spans="2:6" x14ac:dyDescent="0.35">
      <c r="B173" s="7" t="s">
        <v>8</v>
      </c>
      <c r="C173" s="16">
        <v>-8.3216126508865756E-2</v>
      </c>
      <c r="D173" s="16">
        <v>0.23064696607928156</v>
      </c>
      <c r="E173" s="16">
        <v>8.6647744751625608E-2</v>
      </c>
      <c r="F173" s="16">
        <v>1.1930034494240134E-3</v>
      </c>
    </row>
    <row r="174" spans="2:6" x14ac:dyDescent="0.35">
      <c r="B174" s="7" t="s">
        <v>9</v>
      </c>
      <c r="C174" s="16">
        <v>8.3123627934150693E-2</v>
      </c>
      <c r="D174" s="16">
        <v>2.7855484705126766E-2</v>
      </c>
      <c r="E174" s="16">
        <v>-0.41824248450009499</v>
      </c>
      <c r="F174" s="16">
        <v>-0.46538018051663022</v>
      </c>
    </row>
    <row r="175" spans="2:6" x14ac:dyDescent="0.35">
      <c r="B175" s="7" t="s">
        <v>10</v>
      </c>
      <c r="C175" s="16">
        <v>5.1898509509767751E-2</v>
      </c>
      <c r="D175" s="16">
        <v>-2.2477003792108451E-2</v>
      </c>
      <c r="E175" s="16">
        <v>-0.15450089120987331</v>
      </c>
      <c r="F175" s="16">
        <v>0.11668619642599119</v>
      </c>
    </row>
    <row r="176" spans="2:6" x14ac:dyDescent="0.35">
      <c r="B176" s="7" t="s">
        <v>11</v>
      </c>
      <c r="C176" s="16">
        <v>0.1955992008042679</v>
      </c>
      <c r="D176" s="16">
        <v>-0.33529133917161286</v>
      </c>
      <c r="E176" s="16">
        <v>-0.51023650147363697</v>
      </c>
      <c r="F176" s="16">
        <v>-0.3594137129504324</v>
      </c>
    </row>
    <row r="177" spans="2:6" x14ac:dyDescent="0.35">
      <c r="B177" s="7" t="s">
        <v>12</v>
      </c>
      <c r="C177" s="16">
        <v>0.16629569311579254</v>
      </c>
      <c r="D177" s="16">
        <v>-0.25647777345286921</v>
      </c>
      <c r="E177" s="16">
        <v>-0.37586531370520393</v>
      </c>
      <c r="F177" s="16">
        <v>-0.11278996489332872</v>
      </c>
    </row>
    <row r="178" spans="2:6" x14ac:dyDescent="0.35">
      <c r="B178" s="7" t="s">
        <v>13</v>
      </c>
      <c r="C178" s="16">
        <v>-8.2176034673706502E-2</v>
      </c>
      <c r="D178" s="16">
        <v>-0.29875265106997068</v>
      </c>
      <c r="E178" s="16">
        <v>2.2211096234765058E-2</v>
      </c>
      <c r="F178" s="16">
        <v>-0.17707077475311858</v>
      </c>
    </row>
    <row r="179" spans="2:6" x14ac:dyDescent="0.35">
      <c r="B179" s="7" t="s">
        <v>14</v>
      </c>
      <c r="C179" s="16">
        <v>-1.3163114247834272E-2</v>
      </c>
      <c r="D179" s="16">
        <v>0.1290389253045103</v>
      </c>
      <c r="E179" s="16">
        <v>0.24929333097187686</v>
      </c>
      <c r="F179" s="16">
        <v>0.72966669024326036</v>
      </c>
    </row>
    <row r="180" spans="2:6" x14ac:dyDescent="0.35">
      <c r="B180" s="7" t="s">
        <v>15</v>
      </c>
      <c r="C180" s="16">
        <v>0.14273697671861241</v>
      </c>
      <c r="D180" s="16">
        <v>-8.005756718268825E-2</v>
      </c>
      <c r="E180" s="16">
        <v>-0.1860476818429613</v>
      </c>
      <c r="F180" s="16">
        <v>6.7753516087743382E-2</v>
      </c>
    </row>
    <row r="181" spans="2:6" x14ac:dyDescent="0.35">
      <c r="B181" s="7" t="s">
        <v>16</v>
      </c>
      <c r="C181" s="16">
        <v>0.26891899571601996</v>
      </c>
      <c r="D181" s="16">
        <v>-5.9842795069090127E-2</v>
      </c>
      <c r="E181" s="16">
        <v>0.27289520970231995</v>
      </c>
      <c r="F181" s="16">
        <v>0.49741102769655188</v>
      </c>
    </row>
    <row r="182" spans="2:6" x14ac:dyDescent="0.35">
      <c r="B182" s="7" t="s">
        <v>17</v>
      </c>
      <c r="C182" s="16">
        <v>0.42998376219265033</v>
      </c>
      <c r="D182" s="16">
        <v>0.10479492308988204</v>
      </c>
      <c r="E182" s="16">
        <v>9.6473423804959227E-2</v>
      </c>
      <c r="F182" s="16">
        <v>-3.8897550259754499E-2</v>
      </c>
    </row>
    <row r="183" spans="2:6" x14ac:dyDescent="0.35">
      <c r="B183" s="7" t="s">
        <v>18</v>
      </c>
      <c r="C183" s="16">
        <v>0.40695833074899807</v>
      </c>
      <c r="D183" s="16">
        <v>0.50637532774468841</v>
      </c>
      <c r="E183" s="16">
        <v>0.5764379866279592</v>
      </c>
      <c r="F183" s="16">
        <v>0.35361609443765984</v>
      </c>
    </row>
    <row r="184" spans="2:6" ht="15" thickBot="1" x14ac:dyDescent="0.4">
      <c r="B184" s="11" t="s">
        <v>19</v>
      </c>
      <c r="C184" s="17">
        <v>-0.29888241405610577</v>
      </c>
      <c r="D184" s="17">
        <v>-0.1792577478562507</v>
      </c>
      <c r="E184" s="17">
        <v>0.10736091700320324</v>
      </c>
      <c r="F184" s="17">
        <v>0.17150496180467753</v>
      </c>
    </row>
    <row r="187" spans="2:6" x14ac:dyDescent="0.35">
      <c r="B187" s="6" t="s">
        <v>69</v>
      </c>
    </row>
    <row r="188" spans="2:6" ht="15" thickBot="1" x14ac:dyDescent="0.4"/>
    <row r="189" spans="2:6" x14ac:dyDescent="0.35">
      <c r="B189" s="8" t="s">
        <v>30</v>
      </c>
      <c r="C189" s="9" t="s">
        <v>70</v>
      </c>
      <c r="D189" s="9" t="s">
        <v>71</v>
      </c>
      <c r="E189" s="9" t="s">
        <v>72</v>
      </c>
      <c r="F189" s="9" t="s">
        <v>73</v>
      </c>
    </row>
    <row r="190" spans="2:6" ht="15" thickBot="1" x14ac:dyDescent="0.4">
      <c r="B190" s="29" t="s">
        <v>0</v>
      </c>
      <c r="C190" s="30">
        <v>0.28609165267716441</v>
      </c>
      <c r="D190" s="30">
        <v>0.37252346017238214</v>
      </c>
      <c r="E190" s="30">
        <v>0.13556438893523315</v>
      </c>
      <c r="F190" s="30">
        <v>6.540965926068959E-2</v>
      </c>
    </row>
    <row r="210" spans="2:7" x14ac:dyDescent="0.35">
      <c r="G210" t="s">
        <v>49</v>
      </c>
    </row>
    <row r="213" spans="2:7" x14ac:dyDescent="0.35">
      <c r="B213" s="6" t="s">
        <v>74</v>
      </c>
    </row>
    <row r="214" spans="2:7" ht="15" thickBot="1" x14ac:dyDescent="0.4"/>
    <row r="215" spans="2:7" x14ac:dyDescent="0.35">
      <c r="B215" s="8" t="s">
        <v>30</v>
      </c>
      <c r="C215" s="9" t="s">
        <v>75</v>
      </c>
      <c r="D215" s="9" t="s">
        <v>76</v>
      </c>
      <c r="E215" s="9" t="s">
        <v>77</v>
      </c>
      <c r="F215" s="9" t="s">
        <v>78</v>
      </c>
    </row>
    <row r="216" spans="2:7" x14ac:dyDescent="0.35">
      <c r="B216" s="19" t="s">
        <v>1</v>
      </c>
      <c r="C216" s="21">
        <v>-8.0667182051047198E-2</v>
      </c>
      <c r="D216" s="21">
        <v>0.41197937859960831</v>
      </c>
      <c r="E216" s="21">
        <v>-0.35556055412197596</v>
      </c>
      <c r="F216" s="21">
        <v>-0.2348465598265817</v>
      </c>
    </row>
    <row r="217" spans="2:7" x14ac:dyDescent="0.35">
      <c r="B217" s="7" t="s">
        <v>2</v>
      </c>
      <c r="C217" s="16">
        <v>0.16084234000952419</v>
      </c>
      <c r="D217" s="16">
        <v>-0.50245191458496619</v>
      </c>
      <c r="E217" s="16">
        <v>0.33340463640780948</v>
      </c>
      <c r="F217" s="16">
        <v>-0.2562420212435535</v>
      </c>
    </row>
    <row r="218" spans="2:7" x14ac:dyDescent="0.35">
      <c r="B218" s="7" t="s">
        <v>3</v>
      </c>
      <c r="C218" s="16">
        <v>-0.10890703909743053</v>
      </c>
      <c r="D218" s="16">
        <v>0.56581269898434428</v>
      </c>
      <c r="E218" s="16">
        <v>-0.41167493612500355</v>
      </c>
      <c r="F218" s="16">
        <v>0.12779052678496475</v>
      </c>
    </row>
    <row r="219" spans="2:7" x14ac:dyDescent="0.35">
      <c r="B219" s="7" t="s">
        <v>4</v>
      </c>
      <c r="C219" s="16">
        <v>0.34163200951412342</v>
      </c>
      <c r="D219" s="16">
        <v>0.14527123376368326</v>
      </c>
      <c r="E219" s="16">
        <v>0.19221678885284224</v>
      </c>
      <c r="F219" s="16">
        <v>-0.2273872078524502</v>
      </c>
    </row>
    <row r="220" spans="2:7" x14ac:dyDescent="0.35">
      <c r="B220" s="7" t="s">
        <v>5</v>
      </c>
      <c r="C220" s="16">
        <v>-0.2484227592642316</v>
      </c>
      <c r="D220" s="16">
        <v>-2.6080643926430117E-2</v>
      </c>
      <c r="E220" s="16">
        <v>0.28339325136122834</v>
      </c>
      <c r="F220" s="16">
        <v>-0.35846768075113228</v>
      </c>
    </row>
    <row r="221" spans="2:7" x14ac:dyDescent="0.35">
      <c r="B221" s="7" t="s">
        <v>6</v>
      </c>
      <c r="C221" s="16">
        <v>6.8056817552964111E-2</v>
      </c>
      <c r="D221" s="16">
        <v>-2.3679689193920623E-2</v>
      </c>
      <c r="E221" s="16">
        <v>-0.29367753032592658</v>
      </c>
      <c r="F221" s="16">
        <v>0.45080114549482786</v>
      </c>
    </row>
    <row r="222" spans="2:7" x14ac:dyDescent="0.35">
      <c r="B222" s="7" t="s">
        <v>7</v>
      </c>
      <c r="C222" s="16">
        <v>0.4102064019248014</v>
      </c>
      <c r="D222" s="16">
        <v>-9.1574235478723912E-2</v>
      </c>
      <c r="E222" s="16">
        <v>0.19608831794764023</v>
      </c>
      <c r="F222" s="16">
        <v>-0.12455604130424855</v>
      </c>
    </row>
    <row r="223" spans="2:7" x14ac:dyDescent="0.35">
      <c r="B223" s="7" t="s">
        <v>8</v>
      </c>
      <c r="C223" s="16">
        <v>-0.17468708803196026</v>
      </c>
      <c r="D223" s="16">
        <v>0.29466806226940168</v>
      </c>
      <c r="E223" s="16">
        <v>1.2239791963188789E-2</v>
      </c>
      <c r="F223" s="16">
        <v>0.18209439922636342</v>
      </c>
    </row>
    <row r="224" spans="2:7" x14ac:dyDescent="0.35">
      <c r="B224" s="7" t="s">
        <v>9</v>
      </c>
      <c r="C224" s="16">
        <v>8.3614923871140306E-2</v>
      </c>
      <c r="D224" s="16">
        <v>0.26816227025470074</v>
      </c>
      <c r="E224" s="16">
        <v>-0.35402839452003299</v>
      </c>
      <c r="F224" s="16">
        <v>-0.25243855872338333</v>
      </c>
    </row>
    <row r="225" spans="2:6" x14ac:dyDescent="0.35">
      <c r="B225" s="7" t="s">
        <v>10</v>
      </c>
      <c r="C225" s="16">
        <v>6.6235220471051334E-2</v>
      </c>
      <c r="D225" s="16">
        <v>4.6281491709117745E-2</v>
      </c>
      <c r="E225" s="16">
        <v>-0.36883165996315076</v>
      </c>
      <c r="F225" s="16">
        <v>0.28835326307289716</v>
      </c>
    </row>
    <row r="226" spans="2:6" x14ac:dyDescent="0.35">
      <c r="B226" s="7" t="s">
        <v>11</v>
      </c>
      <c r="C226" s="16">
        <v>0.33781217083303305</v>
      </c>
      <c r="D226" s="16">
        <v>-0.21675921643260243</v>
      </c>
      <c r="E226" s="16">
        <v>-0.38980425920227252</v>
      </c>
      <c r="F226" s="16">
        <v>0.15044405680123463</v>
      </c>
    </row>
    <row r="227" spans="2:6" x14ac:dyDescent="0.35">
      <c r="B227" s="7" t="s">
        <v>12</v>
      </c>
      <c r="C227" s="16">
        <v>0.27714494923177113</v>
      </c>
      <c r="D227" s="16">
        <v>-0.18061053363398655</v>
      </c>
      <c r="E227" s="16">
        <v>-0.41731182918728577</v>
      </c>
      <c r="F227" s="16">
        <v>0.24920506070177628</v>
      </c>
    </row>
    <row r="228" spans="2:6" x14ac:dyDescent="0.35">
      <c r="B228" s="7" t="s">
        <v>13</v>
      </c>
      <c r="C228" s="16">
        <v>1.2779985102101326E-2</v>
      </c>
      <c r="D228" s="16">
        <v>-0.39804761782819509</v>
      </c>
      <c r="E228" s="16">
        <v>0.38343227686782971</v>
      </c>
      <c r="F228" s="16">
        <v>-0.19199463024980332</v>
      </c>
    </row>
    <row r="229" spans="2:6" x14ac:dyDescent="0.35">
      <c r="B229" s="7" t="s">
        <v>14</v>
      </c>
      <c r="C229" s="16">
        <v>-6.0202589194072856E-2</v>
      </c>
      <c r="D229" s="16">
        <v>2.8802554406870125E-2</v>
      </c>
      <c r="E229" s="16">
        <v>-0.28397767809335711</v>
      </c>
      <c r="F229" s="16">
        <v>0.43109552761730136</v>
      </c>
    </row>
    <row r="230" spans="2:6" x14ac:dyDescent="0.35">
      <c r="B230" s="7" t="s">
        <v>15</v>
      </c>
      <c r="C230" s="16">
        <v>0.18858570659473306</v>
      </c>
      <c r="D230" s="16">
        <v>-4.58001103494362E-2</v>
      </c>
      <c r="E230" s="16">
        <v>-0.34621294082681103</v>
      </c>
      <c r="F230" s="16">
        <v>0.35182459002509481</v>
      </c>
    </row>
    <row r="231" spans="2:6" x14ac:dyDescent="0.35">
      <c r="B231" s="7" t="s">
        <v>16</v>
      </c>
      <c r="C231" s="16">
        <v>0.32328004021166484</v>
      </c>
      <c r="D231" s="16">
        <v>-0.346322940495156</v>
      </c>
      <c r="E231" s="16">
        <v>8.334886753817651E-2</v>
      </c>
      <c r="F231" s="16">
        <v>8.640529691279579E-2</v>
      </c>
    </row>
    <row r="232" spans="2:6" x14ac:dyDescent="0.35">
      <c r="B232" s="7" t="s">
        <v>17</v>
      </c>
      <c r="C232" s="16">
        <v>0.44635378741189796</v>
      </c>
      <c r="D232" s="16">
        <v>-6.608258186905358E-2</v>
      </c>
      <c r="E232" s="16">
        <v>0.14372504205349523</v>
      </c>
      <c r="F232" s="16">
        <v>-8.3556852550396285E-2</v>
      </c>
    </row>
    <row r="233" spans="2:6" x14ac:dyDescent="0.35">
      <c r="B233" s="7" t="s">
        <v>18</v>
      </c>
      <c r="C233" s="16">
        <v>0.27915895241211414</v>
      </c>
      <c r="D233" s="16">
        <v>0.20037220357359806</v>
      </c>
      <c r="E233" s="16">
        <v>0.40834121371451881</v>
      </c>
      <c r="F233" s="16">
        <v>-0.13651115238582415</v>
      </c>
    </row>
    <row r="234" spans="2:6" ht="15" thickBot="1" x14ac:dyDescent="0.4">
      <c r="B234" s="11" t="s">
        <v>19</v>
      </c>
      <c r="C234" s="17">
        <v>-0.27281344505005783</v>
      </c>
      <c r="D234" s="17">
        <v>-0.2092156385098817</v>
      </c>
      <c r="E234" s="17">
        <v>0.15082324004229219</v>
      </c>
      <c r="F234" s="17">
        <v>0.11476225014391789</v>
      </c>
    </row>
    <row r="237" spans="2:6" x14ac:dyDescent="0.35">
      <c r="B237" s="6" t="s">
        <v>79</v>
      </c>
    </row>
    <row r="238" spans="2:6" ht="15" thickBot="1" x14ac:dyDescent="0.4"/>
    <row r="239" spans="2:6" ht="29" x14ac:dyDescent="0.35">
      <c r="B239" s="8" t="s">
        <v>80</v>
      </c>
      <c r="C239" s="9" t="s">
        <v>51</v>
      </c>
      <c r="D239" s="9" t="s">
        <v>52</v>
      </c>
      <c r="E239" s="9" t="s">
        <v>53</v>
      </c>
      <c r="F239" s="9" t="s">
        <v>54</v>
      </c>
    </row>
    <row r="240" spans="2:6" x14ac:dyDescent="0.35">
      <c r="B240" s="19" t="s">
        <v>81</v>
      </c>
      <c r="C240" s="21">
        <v>-0.36817541527499825</v>
      </c>
      <c r="D240" s="21">
        <v>1.1114532410995426</v>
      </c>
      <c r="E240" s="21">
        <v>2.0521156820977549</v>
      </c>
      <c r="F240" s="21">
        <v>1.3015039709660747</v>
      </c>
    </row>
    <row r="241" spans="2:6" x14ac:dyDescent="0.35">
      <c r="B241" s="7" t="s">
        <v>82</v>
      </c>
      <c r="C241" s="16">
        <v>-0.58843134637471339</v>
      </c>
      <c r="D241" s="16">
        <v>0.18382028068907794</v>
      </c>
      <c r="E241" s="16">
        <v>1.9448197813054628</v>
      </c>
      <c r="F241" s="16">
        <v>1.059230824397684</v>
      </c>
    </row>
    <row r="242" spans="2:6" x14ac:dyDescent="0.35">
      <c r="B242" s="7" t="s">
        <v>83</v>
      </c>
      <c r="C242" s="16">
        <v>-3.2029524242527514</v>
      </c>
      <c r="D242" s="16">
        <v>0.99104465120763796</v>
      </c>
      <c r="E242" s="16">
        <v>0.7303363368523339</v>
      </c>
      <c r="F242" s="16">
        <v>-1.4052573165267017</v>
      </c>
    </row>
    <row r="243" spans="2:6" x14ac:dyDescent="0.35">
      <c r="B243" s="7" t="s">
        <v>84</v>
      </c>
      <c r="C243" s="16">
        <v>-0.72082397249424834</v>
      </c>
      <c r="D243" s="16">
        <v>1.5873532637136376</v>
      </c>
      <c r="E243" s="16">
        <v>2.2466246674723891</v>
      </c>
      <c r="F243" s="16">
        <v>1.7535659214693813</v>
      </c>
    </row>
    <row r="244" spans="2:6" x14ac:dyDescent="0.35">
      <c r="B244" s="7" t="s">
        <v>85</v>
      </c>
      <c r="C244" s="16">
        <v>-1.399141572263616</v>
      </c>
      <c r="D244" s="16">
        <v>1.9785050759378318</v>
      </c>
      <c r="E244" s="16">
        <v>1.5944726343297597</v>
      </c>
      <c r="F244" s="16">
        <v>1.0899495791210065</v>
      </c>
    </row>
    <row r="245" spans="2:6" x14ac:dyDescent="0.35">
      <c r="B245" s="7" t="s">
        <v>86</v>
      </c>
      <c r="C245" s="16">
        <v>0.45041092576382263</v>
      </c>
      <c r="D245" s="16">
        <v>1.2849183145666445</v>
      </c>
      <c r="E245" s="16">
        <v>2.6407138665065202</v>
      </c>
      <c r="F245" s="16">
        <v>0.67387785255435995</v>
      </c>
    </row>
    <row r="246" spans="2:6" x14ac:dyDescent="0.35">
      <c r="B246" s="7" t="s">
        <v>87</v>
      </c>
      <c r="C246" s="16">
        <v>1.3500819576410172</v>
      </c>
      <c r="D246" s="16">
        <v>0.3919118762564891</v>
      </c>
      <c r="E246" s="16">
        <v>2.6841975032262502</v>
      </c>
      <c r="F246" s="16">
        <v>-0.77483356351425514</v>
      </c>
    </row>
    <row r="247" spans="2:6" x14ac:dyDescent="0.35">
      <c r="B247" s="7" t="s">
        <v>88</v>
      </c>
      <c r="C247" s="16">
        <v>-0.28278849302152592</v>
      </c>
      <c r="D247" s="16">
        <v>1.664991219080489</v>
      </c>
      <c r="E247" s="16">
        <v>1.9434603280300418</v>
      </c>
      <c r="F247" s="16">
        <v>1.9530827454938742</v>
      </c>
    </row>
    <row r="248" spans="2:6" x14ac:dyDescent="0.35">
      <c r="B248" s="7" t="s">
        <v>89</v>
      </c>
      <c r="C248" s="16">
        <v>8.0774549568185625E-2</v>
      </c>
      <c r="D248" s="16">
        <v>-5.5119457632462947E-2</v>
      </c>
      <c r="E248" s="16">
        <v>2.0377335599366946</v>
      </c>
      <c r="F248" s="16">
        <v>-0.40136346980031612</v>
      </c>
    </row>
    <row r="249" spans="2:6" x14ac:dyDescent="0.35">
      <c r="B249" s="7" t="s">
        <v>90</v>
      </c>
      <c r="C249" s="16">
        <v>-1.8800772277344665E-2</v>
      </c>
      <c r="D249" s="16">
        <v>0.67726424814927588</v>
      </c>
      <c r="E249" s="16">
        <v>2.080034424918793</v>
      </c>
      <c r="F249" s="16">
        <v>0.40115232836399828</v>
      </c>
    </row>
    <row r="250" spans="2:6" x14ac:dyDescent="0.35">
      <c r="B250" s="7" t="s">
        <v>91</v>
      </c>
      <c r="C250" s="16">
        <v>1.892965526491766</v>
      </c>
      <c r="D250" s="16">
        <v>0.12722295717517523</v>
      </c>
      <c r="E250" s="16">
        <v>2.4727154083441549</v>
      </c>
      <c r="F250" s="16">
        <v>-1.5578144065596951</v>
      </c>
    </row>
    <row r="251" spans="2:6" x14ac:dyDescent="0.35">
      <c r="B251" s="7" t="s">
        <v>92</v>
      </c>
      <c r="C251" s="16">
        <v>0.72448868796787469</v>
      </c>
      <c r="D251" s="16">
        <v>0.52749235751970991</v>
      </c>
      <c r="E251" s="16">
        <v>2.20590313648376</v>
      </c>
      <c r="F251" s="16">
        <v>2.0648207900107307</v>
      </c>
    </row>
    <row r="252" spans="2:6" x14ac:dyDescent="0.35">
      <c r="B252" s="7" t="s">
        <v>93</v>
      </c>
      <c r="C252" s="16">
        <v>1.4197478048536911</v>
      </c>
      <c r="D252" s="16">
        <v>1.1423662742283238</v>
      </c>
      <c r="E252" s="16">
        <v>2.3311460528518317</v>
      </c>
      <c r="F252" s="16">
        <v>1.483606119724133</v>
      </c>
    </row>
    <row r="253" spans="2:6" x14ac:dyDescent="0.35">
      <c r="B253" s="7" t="s">
        <v>94</v>
      </c>
      <c r="C253" s="16">
        <v>2.9076731312975337</v>
      </c>
      <c r="D253" s="16">
        <v>1.7459149724753937</v>
      </c>
      <c r="E253" s="16">
        <v>3.014360443231475</v>
      </c>
      <c r="F253" s="16">
        <v>-0.46086569682727624</v>
      </c>
    </row>
    <row r="254" spans="2:6" x14ac:dyDescent="0.35">
      <c r="B254" s="7" t="s">
        <v>95</v>
      </c>
      <c r="C254" s="16">
        <v>-5.8399014109760998E-2</v>
      </c>
      <c r="D254" s="16">
        <v>0.81581151437792543</v>
      </c>
      <c r="E254" s="16">
        <v>2.0164644787252146</v>
      </c>
      <c r="F254" s="16">
        <v>0.10338448236826416</v>
      </c>
    </row>
    <row r="255" spans="2:6" x14ac:dyDescent="0.35">
      <c r="B255" s="7" t="s">
        <v>96</v>
      </c>
      <c r="C255" s="16">
        <v>-2.1865544035898687</v>
      </c>
      <c r="D255" s="16">
        <v>0.23956482499725126</v>
      </c>
      <c r="E255" s="16">
        <v>1.6595379128378787</v>
      </c>
      <c r="F255" s="16">
        <v>0.94434446080104628</v>
      </c>
    </row>
    <row r="256" spans="2:6" x14ac:dyDescent="0.35">
      <c r="B256" s="7" t="s">
        <v>97</v>
      </c>
      <c r="C256" s="16">
        <v>-1.1852442602077127</v>
      </c>
      <c r="D256" s="16">
        <v>2.9522398898216951</v>
      </c>
      <c r="E256" s="16">
        <v>1.4653623339637032</v>
      </c>
      <c r="F256" s="16">
        <v>1.5781196584754722</v>
      </c>
    </row>
    <row r="257" spans="2:6" x14ac:dyDescent="0.35">
      <c r="B257" s="7" t="s">
        <v>98</v>
      </c>
      <c r="C257" s="16">
        <v>1.5657059573490804</v>
      </c>
      <c r="D257" s="16">
        <v>1.4869002142829867E-3</v>
      </c>
      <c r="E257" s="16">
        <v>1.4549985284990061</v>
      </c>
      <c r="F257" s="16">
        <v>-1.6499174402129551</v>
      </c>
    </row>
    <row r="258" spans="2:6" x14ac:dyDescent="0.35">
      <c r="B258" s="7" t="s">
        <v>99</v>
      </c>
      <c r="C258" s="16">
        <v>1.2593711076996448</v>
      </c>
      <c r="D258" s="16">
        <v>0.60056071256035637</v>
      </c>
      <c r="E258" s="16">
        <v>1.5213090378459728</v>
      </c>
      <c r="F258" s="16">
        <v>-0.78837731256746291</v>
      </c>
    </row>
    <row r="259" spans="2:6" x14ac:dyDescent="0.35">
      <c r="B259" s="7" t="s">
        <v>100</v>
      </c>
      <c r="C259" s="16">
        <v>2.560992658539742</v>
      </c>
      <c r="D259" s="16">
        <v>1.3815179296808038</v>
      </c>
      <c r="E259" s="16">
        <v>2.7922484179514657</v>
      </c>
      <c r="F259" s="16">
        <v>-0.50289771062128474</v>
      </c>
    </row>
    <row r="260" spans="2:6" x14ac:dyDescent="0.35">
      <c r="B260" s="7" t="s">
        <v>101</v>
      </c>
      <c r="C260" s="16">
        <v>1.2306341333810811</v>
      </c>
      <c r="D260" s="16">
        <v>0.48310687098402422</v>
      </c>
      <c r="E260" s="16">
        <v>2.769842347604389</v>
      </c>
      <c r="F260" s="16">
        <v>0.58213880541832597</v>
      </c>
    </row>
    <row r="261" spans="2:6" x14ac:dyDescent="0.35">
      <c r="B261" s="7" t="s">
        <v>102</v>
      </c>
      <c r="C261" s="16">
        <v>2.1973224330927015</v>
      </c>
      <c r="D261" s="16">
        <v>-4.9971328232420308E-2</v>
      </c>
      <c r="E261" s="16">
        <v>1.3323374059956572</v>
      </c>
      <c r="F261" s="16">
        <v>-2.2440289165126832</v>
      </c>
    </row>
    <row r="262" spans="2:6" x14ac:dyDescent="0.35">
      <c r="B262" s="7" t="s">
        <v>103</v>
      </c>
      <c r="C262" s="16">
        <v>1.3431429758487929</v>
      </c>
      <c r="D262" s="16">
        <v>-3.4558713442827488E-2</v>
      </c>
      <c r="E262" s="16">
        <v>1.4579267298203431</v>
      </c>
      <c r="F262" s="16">
        <v>-1.4243879320953086</v>
      </c>
    </row>
    <row r="263" spans="2:6" x14ac:dyDescent="0.35">
      <c r="B263" s="7" t="s">
        <v>104</v>
      </c>
      <c r="C263" s="16">
        <v>-1.2160817734723659</v>
      </c>
      <c r="D263" s="16">
        <v>1.9711771549861721</v>
      </c>
      <c r="E263" s="16">
        <v>1.3582300600771218</v>
      </c>
      <c r="F263" s="16">
        <v>0.7561513474243422</v>
      </c>
    </row>
    <row r="264" spans="2:6" x14ac:dyDescent="0.35">
      <c r="B264" s="7" t="s">
        <v>105</v>
      </c>
      <c r="C264" s="16">
        <v>1.9900628869842105</v>
      </c>
      <c r="D264" s="16">
        <v>1.4815676543912819</v>
      </c>
      <c r="E264" s="16">
        <v>1.5278819270835371</v>
      </c>
      <c r="F264" s="16">
        <v>1.1094394020846192</v>
      </c>
    </row>
    <row r="265" spans="2:6" x14ac:dyDescent="0.35">
      <c r="B265" s="7" t="s">
        <v>106</v>
      </c>
      <c r="C265" s="16">
        <v>2.2039662526379384</v>
      </c>
      <c r="D265" s="16">
        <v>1.1227792490617747</v>
      </c>
      <c r="E265" s="16">
        <v>1.2126087923323305</v>
      </c>
      <c r="F265" s="16">
        <v>0.20947967257937747</v>
      </c>
    </row>
    <row r="266" spans="2:6" x14ac:dyDescent="0.35">
      <c r="B266" s="7" t="s">
        <v>107</v>
      </c>
      <c r="C266" s="16">
        <v>-3.6771406332498984</v>
      </c>
      <c r="D266" s="16">
        <v>0.3378280804008843</v>
      </c>
      <c r="E266" s="16">
        <v>-0.27219258954559566</v>
      </c>
      <c r="F266" s="16">
        <v>-1.7837576143681633</v>
      </c>
    </row>
    <row r="267" spans="2:6" x14ac:dyDescent="0.35">
      <c r="B267" s="7" t="s">
        <v>108</v>
      </c>
      <c r="C267" s="16">
        <v>1.7034444642586775</v>
      </c>
      <c r="D267" s="16">
        <v>0.83673997754633411</v>
      </c>
      <c r="E267" s="16">
        <v>1.1963440861556531</v>
      </c>
      <c r="F267" s="16">
        <v>-0.96021095448519544</v>
      </c>
    </row>
    <row r="268" spans="2:6" x14ac:dyDescent="0.35">
      <c r="B268" s="7" t="s">
        <v>109</v>
      </c>
      <c r="C268" s="16">
        <v>-3.6121691562513936E-2</v>
      </c>
      <c r="D268" s="16">
        <v>1.5221622133522368</v>
      </c>
      <c r="E268" s="16">
        <v>1.1624933311240921</v>
      </c>
      <c r="F268" s="16">
        <v>2.954102156130066</v>
      </c>
    </row>
    <row r="269" spans="2:6" x14ac:dyDescent="0.35">
      <c r="B269" s="7" t="s">
        <v>110</v>
      </c>
      <c r="C269" s="16">
        <v>-2.3819039145065282</v>
      </c>
      <c r="D269" s="16">
        <v>1.6807823560300299</v>
      </c>
      <c r="E269" s="16">
        <v>1.3941973015953886</v>
      </c>
      <c r="F269" s="16">
        <v>1.414446094837174</v>
      </c>
    </row>
    <row r="270" spans="2:6" x14ac:dyDescent="0.35">
      <c r="B270" s="7" t="s">
        <v>111</v>
      </c>
      <c r="C270" s="16">
        <v>2.1671030960115578</v>
      </c>
      <c r="D270" s="16">
        <v>0.58810683556945609</v>
      </c>
      <c r="E270" s="16">
        <v>0.85279252957219276</v>
      </c>
      <c r="F270" s="16">
        <v>-1.2558100451260388</v>
      </c>
    </row>
    <row r="271" spans="2:6" x14ac:dyDescent="0.35">
      <c r="B271" s="7" t="s">
        <v>112</v>
      </c>
      <c r="C271" s="16">
        <v>-3.9514107871716719</v>
      </c>
      <c r="D271" s="16">
        <v>0.22143431928632751</v>
      </c>
      <c r="E271" s="16">
        <v>-0.51110919588183357</v>
      </c>
      <c r="F271" s="16">
        <v>-1.5739026231110731</v>
      </c>
    </row>
    <row r="272" spans="2:6" x14ac:dyDescent="0.35">
      <c r="B272" s="7" t="s">
        <v>113</v>
      </c>
      <c r="C272" s="16">
        <v>-1.4714746083794863</v>
      </c>
      <c r="D272" s="16">
        <v>1.4515593597228191</v>
      </c>
      <c r="E272" s="16">
        <v>0.95404987547735765</v>
      </c>
      <c r="F272" s="16">
        <v>1.9879857105872136</v>
      </c>
    </row>
    <row r="273" spans="2:6" x14ac:dyDescent="0.35">
      <c r="B273" s="7" t="s">
        <v>114</v>
      </c>
      <c r="C273" s="16">
        <v>1.8087707387457506</v>
      </c>
      <c r="D273" s="16">
        <v>0.95798806897848099</v>
      </c>
      <c r="E273" s="16">
        <v>1.0698480667362418</v>
      </c>
      <c r="F273" s="16">
        <v>9.9488882602871379E-2</v>
      </c>
    </row>
    <row r="274" spans="2:6" x14ac:dyDescent="0.35">
      <c r="B274" s="7" t="s">
        <v>115</v>
      </c>
      <c r="C274" s="16">
        <v>-3.5623656149300849</v>
      </c>
      <c r="D274" s="16">
        <v>0.48137260507411583</v>
      </c>
      <c r="E274" s="16">
        <v>-0.13675451590734744</v>
      </c>
      <c r="F274" s="16">
        <v>-1.0982386617214694</v>
      </c>
    </row>
    <row r="275" spans="2:6" x14ac:dyDescent="0.35">
      <c r="B275" s="7" t="s">
        <v>116</v>
      </c>
      <c r="C275" s="16">
        <v>2.0384419875356126</v>
      </c>
      <c r="D275" s="16">
        <v>0.98352565684229543</v>
      </c>
      <c r="E275" s="16">
        <v>0.99984695067114504</v>
      </c>
      <c r="F275" s="16">
        <v>0.57444967783390843</v>
      </c>
    </row>
    <row r="276" spans="2:6" x14ac:dyDescent="0.35">
      <c r="B276" s="7" t="s">
        <v>117</v>
      </c>
      <c r="C276" s="16">
        <v>-3.5674510361088165</v>
      </c>
      <c r="D276" s="16">
        <v>0.22652972757660181</v>
      </c>
      <c r="E276" s="16">
        <v>-0.45145719978344673</v>
      </c>
      <c r="F276" s="16">
        <v>-1.9091278213147003</v>
      </c>
    </row>
    <row r="277" spans="2:6" x14ac:dyDescent="0.35">
      <c r="B277" s="7" t="s">
        <v>118</v>
      </c>
      <c r="C277" s="16">
        <v>4.660807842806153</v>
      </c>
      <c r="D277" s="16">
        <v>0.1435117016997754</v>
      </c>
      <c r="E277" s="16">
        <v>0.3001683735383967</v>
      </c>
      <c r="F277" s="16">
        <v>-2.5527551442751402</v>
      </c>
    </row>
    <row r="278" spans="2:6" x14ac:dyDescent="0.35">
      <c r="B278" s="7" t="s">
        <v>119</v>
      </c>
      <c r="C278" s="16">
        <v>2.9308776686898659</v>
      </c>
      <c r="D278" s="16">
        <v>5.4404010673393642E-2</v>
      </c>
      <c r="E278" s="16">
        <v>0.14916340157293795</v>
      </c>
      <c r="F278" s="16">
        <v>-2.2066835239866602</v>
      </c>
    </row>
    <row r="279" spans="2:6" x14ac:dyDescent="0.35">
      <c r="B279" s="7" t="s">
        <v>120</v>
      </c>
      <c r="C279" s="16">
        <v>-3.6250700337060304</v>
      </c>
      <c r="D279" s="16">
        <v>0.18728689748291244</v>
      </c>
      <c r="E279" s="16">
        <v>-4.7403109855347472E-2</v>
      </c>
      <c r="F279" s="16">
        <v>-0.53618256649231177</v>
      </c>
    </row>
    <row r="280" spans="2:6" x14ac:dyDescent="0.35">
      <c r="B280" s="7" t="s">
        <v>121</v>
      </c>
      <c r="C280" s="16">
        <v>-1.3998004530884576</v>
      </c>
      <c r="D280" s="16">
        <v>1.8656883728615949</v>
      </c>
      <c r="E280" s="16">
        <v>0.80896171714442833</v>
      </c>
      <c r="F280" s="16">
        <v>0.85944031165240042</v>
      </c>
    </row>
    <row r="281" spans="2:6" x14ac:dyDescent="0.35">
      <c r="B281" s="7" t="s">
        <v>122</v>
      </c>
      <c r="C281" s="16">
        <v>0.7617274002622263</v>
      </c>
      <c r="D281" s="16">
        <v>0.54920287604195606</v>
      </c>
      <c r="E281" s="16">
        <v>1.0410322471536442</v>
      </c>
      <c r="F281" s="16">
        <v>2.7665222304585115</v>
      </c>
    </row>
    <row r="282" spans="2:6" x14ac:dyDescent="0.35">
      <c r="B282" s="7" t="s">
        <v>123</v>
      </c>
      <c r="C282" s="16">
        <v>3.6010622534900647</v>
      </c>
      <c r="D282" s="16">
        <v>0.42350137741628213</v>
      </c>
      <c r="E282" s="16">
        <v>0.80180803089627062</v>
      </c>
      <c r="F282" s="16">
        <v>-1.680137233094537</v>
      </c>
    </row>
    <row r="283" spans="2:6" x14ac:dyDescent="0.35">
      <c r="B283" s="7" t="s">
        <v>124</v>
      </c>
      <c r="C283" s="16">
        <v>2.5812941266229048</v>
      </c>
      <c r="D283" s="16">
        <v>-0.63962682741060517</v>
      </c>
      <c r="E283" s="16">
        <v>8.4530125598295161E-2</v>
      </c>
      <c r="F283" s="16">
        <v>-2.4554708614265293</v>
      </c>
    </row>
    <row r="284" spans="2:6" x14ac:dyDescent="0.35">
      <c r="B284" s="7" t="s">
        <v>125</v>
      </c>
      <c r="C284" s="16">
        <v>-1.9948303233437001</v>
      </c>
      <c r="D284" s="16">
        <v>0.4908168854921568</v>
      </c>
      <c r="E284" s="16">
        <v>1.0008712659419114</v>
      </c>
      <c r="F284" s="16">
        <v>-0.46190428889887203</v>
      </c>
    </row>
    <row r="285" spans="2:6" x14ac:dyDescent="0.35">
      <c r="B285" s="7" t="s">
        <v>126</v>
      </c>
      <c r="C285" s="16">
        <v>1.9821788028337759E-2</v>
      </c>
      <c r="D285" s="16">
        <v>-5.8566192376950016E-2</v>
      </c>
      <c r="E285" s="16">
        <v>0.69894824414329937</v>
      </c>
      <c r="F285" s="16">
        <v>1.8938089735369923</v>
      </c>
    </row>
    <row r="286" spans="2:6" x14ac:dyDescent="0.35">
      <c r="B286" s="7" t="s">
        <v>127</v>
      </c>
      <c r="C286" s="16">
        <v>-2.5672527656961801</v>
      </c>
      <c r="D286" s="16">
        <v>-1.090749174905193</v>
      </c>
      <c r="E286" s="16">
        <v>0.77547785395012658</v>
      </c>
      <c r="F286" s="16">
        <v>-1.606399224088392</v>
      </c>
    </row>
    <row r="287" spans="2:6" x14ac:dyDescent="0.35">
      <c r="B287" s="7" t="s">
        <v>128</v>
      </c>
      <c r="C287" s="16">
        <v>-2.1598486241668757</v>
      </c>
      <c r="D287" s="16">
        <v>-0.90578652105553947</v>
      </c>
      <c r="E287" s="16">
        <v>4.0590453081560451E-2</v>
      </c>
      <c r="F287" s="16">
        <v>-0.29474073142255741</v>
      </c>
    </row>
    <row r="288" spans="2:6" x14ac:dyDescent="0.35">
      <c r="B288" s="7" t="s">
        <v>129</v>
      </c>
      <c r="C288" s="16">
        <v>-0.4417104348761437</v>
      </c>
      <c r="D288" s="16">
        <v>-0.85084188676753925</v>
      </c>
      <c r="E288" s="16">
        <v>0.95158923472486845</v>
      </c>
      <c r="F288" s="16">
        <v>-1.0836970027539357</v>
      </c>
    </row>
    <row r="289" spans="2:6" x14ac:dyDescent="0.35">
      <c r="B289" s="7" t="s">
        <v>130</v>
      </c>
      <c r="C289" s="16">
        <v>2.5539941879994488</v>
      </c>
      <c r="D289" s="16">
        <v>0.38727623584060372</v>
      </c>
      <c r="E289" s="16">
        <v>-2.5373706232995681E-2</v>
      </c>
      <c r="F289" s="16">
        <v>-0.76065851262603068</v>
      </c>
    </row>
    <row r="290" spans="2:6" x14ac:dyDescent="0.35">
      <c r="B290" s="7" t="s">
        <v>131</v>
      </c>
      <c r="C290" s="16">
        <v>2.0670297416743226</v>
      </c>
      <c r="D290" s="16">
        <v>-1.0137292087893823</v>
      </c>
      <c r="E290" s="16">
        <v>0.17585493347049191</v>
      </c>
      <c r="F290" s="16">
        <v>-2.1324319010147392</v>
      </c>
    </row>
    <row r="291" spans="2:6" x14ac:dyDescent="0.35">
      <c r="B291" s="7" t="s">
        <v>132</v>
      </c>
      <c r="C291" s="16">
        <v>-2.2252623215517771</v>
      </c>
      <c r="D291" s="16">
        <v>-1.3109197755587878</v>
      </c>
      <c r="E291" s="16">
        <v>-0.17890320691449141</v>
      </c>
      <c r="F291" s="16">
        <v>-0.96252847775389361</v>
      </c>
    </row>
    <row r="292" spans="2:6" x14ac:dyDescent="0.35">
      <c r="B292" s="7" t="s">
        <v>133</v>
      </c>
      <c r="C292" s="16">
        <v>-1.7830028486520331</v>
      </c>
      <c r="D292" s="16">
        <v>-0.44034691359701666</v>
      </c>
      <c r="E292" s="16">
        <v>0.97363154268319174</v>
      </c>
      <c r="F292" s="16">
        <v>-0.18065371469234379</v>
      </c>
    </row>
    <row r="293" spans="2:6" x14ac:dyDescent="0.35">
      <c r="B293" s="7" t="s">
        <v>134</v>
      </c>
      <c r="C293" s="16">
        <v>3.1746098264592093</v>
      </c>
      <c r="D293" s="16">
        <v>0.13681388302956682</v>
      </c>
      <c r="E293" s="16">
        <v>-0.35950315045331149</v>
      </c>
      <c r="F293" s="16">
        <v>-1.3975049833180853</v>
      </c>
    </row>
    <row r="294" spans="2:6" x14ac:dyDescent="0.35">
      <c r="B294" s="7" t="s">
        <v>135</v>
      </c>
      <c r="C294" s="16">
        <v>-2.6004429478401252</v>
      </c>
      <c r="D294" s="16">
        <v>-0.99673003386020176</v>
      </c>
      <c r="E294" s="16">
        <v>9.1307808442229174E-2</v>
      </c>
      <c r="F294" s="16">
        <v>-9.8831253015672724E-3</v>
      </c>
    </row>
    <row r="295" spans="2:6" x14ac:dyDescent="0.35">
      <c r="B295" s="7" t="s">
        <v>136</v>
      </c>
      <c r="C295" s="16">
        <v>3.573613909282217</v>
      </c>
      <c r="D295" s="16">
        <v>-0.65883712954545248</v>
      </c>
      <c r="E295" s="16">
        <v>-0.41637022974153853</v>
      </c>
      <c r="F295" s="16">
        <v>-3.2585911111865555</v>
      </c>
    </row>
    <row r="296" spans="2:6" x14ac:dyDescent="0.35">
      <c r="B296" s="7" t="s">
        <v>137</v>
      </c>
      <c r="C296" s="16">
        <v>2.646287970181481</v>
      </c>
      <c r="D296" s="16">
        <v>-1.136303769542744</v>
      </c>
      <c r="E296" s="16">
        <v>7.1194551862379191E-2</v>
      </c>
      <c r="F296" s="16">
        <v>-0.36314519675417428</v>
      </c>
    </row>
    <row r="297" spans="2:6" x14ac:dyDescent="0.35">
      <c r="B297" s="7" t="s">
        <v>138</v>
      </c>
      <c r="C297" s="16">
        <v>-2.1042561361772854</v>
      </c>
      <c r="D297" s="16">
        <v>-1.4130074284406213</v>
      </c>
      <c r="E297" s="16">
        <v>0.86514245138975543</v>
      </c>
      <c r="F297" s="16">
        <v>-0.94073215804861221</v>
      </c>
    </row>
    <row r="298" spans="2:6" x14ac:dyDescent="0.35">
      <c r="B298" s="7" t="s">
        <v>139</v>
      </c>
      <c r="C298" s="16">
        <v>-1.3458207134264537</v>
      </c>
      <c r="D298" s="16">
        <v>-0.83970966417405279</v>
      </c>
      <c r="E298" s="16">
        <v>0.42691193412664979</v>
      </c>
      <c r="F298" s="16">
        <v>0.18204061868710222</v>
      </c>
    </row>
    <row r="299" spans="2:6" x14ac:dyDescent="0.35">
      <c r="B299" s="7" t="s">
        <v>140</v>
      </c>
      <c r="C299" s="16">
        <v>-2.2091426527506552</v>
      </c>
      <c r="D299" s="16">
        <v>-0.8963281083664012</v>
      </c>
      <c r="E299" s="16">
        <v>0.52801185126841432</v>
      </c>
      <c r="F299" s="16">
        <v>-0.29847547828037541</v>
      </c>
    </row>
    <row r="300" spans="2:6" x14ac:dyDescent="0.35">
      <c r="B300" s="7" t="s">
        <v>141</v>
      </c>
      <c r="C300" s="16">
        <v>-1.0041027341756916</v>
      </c>
      <c r="D300" s="16">
        <v>-0.65785992401892535</v>
      </c>
      <c r="E300" s="16">
        <v>1.1758622908506358</v>
      </c>
      <c r="F300" s="16">
        <v>-4.1138864999802946E-2</v>
      </c>
    </row>
    <row r="301" spans="2:6" x14ac:dyDescent="0.35">
      <c r="B301" s="7" t="s">
        <v>142</v>
      </c>
      <c r="C301" s="16">
        <v>2.5533721623467835E-2</v>
      </c>
      <c r="D301" s="16">
        <v>-0.59432589237638223</v>
      </c>
      <c r="E301" s="16">
        <v>-0.38021497496749079</v>
      </c>
      <c r="F301" s="16">
        <v>-1.5624909859525138</v>
      </c>
    </row>
    <row r="302" spans="2:6" x14ac:dyDescent="0.35">
      <c r="B302" s="7" t="s">
        <v>143</v>
      </c>
      <c r="C302" s="16">
        <v>-2.0809313322239906</v>
      </c>
      <c r="D302" s="16">
        <v>-0.78381029982928319</v>
      </c>
      <c r="E302" s="16">
        <v>0.65090152531758538</v>
      </c>
      <c r="F302" s="16">
        <v>-8.5759901021174853E-2</v>
      </c>
    </row>
    <row r="303" spans="2:6" x14ac:dyDescent="0.35">
      <c r="B303" s="7" t="s">
        <v>144</v>
      </c>
      <c r="C303" s="16">
        <v>0.46958704585433608</v>
      </c>
      <c r="D303" s="16">
        <v>-1.1324081670783912</v>
      </c>
      <c r="E303" s="16">
        <v>3.7849840338036178E-3</v>
      </c>
      <c r="F303" s="16">
        <v>-1.1386902219083443</v>
      </c>
    </row>
    <row r="304" spans="2:6" x14ac:dyDescent="0.35">
      <c r="B304" s="7" t="s">
        <v>145</v>
      </c>
      <c r="C304" s="16">
        <v>-0.90474790866389843</v>
      </c>
      <c r="D304" s="16">
        <v>-1.103996002969073</v>
      </c>
      <c r="E304" s="16">
        <v>1.4946713229047015</v>
      </c>
      <c r="F304" s="16">
        <v>-0.84548171134759487</v>
      </c>
    </row>
    <row r="305" spans="2:6" x14ac:dyDescent="0.35">
      <c r="B305" s="7" t="s">
        <v>146</v>
      </c>
      <c r="C305" s="16">
        <v>3.6570513267095306</v>
      </c>
      <c r="D305" s="16">
        <v>-0.48498142618304679</v>
      </c>
      <c r="E305" s="16">
        <v>-0.81329723043743074</v>
      </c>
      <c r="F305" s="16">
        <v>-3.231588645788078</v>
      </c>
    </row>
    <row r="306" spans="2:6" x14ac:dyDescent="0.35">
      <c r="B306" s="7" t="s">
        <v>147</v>
      </c>
      <c r="C306" s="16">
        <v>-0.62126937054211584</v>
      </c>
      <c r="D306" s="16">
        <v>-0.85153179395357603</v>
      </c>
      <c r="E306" s="16">
        <v>0.5407795363091743</v>
      </c>
      <c r="F306" s="16">
        <v>1.0393664044696818</v>
      </c>
    </row>
    <row r="307" spans="2:6" x14ac:dyDescent="0.35">
      <c r="B307" s="7" t="s">
        <v>148</v>
      </c>
      <c r="C307" s="16">
        <v>-1.1622821606561566</v>
      </c>
      <c r="D307" s="16">
        <v>-0.46965562201680261</v>
      </c>
      <c r="E307" s="16">
        <v>1.3978208999206587</v>
      </c>
      <c r="F307" s="16">
        <v>3.010967330487863E-3</v>
      </c>
    </row>
    <row r="308" spans="2:6" x14ac:dyDescent="0.35">
      <c r="B308" s="7" t="s">
        <v>149</v>
      </c>
      <c r="C308" s="16">
        <v>3.375143699787988</v>
      </c>
      <c r="D308" s="16">
        <v>-1.1982246694268808</v>
      </c>
      <c r="E308" s="16">
        <v>-0.59300636435463194</v>
      </c>
      <c r="F308" s="16">
        <v>-1.2690311481505365</v>
      </c>
    </row>
    <row r="309" spans="2:6" x14ac:dyDescent="0.35">
      <c r="B309" s="7" t="s">
        <v>150</v>
      </c>
      <c r="C309" s="16">
        <v>2.7030370734757825</v>
      </c>
      <c r="D309" s="16">
        <v>-0.80748927904835499</v>
      </c>
      <c r="E309" s="16">
        <v>0.14047189593327286</v>
      </c>
      <c r="F309" s="16">
        <v>5.092633185789263E-2</v>
      </c>
    </row>
    <row r="310" spans="2:6" x14ac:dyDescent="0.35">
      <c r="B310" s="7" t="s">
        <v>151</v>
      </c>
      <c r="C310" s="16">
        <v>-3.2024973111637443</v>
      </c>
      <c r="D310" s="16">
        <v>-0.39289420210264137</v>
      </c>
      <c r="E310" s="16">
        <v>-0.37395317049307847</v>
      </c>
      <c r="F310" s="16">
        <v>0.22370841407001876</v>
      </c>
    </row>
    <row r="311" spans="2:6" x14ac:dyDescent="0.35">
      <c r="B311" s="7" t="s">
        <v>152</v>
      </c>
      <c r="C311" s="16">
        <v>-2.1464616309072397</v>
      </c>
      <c r="D311" s="16">
        <v>-0.30718364326138664</v>
      </c>
      <c r="E311" s="16">
        <v>1.1821143621405927</v>
      </c>
      <c r="F311" s="16">
        <v>5.1986954525821118E-2</v>
      </c>
    </row>
    <row r="312" spans="2:6" x14ac:dyDescent="0.35">
      <c r="B312" s="7" t="s">
        <v>153</v>
      </c>
      <c r="C312" s="16">
        <v>-0.89042912243898931</v>
      </c>
      <c r="D312" s="16">
        <v>-0.77203457347982796</v>
      </c>
      <c r="E312" s="16">
        <v>0.51043317453784187</v>
      </c>
      <c r="F312" s="16">
        <v>0.29522855385388963</v>
      </c>
    </row>
    <row r="313" spans="2:6" x14ac:dyDescent="0.35">
      <c r="B313" s="7" t="s">
        <v>154</v>
      </c>
      <c r="C313" s="16">
        <v>-1.8003941996178836</v>
      </c>
      <c r="D313" s="16">
        <v>-1.4231809995817262</v>
      </c>
      <c r="E313" s="16">
        <v>1.4603949648276389</v>
      </c>
      <c r="F313" s="16">
        <v>-1.6545148037584282E-2</v>
      </c>
    </row>
    <row r="314" spans="2:6" x14ac:dyDescent="0.35">
      <c r="B314" s="7" t="s">
        <v>155</v>
      </c>
      <c r="C314" s="16">
        <v>-1.7420721569688504</v>
      </c>
      <c r="D314" s="16">
        <v>-1.3563552050153762</v>
      </c>
      <c r="E314" s="16">
        <v>1.3238736470372541</v>
      </c>
      <c r="F314" s="16">
        <v>-0.84708066299744755</v>
      </c>
    </row>
    <row r="315" spans="2:6" x14ac:dyDescent="0.35">
      <c r="B315" s="7" t="s">
        <v>156</v>
      </c>
      <c r="C315" s="16">
        <v>2.1551628583321949</v>
      </c>
      <c r="D315" s="16">
        <v>-0.51222696528750966</v>
      </c>
      <c r="E315" s="16">
        <v>4.0768622448990668E-2</v>
      </c>
      <c r="F315" s="16">
        <v>1.7323218080495615</v>
      </c>
    </row>
    <row r="316" spans="2:6" x14ac:dyDescent="0.35">
      <c r="B316" s="7" t="s">
        <v>157</v>
      </c>
      <c r="C316" s="16">
        <v>3.4480136602606053</v>
      </c>
      <c r="D316" s="16">
        <v>-0.77413814833702399</v>
      </c>
      <c r="E316" s="16">
        <v>-0.19216615369109016</v>
      </c>
      <c r="F316" s="16">
        <v>-2.21200621973068</v>
      </c>
    </row>
    <row r="317" spans="2:6" x14ac:dyDescent="0.35">
      <c r="B317" s="7" t="s">
        <v>158</v>
      </c>
      <c r="C317" s="16">
        <v>-1.97677789079695</v>
      </c>
      <c r="D317" s="16">
        <v>-0.32775048894988096</v>
      </c>
      <c r="E317" s="16">
        <v>1.1679288903185621</v>
      </c>
      <c r="F317" s="16">
        <v>-0.13782702452416862</v>
      </c>
    </row>
    <row r="318" spans="2:6" x14ac:dyDescent="0.35">
      <c r="B318" s="7" t="s">
        <v>159</v>
      </c>
      <c r="C318" s="16">
        <v>0.67715561836647986</v>
      </c>
      <c r="D318" s="16">
        <v>-1.4845059914348013</v>
      </c>
      <c r="E318" s="16">
        <v>-0.2982373722889361</v>
      </c>
      <c r="F318" s="16">
        <v>2.6475567893991712</v>
      </c>
    </row>
    <row r="319" spans="2:6" x14ac:dyDescent="0.35">
      <c r="B319" s="7" t="s">
        <v>160</v>
      </c>
      <c r="C319" s="16">
        <v>3.2877507191520636</v>
      </c>
      <c r="D319" s="16">
        <v>-1.4038445660318259</v>
      </c>
      <c r="E319" s="16">
        <v>-0.68485318366130998</v>
      </c>
      <c r="F319" s="16">
        <v>-1.587458256408145</v>
      </c>
    </row>
    <row r="320" spans="2:6" x14ac:dyDescent="0.35">
      <c r="B320" s="7" t="s">
        <v>161</v>
      </c>
      <c r="C320" s="16">
        <v>-1.3225963616114906</v>
      </c>
      <c r="D320" s="16">
        <v>-1.0538160334264832</v>
      </c>
      <c r="E320" s="16">
        <v>1.3204130899941615</v>
      </c>
      <c r="F320" s="16">
        <v>-4.1036899359921594E-2</v>
      </c>
    </row>
    <row r="321" spans="2:6" x14ac:dyDescent="0.35">
      <c r="B321" s="7" t="s">
        <v>162</v>
      </c>
      <c r="C321" s="16">
        <v>-1.6223807480472912</v>
      </c>
      <c r="D321" s="16">
        <v>-2.5218793115878801</v>
      </c>
      <c r="E321" s="16">
        <v>1.0168634171066422</v>
      </c>
      <c r="F321" s="16">
        <v>-2.0206890583273105</v>
      </c>
    </row>
    <row r="322" spans="2:6" x14ac:dyDescent="0.35">
      <c r="B322" s="7" t="s">
        <v>163</v>
      </c>
      <c r="C322" s="16">
        <v>1.2260755297782049</v>
      </c>
      <c r="D322" s="16">
        <v>-1.1433173948177779</v>
      </c>
      <c r="E322" s="16">
        <v>-0.39001813450189277</v>
      </c>
      <c r="F322" s="16">
        <v>-0.45701177741736909</v>
      </c>
    </row>
    <row r="323" spans="2:6" x14ac:dyDescent="0.35">
      <c r="B323" s="7" t="s">
        <v>164</v>
      </c>
      <c r="C323" s="16">
        <v>2.1465466484444828</v>
      </c>
      <c r="D323" s="16">
        <v>-0.9194279975047247</v>
      </c>
      <c r="E323" s="16">
        <v>-0.60399683427678785</v>
      </c>
      <c r="F323" s="16">
        <v>-1.1246777940023847</v>
      </c>
    </row>
    <row r="324" spans="2:6" x14ac:dyDescent="0.35">
      <c r="B324" s="7" t="s">
        <v>165</v>
      </c>
      <c r="C324" s="16">
        <v>-0.92959067808755513</v>
      </c>
      <c r="D324" s="16">
        <v>-0.49577703302919562</v>
      </c>
      <c r="E324" s="16">
        <v>-0.41976378218352844</v>
      </c>
      <c r="F324" s="16">
        <v>1.174065844215741</v>
      </c>
    </row>
    <row r="325" spans="2:6" x14ac:dyDescent="0.35">
      <c r="B325" s="7" t="s">
        <v>166</v>
      </c>
      <c r="C325" s="16">
        <v>-2.0716739737156349</v>
      </c>
      <c r="D325" s="16">
        <v>-2.5307615515405417</v>
      </c>
      <c r="E325" s="16">
        <v>0.91477092248522751</v>
      </c>
      <c r="F325" s="16">
        <v>-1.9492410284597088</v>
      </c>
    </row>
    <row r="326" spans="2:6" x14ac:dyDescent="0.35">
      <c r="B326" s="7" t="s">
        <v>167</v>
      </c>
      <c r="C326" s="16">
        <v>2.6458167351334159</v>
      </c>
      <c r="D326" s="16">
        <v>-1.1497609180727977</v>
      </c>
      <c r="E326" s="16">
        <v>-0.47926259467739135</v>
      </c>
      <c r="F326" s="16">
        <v>-0.87471298540009057</v>
      </c>
    </row>
    <row r="327" spans="2:6" x14ac:dyDescent="0.35">
      <c r="B327" s="7" t="s">
        <v>168</v>
      </c>
      <c r="C327" s="16">
        <v>-0.40108929825128359</v>
      </c>
      <c r="D327" s="16">
        <v>-0.20832889748096059</v>
      </c>
      <c r="E327" s="16">
        <v>0.59620522560638911</v>
      </c>
      <c r="F327" s="16">
        <v>3.1339843071078319</v>
      </c>
    </row>
    <row r="328" spans="2:6" x14ac:dyDescent="0.35">
      <c r="B328" s="7" t="s">
        <v>169</v>
      </c>
      <c r="C328" s="16">
        <v>-0.36276926948126648</v>
      </c>
      <c r="D328" s="16">
        <v>-1.2772042737572051</v>
      </c>
      <c r="E328" s="16">
        <v>-1.085920122373264</v>
      </c>
      <c r="F328" s="16">
        <v>3.0175307577022155</v>
      </c>
    </row>
    <row r="329" spans="2:6" x14ac:dyDescent="0.35">
      <c r="B329" s="7" t="s">
        <v>170</v>
      </c>
      <c r="C329" s="16">
        <v>2.3399209094776716</v>
      </c>
      <c r="D329" s="16">
        <v>-1.1415208400887404</v>
      </c>
      <c r="E329" s="16">
        <v>-0.51929560836294297</v>
      </c>
      <c r="F329" s="16">
        <v>-1.0622583980106886</v>
      </c>
    </row>
    <row r="330" spans="2:6" x14ac:dyDescent="0.35">
      <c r="B330" s="7" t="s">
        <v>171</v>
      </c>
      <c r="C330" s="16">
        <v>-1.0565316089660739</v>
      </c>
      <c r="D330" s="16">
        <v>-1.8858998196664891</v>
      </c>
      <c r="E330" s="16">
        <v>0.90557854326748377</v>
      </c>
      <c r="F330" s="16">
        <v>-1.5240953055809354</v>
      </c>
    </row>
    <row r="331" spans="2:6" x14ac:dyDescent="0.35">
      <c r="B331" s="7" t="s">
        <v>172</v>
      </c>
      <c r="C331" s="16">
        <v>-2.3121378989697821</v>
      </c>
      <c r="D331" s="16">
        <v>-1.2455490491335013</v>
      </c>
      <c r="E331" s="16">
        <v>0.62321068928790424</v>
      </c>
      <c r="F331" s="16">
        <v>-1.4321835594137153</v>
      </c>
    </row>
    <row r="332" spans="2:6" x14ac:dyDescent="0.35">
      <c r="B332" s="7" t="s">
        <v>173</v>
      </c>
      <c r="C332" s="16">
        <v>-1.7186180399877855</v>
      </c>
      <c r="D332" s="16">
        <v>-2.4028614714258083</v>
      </c>
      <c r="E332" s="16">
        <v>0.73468661484447473</v>
      </c>
      <c r="F332" s="16">
        <v>-2.8794631172417313</v>
      </c>
    </row>
    <row r="333" spans="2:6" x14ac:dyDescent="0.35">
      <c r="B333" s="7" t="s">
        <v>174</v>
      </c>
      <c r="C333" s="16">
        <v>-1.5600406164175915</v>
      </c>
      <c r="D333" s="16">
        <v>-1.9099586444986316</v>
      </c>
      <c r="E333" s="16">
        <v>0.84587381224188396</v>
      </c>
      <c r="F333" s="16">
        <v>-2.0396480148382996</v>
      </c>
    </row>
    <row r="334" spans="2:6" x14ac:dyDescent="0.35">
      <c r="B334" s="7" t="s">
        <v>175</v>
      </c>
      <c r="C334" s="16">
        <v>-1.0058873717954886</v>
      </c>
      <c r="D334" s="16">
        <v>-0.95757228893680635</v>
      </c>
      <c r="E334" s="16">
        <v>0.87177547392916965</v>
      </c>
      <c r="F334" s="16">
        <v>-1.9023038071679037</v>
      </c>
    </row>
    <row r="335" spans="2:6" x14ac:dyDescent="0.35">
      <c r="B335" s="7" t="s">
        <v>176</v>
      </c>
      <c r="C335" s="16">
        <v>3.5118220166989653</v>
      </c>
      <c r="D335" s="16">
        <v>-6.7341690786511241E-2</v>
      </c>
      <c r="E335" s="16">
        <v>-0.82682117249022047</v>
      </c>
      <c r="F335" s="16">
        <v>0.26878031123390278</v>
      </c>
    </row>
    <row r="336" spans="2:6" x14ac:dyDescent="0.35">
      <c r="B336" s="7" t="s">
        <v>177</v>
      </c>
      <c r="C336" s="16">
        <v>-3.0591132231644327</v>
      </c>
      <c r="D336" s="16">
        <v>-2.9536311723408413</v>
      </c>
      <c r="E336" s="16">
        <v>0.53804869060218063</v>
      </c>
      <c r="F336" s="16">
        <v>-2.2935937609703947</v>
      </c>
    </row>
    <row r="337" spans="2:6" x14ac:dyDescent="0.35">
      <c r="B337" s="7" t="s">
        <v>178</v>
      </c>
      <c r="C337" s="16">
        <v>2.0837027801663193</v>
      </c>
      <c r="D337" s="16">
        <v>-0.69373409228365779</v>
      </c>
      <c r="E337" s="16">
        <v>-0.37186985843626785</v>
      </c>
      <c r="F337" s="16">
        <v>-8.0881475863164326E-2</v>
      </c>
    </row>
    <row r="338" spans="2:6" x14ac:dyDescent="0.35">
      <c r="B338" s="7" t="s">
        <v>179</v>
      </c>
      <c r="C338" s="16">
        <v>-2.2015139673328683</v>
      </c>
      <c r="D338" s="16">
        <v>-1.6593537272711691</v>
      </c>
      <c r="E338" s="16">
        <v>0.80169840213631649</v>
      </c>
      <c r="F338" s="16">
        <v>-1.8540239246726193</v>
      </c>
    </row>
    <row r="339" spans="2:6" x14ac:dyDescent="0.35">
      <c r="B339" s="7" t="s">
        <v>180</v>
      </c>
      <c r="C339" s="16">
        <v>-0.52287923935597458</v>
      </c>
      <c r="D339" s="16">
        <v>-1.6089924860104705</v>
      </c>
      <c r="E339" s="16">
        <v>0.78962173479355058</v>
      </c>
      <c r="F339" s="16">
        <v>-3.3197419541088151</v>
      </c>
    </row>
    <row r="340" spans="2:6" x14ac:dyDescent="0.35">
      <c r="B340" s="7" t="s">
        <v>181</v>
      </c>
      <c r="C340" s="16">
        <v>0.85105123275852856</v>
      </c>
      <c r="D340" s="16">
        <v>-1.8718856221331623</v>
      </c>
      <c r="E340" s="16">
        <v>-2.0241669066365273</v>
      </c>
      <c r="F340" s="16">
        <v>1.6275537938049232</v>
      </c>
    </row>
    <row r="341" spans="2:6" x14ac:dyDescent="0.35">
      <c r="B341" s="7" t="s">
        <v>182</v>
      </c>
      <c r="C341" s="16">
        <v>0.26628077048098869</v>
      </c>
      <c r="D341" s="16">
        <v>-1.3782502875211184</v>
      </c>
      <c r="E341" s="16">
        <v>-1.6333564607497368</v>
      </c>
      <c r="F341" s="16">
        <v>2.0433813832001988</v>
      </c>
    </row>
    <row r="342" spans="2:6" x14ac:dyDescent="0.35">
      <c r="B342" s="7" t="s">
        <v>183</v>
      </c>
      <c r="C342" s="16">
        <v>0.94731840968729164</v>
      </c>
      <c r="D342" s="16">
        <v>-6.2945637643063962E-2</v>
      </c>
      <c r="E342" s="16">
        <v>-1.3583679877972568</v>
      </c>
      <c r="F342" s="16">
        <v>2.084778091925533</v>
      </c>
    </row>
    <row r="343" spans="2:6" x14ac:dyDescent="0.35">
      <c r="B343" s="7" t="s">
        <v>184</v>
      </c>
      <c r="C343" s="16">
        <v>-2.2720226270422601</v>
      </c>
      <c r="D343" s="16">
        <v>-2.1584905228668503</v>
      </c>
      <c r="E343" s="16">
        <v>1.2690333689165918</v>
      </c>
      <c r="F343" s="16">
        <v>-1.3078210203548404</v>
      </c>
    </row>
    <row r="344" spans="2:6" x14ac:dyDescent="0.35">
      <c r="B344" s="7" t="s">
        <v>185</v>
      </c>
      <c r="C344" s="16">
        <v>0.48708057476886601</v>
      </c>
      <c r="D344" s="16">
        <v>0.31401032026253267</v>
      </c>
      <c r="E344" s="16">
        <v>-2.7360748158780992</v>
      </c>
      <c r="F344" s="16">
        <v>3.161110934277418</v>
      </c>
    </row>
    <row r="345" spans="2:6" x14ac:dyDescent="0.35">
      <c r="B345" s="7" t="s">
        <v>186</v>
      </c>
      <c r="C345" s="16">
        <v>1.4184540769383049</v>
      </c>
      <c r="D345" s="16">
        <v>-1.2011506192129509</v>
      </c>
      <c r="E345" s="16">
        <v>-0.89791110753975756</v>
      </c>
      <c r="F345" s="16">
        <v>0.97923596825987436</v>
      </c>
    </row>
    <row r="346" spans="2:6" x14ac:dyDescent="0.35">
      <c r="B346" s="7" t="s">
        <v>187</v>
      </c>
      <c r="C346" s="16">
        <v>0.1473195030134111</v>
      </c>
      <c r="D346" s="16">
        <v>-0.30419166068435127</v>
      </c>
      <c r="E346" s="16">
        <v>0.57304521663480767</v>
      </c>
      <c r="F346" s="16">
        <v>3.2100317340740419</v>
      </c>
    </row>
    <row r="347" spans="2:6" x14ac:dyDescent="0.35">
      <c r="B347" s="7" t="s">
        <v>188</v>
      </c>
      <c r="C347" s="16">
        <v>-3.3467625295058143</v>
      </c>
      <c r="D347" s="16">
        <v>-2.3887262468396062</v>
      </c>
      <c r="E347" s="16">
        <v>1.0706050019226032</v>
      </c>
      <c r="F347" s="16">
        <v>-1.8419613874715568</v>
      </c>
    </row>
    <row r="348" spans="2:6" x14ac:dyDescent="0.35">
      <c r="B348" s="7" t="s">
        <v>189</v>
      </c>
      <c r="C348" s="16">
        <v>2.5663811157303571</v>
      </c>
      <c r="D348" s="16">
        <v>0.22020332806431761</v>
      </c>
      <c r="E348" s="16">
        <v>-0.49171046869689605</v>
      </c>
      <c r="F348" s="16">
        <v>0.85632134892993916</v>
      </c>
    </row>
    <row r="349" spans="2:6" x14ac:dyDescent="0.35">
      <c r="B349" s="7" t="s">
        <v>190</v>
      </c>
      <c r="C349" s="16">
        <v>1.5965162772574815</v>
      </c>
      <c r="D349" s="16">
        <v>-1.3115590641421655</v>
      </c>
      <c r="E349" s="16">
        <v>-1.65352182764925</v>
      </c>
      <c r="F349" s="16">
        <v>0.7753465573480014</v>
      </c>
    </row>
    <row r="350" spans="2:6" x14ac:dyDescent="0.35">
      <c r="B350" s="7" t="s">
        <v>191</v>
      </c>
      <c r="C350" s="16">
        <v>2.390235244142108</v>
      </c>
      <c r="D350" s="16">
        <v>0.40630184577141482</v>
      </c>
      <c r="E350" s="16">
        <v>-0.83529751427010779</v>
      </c>
      <c r="F350" s="16">
        <v>3.1090612694789304</v>
      </c>
    </row>
    <row r="351" spans="2:6" x14ac:dyDescent="0.35">
      <c r="B351" s="7" t="s">
        <v>192</v>
      </c>
      <c r="C351" s="16">
        <v>-2.0179151633729209</v>
      </c>
      <c r="D351" s="16">
        <v>-1.8061247713487447</v>
      </c>
      <c r="E351" s="16">
        <v>1.0877535611174567</v>
      </c>
      <c r="F351" s="16">
        <v>-1.5992247385141309</v>
      </c>
    </row>
    <row r="352" spans="2:6" x14ac:dyDescent="0.35">
      <c r="B352" s="7" t="s">
        <v>193</v>
      </c>
      <c r="C352" s="16">
        <v>0.85330100882359416</v>
      </c>
      <c r="D352" s="16">
        <v>-1.0963589857314562</v>
      </c>
      <c r="E352" s="16">
        <v>-1.8546336037480966</v>
      </c>
      <c r="F352" s="16">
        <v>2.7339999461771218</v>
      </c>
    </row>
    <row r="353" spans="2:6" x14ac:dyDescent="0.35">
      <c r="B353" s="7" t="s">
        <v>194</v>
      </c>
      <c r="C353" s="16">
        <v>-5.0520618173861512E-2</v>
      </c>
      <c r="D353" s="16">
        <v>-0.55358065011343793</v>
      </c>
      <c r="E353" s="16">
        <v>-1.6344058231680032</v>
      </c>
      <c r="F353" s="16">
        <v>3.5992353222797018</v>
      </c>
    </row>
    <row r="354" spans="2:6" x14ac:dyDescent="0.35">
      <c r="B354" s="7" t="s">
        <v>195</v>
      </c>
      <c r="C354" s="16">
        <v>0.26587828615624426</v>
      </c>
      <c r="D354" s="16">
        <v>-0.69582655514580249</v>
      </c>
      <c r="E354" s="16">
        <v>-0.72234054306172912</v>
      </c>
      <c r="F354" s="16">
        <v>2.7511725167699059</v>
      </c>
    </row>
    <row r="355" spans="2:6" x14ac:dyDescent="0.35">
      <c r="B355" s="7" t="s">
        <v>196</v>
      </c>
      <c r="C355" s="16">
        <v>-0.68430478474961853</v>
      </c>
      <c r="D355" s="16">
        <v>-0.20019802278351914</v>
      </c>
      <c r="E355" s="16">
        <v>-1.1208518381862245</v>
      </c>
      <c r="F355" s="16">
        <v>3.5878441030712871</v>
      </c>
    </row>
    <row r="356" spans="2:6" x14ac:dyDescent="0.35">
      <c r="B356" s="7" t="s">
        <v>197</v>
      </c>
      <c r="C356" s="16">
        <v>0.53964685626503983</v>
      </c>
      <c r="D356" s="16">
        <v>-0.9686143904264608</v>
      </c>
      <c r="E356" s="16">
        <v>-0.72175805637599599</v>
      </c>
      <c r="F356" s="16">
        <v>2.5274425441295474</v>
      </c>
    </row>
    <row r="357" spans="2:6" x14ac:dyDescent="0.35">
      <c r="B357" s="7" t="s">
        <v>198</v>
      </c>
      <c r="C357" s="16">
        <v>2.741072021854706</v>
      </c>
      <c r="D357" s="16">
        <v>4.8713997933613716E-2</v>
      </c>
      <c r="E357" s="16">
        <v>-0.45103499588007839</v>
      </c>
      <c r="F357" s="16">
        <v>1.3016701971499529</v>
      </c>
    </row>
    <row r="358" spans="2:6" x14ac:dyDescent="0.35">
      <c r="B358" s="7" t="s">
        <v>199</v>
      </c>
      <c r="C358" s="16">
        <v>1.3965340698115765</v>
      </c>
      <c r="D358" s="16">
        <v>-0.75625569976327267</v>
      </c>
      <c r="E358" s="16">
        <v>-1.9277621545921386</v>
      </c>
      <c r="F358" s="16">
        <v>2.528803692242994</v>
      </c>
    </row>
    <row r="359" spans="2:6" x14ac:dyDescent="0.35">
      <c r="B359" s="7" t="s">
        <v>200</v>
      </c>
      <c r="C359" s="16">
        <v>-1.8297258876872808</v>
      </c>
      <c r="D359" s="16">
        <v>0.47939591203258364</v>
      </c>
      <c r="E359" s="16">
        <v>-0.74805865013439288</v>
      </c>
      <c r="F359" s="16">
        <v>1.8698397873916843</v>
      </c>
    </row>
    <row r="360" spans="2:6" x14ac:dyDescent="0.35">
      <c r="B360" s="7" t="s">
        <v>201</v>
      </c>
      <c r="C360" s="16">
        <v>-1.7564576304766344</v>
      </c>
      <c r="D360" s="16">
        <v>0.63256735029920674</v>
      </c>
      <c r="E360" s="16">
        <v>-0.69222701210920945</v>
      </c>
      <c r="F360" s="16">
        <v>2.0968522156985703</v>
      </c>
    </row>
    <row r="361" spans="2:6" x14ac:dyDescent="0.35">
      <c r="B361" s="7" t="s">
        <v>202</v>
      </c>
      <c r="C361" s="16">
        <v>1.0054004919764803</v>
      </c>
      <c r="D361" s="16">
        <v>-0.6832235518448696</v>
      </c>
      <c r="E361" s="16">
        <v>-1.7295985590089782</v>
      </c>
      <c r="F361" s="16">
        <v>3.3872056752423596</v>
      </c>
    </row>
    <row r="362" spans="2:6" x14ac:dyDescent="0.35">
      <c r="B362" s="7" t="s">
        <v>203</v>
      </c>
      <c r="C362" s="16">
        <v>-1.5745932901714681</v>
      </c>
      <c r="D362" s="16">
        <v>0.5062512351733317</v>
      </c>
      <c r="E362" s="16">
        <v>-0.70191159517713575</v>
      </c>
      <c r="F362" s="16">
        <v>2.6780671202415158</v>
      </c>
    </row>
    <row r="363" spans="2:6" x14ac:dyDescent="0.35">
      <c r="B363" s="7" t="s">
        <v>204</v>
      </c>
      <c r="C363" s="16">
        <v>-9.5740865818683108E-4</v>
      </c>
      <c r="D363" s="16">
        <v>-0.38919410060412968</v>
      </c>
      <c r="E363" s="16">
        <v>-1.6683900182769762</v>
      </c>
      <c r="F363" s="16">
        <v>3.6908218800485457</v>
      </c>
    </row>
    <row r="364" spans="2:6" x14ac:dyDescent="0.35">
      <c r="B364" s="7" t="s">
        <v>205</v>
      </c>
      <c r="C364" s="16">
        <v>1.0202726750605386</v>
      </c>
      <c r="D364" s="16">
        <v>-0.45334613199060853</v>
      </c>
      <c r="E364" s="16">
        <v>-2.0123135389225277</v>
      </c>
      <c r="F364" s="16">
        <v>3.2186433800773071</v>
      </c>
    </row>
    <row r="365" spans="2:6" x14ac:dyDescent="0.35">
      <c r="B365" s="7" t="s">
        <v>206</v>
      </c>
      <c r="C365" s="16">
        <v>0.51369478866319052</v>
      </c>
      <c r="D365" s="16">
        <v>-0.1843906947096427</v>
      </c>
      <c r="E365" s="16">
        <v>-1.668959817071632</v>
      </c>
      <c r="F365" s="16">
        <v>3.6899059895971962</v>
      </c>
    </row>
    <row r="366" spans="2:6" x14ac:dyDescent="0.35">
      <c r="B366" s="7" t="s">
        <v>207</v>
      </c>
      <c r="C366" s="16">
        <v>-0.16064268190233569</v>
      </c>
      <c r="D366" s="16">
        <v>-0.24110299828263101</v>
      </c>
      <c r="E366" s="16">
        <v>-2.0251737230567741</v>
      </c>
      <c r="F366" s="16">
        <v>4.0566642822035908</v>
      </c>
    </row>
    <row r="367" spans="2:6" x14ac:dyDescent="0.35">
      <c r="B367" s="7" t="s">
        <v>208</v>
      </c>
      <c r="C367" s="16">
        <v>-4.3067646508006756E-2</v>
      </c>
      <c r="D367" s="16">
        <v>-1.8956466716544123</v>
      </c>
      <c r="E367" s="16">
        <v>6.611756355608478E-2</v>
      </c>
      <c r="F367" s="16">
        <v>1.5435590568819451</v>
      </c>
    </row>
    <row r="368" spans="2:6" x14ac:dyDescent="0.35">
      <c r="B368" s="7" t="s">
        <v>209</v>
      </c>
      <c r="C368" s="16">
        <v>-3.6603339258263516</v>
      </c>
      <c r="D368" s="16">
        <v>-6.7367932798287858E-2</v>
      </c>
      <c r="E368" s="16">
        <v>-0.39694272235776173</v>
      </c>
      <c r="F368" s="16">
        <v>0.60196331043334128</v>
      </c>
    </row>
    <row r="369" spans="2:6" x14ac:dyDescent="0.35">
      <c r="B369" s="7" t="s">
        <v>210</v>
      </c>
      <c r="C369" s="16">
        <v>-1.3434657585874017</v>
      </c>
      <c r="D369" s="16">
        <v>0.32453223079193505</v>
      </c>
      <c r="E369" s="16">
        <v>-0.59688393891211433</v>
      </c>
      <c r="F369" s="16">
        <v>2.7154759210818926</v>
      </c>
    </row>
    <row r="370" spans="2:6" x14ac:dyDescent="0.35">
      <c r="B370" s="7" t="s">
        <v>211</v>
      </c>
      <c r="C370" s="16">
        <v>-0.98335473450379185</v>
      </c>
      <c r="D370" s="16">
        <v>0.6976297935071939</v>
      </c>
      <c r="E370" s="16">
        <v>-0.35585642758045666</v>
      </c>
      <c r="F370" s="16">
        <v>3.8012692750890804</v>
      </c>
    </row>
    <row r="371" spans="2:6" x14ac:dyDescent="0.35">
      <c r="B371" s="7" t="s">
        <v>212</v>
      </c>
      <c r="C371" s="16">
        <v>-0.43505552014635074</v>
      </c>
      <c r="D371" s="16">
        <v>0.24700647028014222</v>
      </c>
      <c r="E371" s="16">
        <v>-2.6462450048073927</v>
      </c>
      <c r="F371" s="16">
        <v>1.5403336858845456</v>
      </c>
    </row>
    <row r="372" spans="2:6" x14ac:dyDescent="0.35">
      <c r="B372" s="7" t="s">
        <v>213</v>
      </c>
      <c r="C372" s="16">
        <v>-4.633196564912903</v>
      </c>
      <c r="D372" s="16">
        <v>0.87719845462916635</v>
      </c>
      <c r="E372" s="16">
        <v>0.16020113512773149</v>
      </c>
      <c r="F372" s="16">
        <v>1.0254119141665656</v>
      </c>
    </row>
    <row r="373" spans="2:6" x14ac:dyDescent="0.35">
      <c r="B373" s="7" t="s">
        <v>214</v>
      </c>
      <c r="C373" s="16">
        <v>-1.1703927463736861</v>
      </c>
      <c r="D373" s="16">
        <v>0.55495210170329412</v>
      </c>
      <c r="E373" s="16">
        <v>-0.18180293056154956</v>
      </c>
      <c r="F373" s="16">
        <v>3.0916454927894912</v>
      </c>
    </row>
    <row r="374" spans="2:6" x14ac:dyDescent="0.35">
      <c r="B374" s="7" t="s">
        <v>215</v>
      </c>
      <c r="C374" s="16">
        <v>-1.4396200785927789</v>
      </c>
      <c r="D374" s="16">
        <v>0.29343341791471028</v>
      </c>
      <c r="E374" s="16">
        <v>-0.40413367386687299</v>
      </c>
      <c r="F374" s="16">
        <v>2.443652148668594</v>
      </c>
    </row>
    <row r="375" spans="2:6" x14ac:dyDescent="0.35">
      <c r="B375" s="7" t="s">
        <v>216</v>
      </c>
      <c r="C375" s="16">
        <v>-3.5337522682122864</v>
      </c>
      <c r="D375" s="16">
        <v>0.93630731958372326</v>
      </c>
      <c r="E375" s="16">
        <v>8.8022903131771302E-2</v>
      </c>
      <c r="F375" s="16">
        <v>1.8608656090542448</v>
      </c>
    </row>
    <row r="376" spans="2:6" x14ac:dyDescent="0.35">
      <c r="B376" s="7" t="s">
        <v>217</v>
      </c>
      <c r="C376" s="16">
        <v>0.73896103026033788</v>
      </c>
      <c r="D376" s="16">
        <v>-0.69269375173081271</v>
      </c>
      <c r="E376" s="16">
        <v>-1.3443436311541344</v>
      </c>
      <c r="F376" s="16">
        <v>2.7836610306879153</v>
      </c>
    </row>
    <row r="377" spans="2:6" x14ac:dyDescent="0.35">
      <c r="B377" s="7" t="s">
        <v>218</v>
      </c>
      <c r="C377" s="16">
        <v>-4.4786266581617502</v>
      </c>
      <c r="D377" s="16">
        <v>1.2813525350482731</v>
      </c>
      <c r="E377" s="16">
        <v>1.1357835352724994</v>
      </c>
      <c r="F377" s="16">
        <v>2.6159209829330887</v>
      </c>
    </row>
    <row r="378" spans="2:6" x14ac:dyDescent="0.35">
      <c r="B378" s="7" t="s">
        <v>219</v>
      </c>
      <c r="C378" s="16">
        <v>0.5558176349267242</v>
      </c>
      <c r="D378" s="16">
        <v>-0.80052070480241244</v>
      </c>
      <c r="E378" s="16">
        <v>-1.6893791636999715</v>
      </c>
      <c r="F378" s="16">
        <v>3.0388347840346004</v>
      </c>
    </row>
    <row r="379" spans="2:6" x14ac:dyDescent="0.35">
      <c r="B379" s="7" t="s">
        <v>220</v>
      </c>
      <c r="C379" s="16">
        <v>-1.3729365686328363</v>
      </c>
      <c r="D379" s="16">
        <v>-0.86511976392571643</v>
      </c>
      <c r="E379" s="16">
        <v>-4.2374779380754752</v>
      </c>
      <c r="F379" s="16">
        <v>2.1825396103262538</v>
      </c>
    </row>
    <row r="380" spans="2:6" x14ac:dyDescent="0.35">
      <c r="B380" s="7" t="s">
        <v>221</v>
      </c>
      <c r="C380" s="16">
        <v>-1.7189732673680111</v>
      </c>
      <c r="D380" s="16">
        <v>0.40955848722351296</v>
      </c>
      <c r="E380" s="16">
        <v>-0.52724027567172194</v>
      </c>
      <c r="F380" s="16">
        <v>2.5949911563426222</v>
      </c>
    </row>
    <row r="381" spans="2:6" x14ac:dyDescent="0.35">
      <c r="B381" s="7" t="s">
        <v>222</v>
      </c>
      <c r="C381" s="16">
        <v>-0.75207580414557618</v>
      </c>
      <c r="D381" s="16">
        <v>0.28425418233949212</v>
      </c>
      <c r="E381" s="16">
        <v>-1.5033154736821248</v>
      </c>
      <c r="F381" s="16">
        <v>3.1762515808762255</v>
      </c>
    </row>
    <row r="382" spans="2:6" x14ac:dyDescent="0.35">
      <c r="B382" s="7" t="s">
        <v>223</v>
      </c>
      <c r="C382" s="16">
        <v>0.18988394704446093</v>
      </c>
      <c r="D382" s="16">
        <v>-0.38229584679278794</v>
      </c>
      <c r="E382" s="16">
        <v>-1.8365952237998526</v>
      </c>
      <c r="F382" s="16">
        <v>2.7171820430495801</v>
      </c>
    </row>
    <row r="383" spans="2:6" x14ac:dyDescent="0.35">
      <c r="B383" s="7" t="s">
        <v>224</v>
      </c>
      <c r="C383" s="16">
        <v>-0.48879764118823527</v>
      </c>
      <c r="D383" s="16">
        <v>-0.40370286389560195</v>
      </c>
      <c r="E383" s="16">
        <v>-1.4537181777195003</v>
      </c>
      <c r="F383" s="16">
        <v>2.8921238877251416</v>
      </c>
    </row>
    <row r="384" spans="2:6" x14ac:dyDescent="0.35">
      <c r="B384" s="7" t="s">
        <v>225</v>
      </c>
      <c r="C384" s="16">
        <v>1.4374012785071602</v>
      </c>
      <c r="D384" s="16">
        <v>-1.1268760066725967</v>
      </c>
      <c r="E384" s="16">
        <v>-1.3951579554149407</v>
      </c>
      <c r="F384" s="16">
        <v>1.0220588497735059</v>
      </c>
    </row>
    <row r="385" spans="2:6" x14ac:dyDescent="0.35">
      <c r="B385" s="7" t="s">
        <v>226</v>
      </c>
      <c r="C385" s="16">
        <v>1.3780775323659287</v>
      </c>
      <c r="D385" s="16">
        <v>-1.0204536173462249</v>
      </c>
      <c r="E385" s="16">
        <v>-1.4013616341846675</v>
      </c>
      <c r="F385" s="16">
        <v>1.2085457291382271</v>
      </c>
    </row>
    <row r="386" spans="2:6" x14ac:dyDescent="0.35">
      <c r="B386" s="7" t="s">
        <v>227</v>
      </c>
      <c r="C386" s="16">
        <v>0.85927553632298781</v>
      </c>
      <c r="D386" s="16">
        <v>-0.79542963452039217</v>
      </c>
      <c r="E386" s="16">
        <v>-1.4171383203864334</v>
      </c>
      <c r="F386" s="16">
        <v>1.7365191497091976</v>
      </c>
    </row>
    <row r="387" spans="2:6" x14ac:dyDescent="0.35">
      <c r="B387" s="7" t="s">
        <v>228</v>
      </c>
      <c r="C387" s="16">
        <v>0.48488069806245809</v>
      </c>
      <c r="D387" s="16">
        <v>-0.43107817430890644</v>
      </c>
      <c r="E387" s="16">
        <v>-1.4234722497566734</v>
      </c>
      <c r="F387" s="16">
        <v>1.9885381730062135</v>
      </c>
    </row>
    <row r="388" spans="2:6" x14ac:dyDescent="0.35">
      <c r="B388" s="7" t="s">
        <v>229</v>
      </c>
      <c r="C388" s="16">
        <v>0.75249481467617396</v>
      </c>
      <c r="D388" s="16">
        <v>-0.20956369908167405</v>
      </c>
      <c r="E388" s="16">
        <v>-1.9961672076373469</v>
      </c>
      <c r="F388" s="16">
        <v>3.3426556606395263</v>
      </c>
    </row>
    <row r="389" spans="2:6" x14ac:dyDescent="0.35">
      <c r="B389" s="7" t="s">
        <v>230</v>
      </c>
      <c r="C389" s="16">
        <v>2.3218897881797882</v>
      </c>
      <c r="D389" s="16">
        <v>0.29682828929253935</v>
      </c>
      <c r="E389" s="16">
        <v>-0.91358881987872609</v>
      </c>
      <c r="F389" s="16">
        <v>1.4928088430604352</v>
      </c>
    </row>
    <row r="390" spans="2:6" x14ac:dyDescent="0.35">
      <c r="B390" s="7" t="s">
        <v>231</v>
      </c>
      <c r="C390" s="16">
        <v>2.1539990411391834</v>
      </c>
      <c r="D390" s="16">
        <v>0.52140237540452938</v>
      </c>
      <c r="E390" s="16">
        <v>-0.97959184852696624</v>
      </c>
      <c r="F390" s="16">
        <v>1.880026091925481</v>
      </c>
    </row>
    <row r="391" spans="2:6" x14ac:dyDescent="0.35">
      <c r="B391" s="7" t="s">
        <v>232</v>
      </c>
      <c r="C391" s="16">
        <v>2.6323962769711571</v>
      </c>
      <c r="D391" s="16">
        <v>0.31720463244541036</v>
      </c>
      <c r="E391" s="16">
        <v>-0.45761023733373735</v>
      </c>
      <c r="F391" s="16">
        <v>1.623804461511027</v>
      </c>
    </row>
    <row r="392" spans="2:6" x14ac:dyDescent="0.35">
      <c r="B392" s="7" t="s">
        <v>233</v>
      </c>
      <c r="C392" s="16">
        <v>3.1064635408014576</v>
      </c>
      <c r="D392" s="16">
        <v>0.25366603073086463</v>
      </c>
      <c r="E392" s="16">
        <v>-0.94219889098267617</v>
      </c>
      <c r="F392" s="16">
        <v>0.92940613996157995</v>
      </c>
    </row>
    <row r="393" spans="2:6" x14ac:dyDescent="0.35">
      <c r="B393" s="7" t="s">
        <v>234</v>
      </c>
      <c r="C393" s="16">
        <v>3.4513167237704145</v>
      </c>
      <c r="D393" s="16">
        <v>-0.53457515682242396</v>
      </c>
      <c r="E393" s="16">
        <v>-1.3231834975265329</v>
      </c>
      <c r="F393" s="16">
        <v>-1.8710931338384</v>
      </c>
    </row>
    <row r="394" spans="2:6" x14ac:dyDescent="0.35">
      <c r="B394" s="7" t="s">
        <v>235</v>
      </c>
      <c r="C394" s="16">
        <v>3.4343820350047625</v>
      </c>
      <c r="D394" s="16">
        <v>-0.27273062011602406</v>
      </c>
      <c r="E394" s="16">
        <v>-1.5979065950717137</v>
      </c>
      <c r="F394" s="16">
        <v>-1.7577337244268574</v>
      </c>
    </row>
    <row r="395" spans="2:6" x14ac:dyDescent="0.35">
      <c r="B395" s="7" t="s">
        <v>236</v>
      </c>
      <c r="C395" s="16">
        <v>2.7936145189576993</v>
      </c>
      <c r="D395" s="16">
        <v>-0.29295378165682062</v>
      </c>
      <c r="E395" s="16">
        <v>2.3831511113343355E-2</v>
      </c>
      <c r="F395" s="16">
        <v>0.38504651175449262</v>
      </c>
    </row>
    <row r="396" spans="2:6" x14ac:dyDescent="0.35">
      <c r="B396" s="7" t="s">
        <v>237</v>
      </c>
      <c r="C396" s="16">
        <v>2.4681399667160657</v>
      </c>
      <c r="D396" s="16">
        <v>-0.20606193873778614</v>
      </c>
      <c r="E396" s="16">
        <v>-9.3044739496199236E-2</v>
      </c>
      <c r="F396" s="16">
        <v>0.66068691425552772</v>
      </c>
    </row>
    <row r="397" spans="2:6" x14ac:dyDescent="0.35">
      <c r="B397" s="7" t="s">
        <v>238</v>
      </c>
      <c r="C397" s="16">
        <v>2.2609027090133438</v>
      </c>
      <c r="D397" s="16">
        <v>2.4476859806794374E-2</v>
      </c>
      <c r="E397" s="16">
        <v>-0.20846083410087449</v>
      </c>
      <c r="F397" s="16">
        <v>1.0436654427186463</v>
      </c>
    </row>
    <row r="398" spans="2:6" x14ac:dyDescent="0.35">
      <c r="B398" s="7" t="s">
        <v>239</v>
      </c>
      <c r="C398" s="16">
        <v>2.7944184428091745</v>
      </c>
      <c r="D398" s="16">
        <v>-0.61488152720763234</v>
      </c>
      <c r="E398" s="16">
        <v>-4.8164528159313102E-2</v>
      </c>
      <c r="F398" s="16">
        <v>-0.32218318116520889</v>
      </c>
    </row>
    <row r="399" spans="2:6" x14ac:dyDescent="0.35">
      <c r="B399" s="7" t="s">
        <v>240</v>
      </c>
      <c r="C399" s="16">
        <v>2.7116208573892653</v>
      </c>
      <c r="D399" s="16">
        <v>-0.2849461429206222</v>
      </c>
      <c r="E399" s="16">
        <v>4.0272745401328122E-2</v>
      </c>
      <c r="F399" s="16">
        <v>0.1461081848405609</v>
      </c>
    </row>
    <row r="400" spans="2:6" x14ac:dyDescent="0.35">
      <c r="B400" s="7" t="s">
        <v>241</v>
      </c>
      <c r="C400" s="16">
        <v>1.8034201053288097</v>
      </c>
      <c r="D400" s="16">
        <v>-3.8032890100057254E-2</v>
      </c>
      <c r="E400" s="16">
        <v>-0.31461888604090604</v>
      </c>
      <c r="F400" s="16">
        <v>1.1473256019911637</v>
      </c>
    </row>
    <row r="401" spans="2:6" x14ac:dyDescent="0.35">
      <c r="B401" s="7" t="s">
        <v>242</v>
      </c>
      <c r="C401" s="16">
        <v>1.6809678122297531</v>
      </c>
      <c r="D401" s="16">
        <v>8.1613105913271686E-2</v>
      </c>
      <c r="E401" s="16">
        <v>-0.44824076944797753</v>
      </c>
      <c r="F401" s="16">
        <v>1.2863861734590882</v>
      </c>
    </row>
    <row r="402" spans="2:6" x14ac:dyDescent="0.35">
      <c r="B402" s="7" t="s">
        <v>243</v>
      </c>
      <c r="C402" s="16">
        <v>-0.41764584791475434</v>
      </c>
      <c r="D402" s="16">
        <v>8.6866699830700236E-2</v>
      </c>
      <c r="E402" s="16">
        <v>0.25348517579627389</v>
      </c>
      <c r="F402" s="16">
        <v>2.8084908442565717</v>
      </c>
    </row>
    <row r="403" spans="2:6" x14ac:dyDescent="0.35">
      <c r="B403" s="7" t="s">
        <v>244</v>
      </c>
      <c r="C403" s="16">
        <v>-0.65745695550218153</v>
      </c>
      <c r="D403" s="16">
        <v>0.2836831474129371</v>
      </c>
      <c r="E403" s="16">
        <v>-9.8428011213868738E-2</v>
      </c>
      <c r="F403" s="16">
        <v>2.6290462880777765</v>
      </c>
    </row>
    <row r="404" spans="2:6" x14ac:dyDescent="0.35">
      <c r="B404" s="7" t="s">
        <v>245</v>
      </c>
      <c r="C404" s="16">
        <v>-0.22198798488238067</v>
      </c>
      <c r="D404" s="16">
        <v>-0.13010763807944711</v>
      </c>
      <c r="E404" s="16">
        <v>-1.8759731303180662</v>
      </c>
      <c r="F404" s="16">
        <v>2.2588492064112735</v>
      </c>
    </row>
    <row r="405" spans="2:6" x14ac:dyDescent="0.35">
      <c r="B405" s="7" t="s">
        <v>246</v>
      </c>
      <c r="C405" s="16">
        <v>0.28952596852649259</v>
      </c>
      <c r="D405" s="16">
        <v>-1.3139739539352742</v>
      </c>
      <c r="E405" s="16">
        <v>-0.25666193595542552</v>
      </c>
      <c r="F405" s="16">
        <v>1.8608703779191456</v>
      </c>
    </row>
    <row r="406" spans="2:6" x14ac:dyDescent="0.35">
      <c r="B406" s="7" t="s">
        <v>247</v>
      </c>
      <c r="C406" s="16">
        <v>-0.56697253133312253</v>
      </c>
      <c r="D406" s="16">
        <v>1.0396605000233818E-2</v>
      </c>
      <c r="E406" s="16">
        <v>-0.49331659913275522</v>
      </c>
      <c r="F406" s="16">
        <v>-1.4264869351394731</v>
      </c>
    </row>
    <row r="407" spans="2:6" x14ac:dyDescent="0.35">
      <c r="B407" s="7" t="s">
        <v>248</v>
      </c>
      <c r="C407" s="16">
        <v>-2.362282482070968</v>
      </c>
      <c r="D407" s="16">
        <v>-0.99359721210245922</v>
      </c>
      <c r="E407" s="16">
        <v>0.63439817756335271</v>
      </c>
      <c r="F407" s="16">
        <v>-1.204569455339586</v>
      </c>
    </row>
    <row r="408" spans="2:6" x14ac:dyDescent="0.35">
      <c r="B408" s="7" t="s">
        <v>249</v>
      </c>
      <c r="C408" s="16">
        <v>-2.0182793761918498</v>
      </c>
      <c r="D408" s="16">
        <v>-1.4450466339942334</v>
      </c>
      <c r="E408" s="16">
        <v>1.3365507733616868</v>
      </c>
      <c r="F408" s="16">
        <v>-0.99009170228871191</v>
      </c>
    </row>
    <row r="409" spans="2:6" x14ac:dyDescent="0.35">
      <c r="B409" s="7" t="s">
        <v>250</v>
      </c>
      <c r="C409" s="16">
        <v>-1.8512930925290911</v>
      </c>
      <c r="D409" s="16">
        <v>-1.085190999570339</v>
      </c>
      <c r="E409" s="16">
        <v>1.3953256996783385</v>
      </c>
      <c r="F409" s="16">
        <v>-0.59249090136759175</v>
      </c>
    </row>
    <row r="410" spans="2:6" x14ac:dyDescent="0.35">
      <c r="B410" s="7" t="s">
        <v>251</v>
      </c>
      <c r="C410" s="16">
        <v>-1.9985358462057574</v>
      </c>
      <c r="D410" s="16">
        <v>-0.64395787580408415</v>
      </c>
      <c r="E410" s="16">
        <v>0.83361299243049403</v>
      </c>
      <c r="F410" s="16">
        <v>-0.66153417885105337</v>
      </c>
    </row>
    <row r="411" spans="2:6" x14ac:dyDescent="0.35">
      <c r="B411" s="7" t="s">
        <v>252</v>
      </c>
      <c r="C411" s="16">
        <v>-1.2385276530668765</v>
      </c>
      <c r="D411" s="16">
        <v>-0.5152823198770452</v>
      </c>
      <c r="E411" s="16">
        <v>1.3616571141546867</v>
      </c>
      <c r="F411" s="16">
        <v>0.30527981794294373</v>
      </c>
    </row>
    <row r="412" spans="2:6" x14ac:dyDescent="0.35">
      <c r="B412" s="7" t="s">
        <v>253</v>
      </c>
      <c r="C412" s="16">
        <v>-1.4471491566280879</v>
      </c>
      <c r="D412" s="16">
        <v>-0.45330699251400114</v>
      </c>
      <c r="E412" s="16">
        <v>1.2433040382864144</v>
      </c>
      <c r="F412" s="16">
        <v>0.27759127085853841</v>
      </c>
    </row>
    <row r="413" spans="2:6" x14ac:dyDescent="0.35">
      <c r="B413" s="7" t="s">
        <v>254</v>
      </c>
      <c r="C413" s="16">
        <v>-1.2964784306630308</v>
      </c>
      <c r="D413" s="16">
        <v>-0.19424967025194392</v>
      </c>
      <c r="E413" s="16">
        <v>1.2781085105069294</v>
      </c>
      <c r="F413" s="16">
        <v>0.37000666611655925</v>
      </c>
    </row>
    <row r="414" spans="2:6" x14ac:dyDescent="0.35">
      <c r="B414" s="7" t="s">
        <v>255</v>
      </c>
      <c r="C414" s="16">
        <v>-2.1331847111096423</v>
      </c>
      <c r="D414" s="16">
        <v>-1.5445851353032676</v>
      </c>
      <c r="E414" s="16">
        <v>0.77448968822816278</v>
      </c>
      <c r="F414" s="16">
        <v>-1.964830342092164</v>
      </c>
    </row>
    <row r="415" spans="2:6" x14ac:dyDescent="0.35">
      <c r="B415" s="7" t="s">
        <v>256</v>
      </c>
      <c r="C415" s="16">
        <v>-2.5969559921940384</v>
      </c>
      <c r="D415" s="16">
        <v>-0.58341014918071255</v>
      </c>
      <c r="E415" s="16">
        <v>0.68105017536117174</v>
      </c>
      <c r="F415" s="16">
        <v>-1.4590578240091305</v>
      </c>
    </row>
    <row r="416" spans="2:6" x14ac:dyDescent="0.35">
      <c r="B416" s="7" t="s">
        <v>257</v>
      </c>
      <c r="C416" s="16">
        <v>-2.326639139465247</v>
      </c>
      <c r="D416" s="16">
        <v>0.21909823557186706</v>
      </c>
      <c r="E416" s="16">
        <v>0.70223942059963518</v>
      </c>
      <c r="F416" s="16">
        <v>-0.91250261690526546</v>
      </c>
    </row>
    <row r="417" spans="2:6" x14ac:dyDescent="0.35">
      <c r="B417" s="7" t="s">
        <v>258</v>
      </c>
      <c r="C417" s="16">
        <v>-1.9526166002981986</v>
      </c>
      <c r="D417" s="16">
        <v>0.74996238130679882</v>
      </c>
      <c r="E417" s="16">
        <v>0.95242644586659986</v>
      </c>
      <c r="F417" s="16">
        <v>-0.23789502616986552</v>
      </c>
    </row>
    <row r="418" spans="2:6" x14ac:dyDescent="0.35">
      <c r="B418" s="7" t="s">
        <v>259</v>
      </c>
      <c r="C418" s="16">
        <v>-0.89415401322394539</v>
      </c>
      <c r="D418" s="16">
        <v>1.9267415403523225</v>
      </c>
      <c r="E418" s="16">
        <v>1.4240538364080513</v>
      </c>
      <c r="F418" s="16">
        <v>1.0601542038144656</v>
      </c>
    </row>
    <row r="419" spans="2:6" x14ac:dyDescent="0.35">
      <c r="B419" s="7" t="s">
        <v>260</v>
      </c>
      <c r="C419" s="16">
        <v>1.0715919756935359</v>
      </c>
      <c r="D419" s="16">
        <v>8.2240901494891869E-2</v>
      </c>
      <c r="E419" s="16">
        <v>1.57658702743922</v>
      </c>
      <c r="F419" s="16">
        <v>-0.7690299992029721</v>
      </c>
    </row>
    <row r="420" spans="2:6" x14ac:dyDescent="0.35">
      <c r="B420" s="7" t="s">
        <v>261</v>
      </c>
      <c r="C420" s="16">
        <v>1.079596427100493</v>
      </c>
      <c r="D420" s="16">
        <v>0.50920525565545616</v>
      </c>
      <c r="E420" s="16">
        <v>2.6159804663266786</v>
      </c>
      <c r="F420" s="16">
        <v>-0.72926548544062741</v>
      </c>
    </row>
    <row r="421" spans="2:6" x14ac:dyDescent="0.35">
      <c r="B421" s="7" t="s">
        <v>262</v>
      </c>
      <c r="C421" s="16">
        <v>2.1943039320761826</v>
      </c>
      <c r="D421" s="16">
        <v>0.23318444190074167</v>
      </c>
      <c r="E421" s="16">
        <v>1.4982630021960994</v>
      </c>
      <c r="F421" s="16">
        <v>-1.8507638119013048</v>
      </c>
    </row>
    <row r="422" spans="2:6" x14ac:dyDescent="0.35">
      <c r="B422" s="7" t="s">
        <v>263</v>
      </c>
      <c r="C422" s="16">
        <v>2.0131647684177372</v>
      </c>
      <c r="D422" s="16">
        <v>0.92702314749226866</v>
      </c>
      <c r="E422" s="16">
        <v>1.9742516921301452</v>
      </c>
      <c r="F422" s="16">
        <v>-1.0784199091264584</v>
      </c>
    </row>
    <row r="423" spans="2:6" x14ac:dyDescent="0.35">
      <c r="B423" s="7" t="s">
        <v>264</v>
      </c>
      <c r="C423" s="16">
        <v>1.9986270218363802</v>
      </c>
      <c r="D423" s="16">
        <v>1.2000659420276827</v>
      </c>
      <c r="E423" s="16">
        <v>1.9477775565568411</v>
      </c>
      <c r="F423" s="16">
        <v>-1.0645592288473822</v>
      </c>
    </row>
    <row r="424" spans="2:6" x14ac:dyDescent="0.35">
      <c r="B424" s="7" t="s">
        <v>265</v>
      </c>
      <c r="C424" s="16">
        <v>-0.25124018186547381</v>
      </c>
      <c r="D424" s="16">
        <v>1.1109206559639637</v>
      </c>
      <c r="E424" s="16">
        <v>2.066936075865061</v>
      </c>
      <c r="F424" s="16">
        <v>0.53488663939122072</v>
      </c>
    </row>
    <row r="425" spans="2:6" x14ac:dyDescent="0.35">
      <c r="B425" s="7" t="s">
        <v>266</v>
      </c>
      <c r="C425" s="16">
        <v>0.90277501038205077</v>
      </c>
      <c r="D425" s="16">
        <v>1.1733342357520875</v>
      </c>
      <c r="E425" s="16">
        <v>1.0984769448821259</v>
      </c>
      <c r="F425" s="16">
        <v>-0.9262663938927953</v>
      </c>
    </row>
    <row r="426" spans="2:6" x14ac:dyDescent="0.35">
      <c r="B426" s="7" t="s">
        <v>267</v>
      </c>
      <c r="C426" s="16">
        <v>1.5015509624836407</v>
      </c>
      <c r="D426" s="16">
        <v>0.90289493983052593</v>
      </c>
      <c r="E426" s="16">
        <v>1.0813994131925107</v>
      </c>
      <c r="F426" s="16">
        <v>-0.82279990079537324</v>
      </c>
    </row>
    <row r="427" spans="2:6" x14ac:dyDescent="0.35">
      <c r="B427" s="7" t="s">
        <v>268</v>
      </c>
      <c r="C427" s="16">
        <v>1.2483743444775472</v>
      </c>
      <c r="D427" s="16">
        <v>1.1828171977310409</v>
      </c>
      <c r="E427" s="16">
        <v>1.2279530211451046</v>
      </c>
      <c r="F427" s="16">
        <v>-0.53743015180877896</v>
      </c>
    </row>
    <row r="428" spans="2:6" x14ac:dyDescent="0.35">
      <c r="B428" s="7" t="s">
        <v>269</v>
      </c>
      <c r="C428" s="16">
        <v>1.3993585000257016</v>
      </c>
      <c r="D428" s="16">
        <v>1.2685868942447884</v>
      </c>
      <c r="E428" s="16">
        <v>1.1263442215095634</v>
      </c>
      <c r="F428" s="16">
        <v>0.53529750984829272</v>
      </c>
    </row>
    <row r="429" spans="2:6" x14ac:dyDescent="0.35">
      <c r="B429" s="7" t="s">
        <v>270</v>
      </c>
      <c r="C429" s="16">
        <v>1.4919749343003887</v>
      </c>
      <c r="D429" s="16">
        <v>1.501136134792282</v>
      </c>
      <c r="E429" s="16">
        <v>1.038886675475815</v>
      </c>
      <c r="F429" s="16">
        <v>1.1328131887980855</v>
      </c>
    </row>
    <row r="430" spans="2:6" x14ac:dyDescent="0.35">
      <c r="B430" s="7" t="s">
        <v>271</v>
      </c>
      <c r="C430" s="16">
        <v>-1.1761776139153215</v>
      </c>
      <c r="D430" s="16">
        <v>2.5969707409676088</v>
      </c>
      <c r="E430" s="16">
        <v>0.52776250256972279</v>
      </c>
      <c r="F430" s="16">
        <v>1.0153004593076675</v>
      </c>
    </row>
    <row r="431" spans="2:6" x14ac:dyDescent="0.35">
      <c r="B431" s="7" t="s">
        <v>272</v>
      </c>
      <c r="C431" s="16">
        <v>-3.6208505310574184</v>
      </c>
      <c r="D431" s="16">
        <v>0.37084619576394218</v>
      </c>
      <c r="E431" s="16">
        <v>-0.18806203777442346</v>
      </c>
      <c r="F431" s="16">
        <v>-1.3167297450181361</v>
      </c>
    </row>
    <row r="432" spans="2:6" x14ac:dyDescent="0.35">
      <c r="B432" s="7" t="s">
        <v>273</v>
      </c>
      <c r="C432" s="16">
        <v>-3.6776497553815424</v>
      </c>
      <c r="D432" s="16">
        <v>0.47186575281016435</v>
      </c>
      <c r="E432" s="16">
        <v>-0.68299497290365674</v>
      </c>
      <c r="F432" s="16">
        <v>-2.0305462359905526</v>
      </c>
    </row>
    <row r="433" spans="2:6" x14ac:dyDescent="0.35">
      <c r="B433" s="7" t="s">
        <v>274</v>
      </c>
      <c r="C433" s="16">
        <v>0.89416985667104887</v>
      </c>
      <c r="D433" s="16">
        <v>6.2545990731912651E-2</v>
      </c>
      <c r="E433" s="16">
        <v>-0.58515621468781021</v>
      </c>
      <c r="F433" s="16">
        <v>0.81984553743468669</v>
      </c>
    </row>
    <row r="434" spans="2:6" x14ac:dyDescent="0.35">
      <c r="B434" s="7" t="s">
        <v>275</v>
      </c>
      <c r="C434" s="16">
        <v>2.4814408217621223E-2</v>
      </c>
      <c r="D434" s="16">
        <v>0.48857478242702468</v>
      </c>
      <c r="E434" s="16">
        <v>-0.86872434000268295</v>
      </c>
      <c r="F434" s="16">
        <v>1.0304250618088939</v>
      </c>
    </row>
    <row r="435" spans="2:6" x14ac:dyDescent="0.35">
      <c r="B435" s="7" t="s">
        <v>276</v>
      </c>
      <c r="C435" s="16">
        <v>-1.9156636962255469</v>
      </c>
      <c r="D435" s="16">
        <v>1.6316525861480231</v>
      </c>
      <c r="E435" s="16">
        <v>-1.8629306663582244</v>
      </c>
      <c r="F435" s="16">
        <v>-0.3893330428066516</v>
      </c>
    </row>
    <row r="436" spans="2:6" x14ac:dyDescent="0.35">
      <c r="B436" s="7" t="s">
        <v>277</v>
      </c>
      <c r="C436" s="16">
        <v>1.3802832178472653</v>
      </c>
      <c r="D436" s="16">
        <v>-0.65638242053370821</v>
      </c>
      <c r="E436" s="16">
        <v>-0.46389107310330896</v>
      </c>
      <c r="F436" s="16">
        <v>-5.7076216261409053E-2</v>
      </c>
    </row>
    <row r="437" spans="2:6" x14ac:dyDescent="0.35">
      <c r="B437" s="7" t="s">
        <v>278</v>
      </c>
      <c r="C437" s="16">
        <v>0.391390732908515</v>
      </c>
      <c r="D437" s="16">
        <v>-0.46635419515867116</v>
      </c>
      <c r="E437" s="16">
        <v>-0.58872001339543056</v>
      </c>
      <c r="F437" s="16">
        <v>-0.37769580289948218</v>
      </c>
    </row>
    <row r="438" spans="2:6" x14ac:dyDescent="0.35">
      <c r="B438" s="7" t="s">
        <v>279</v>
      </c>
      <c r="C438" s="16">
        <v>3.4372266812381929</v>
      </c>
      <c r="D438" s="16">
        <v>-1.0664376281434798</v>
      </c>
      <c r="E438" s="16">
        <v>-0.75073524077030029</v>
      </c>
      <c r="F438" s="16">
        <v>-1.5354288402272858</v>
      </c>
    </row>
    <row r="439" spans="2:6" x14ac:dyDescent="0.35">
      <c r="B439" s="7" t="s">
        <v>280</v>
      </c>
      <c r="C439" s="16">
        <v>1.6783944022723263</v>
      </c>
      <c r="D439" s="16">
        <v>-0.50355369816651641</v>
      </c>
      <c r="E439" s="16">
        <v>-0.53940941799259778</v>
      </c>
      <c r="F439" s="16">
        <v>-1.2073108123748315</v>
      </c>
    </row>
    <row r="440" spans="2:6" x14ac:dyDescent="0.35">
      <c r="B440" s="7" t="s">
        <v>281</v>
      </c>
      <c r="C440" s="16">
        <v>1.80028625661362</v>
      </c>
      <c r="D440" s="16">
        <v>-0.38965282118204175</v>
      </c>
      <c r="E440" s="16">
        <v>-1.0241896021273165</v>
      </c>
      <c r="F440" s="16">
        <v>-1.5217148116789128</v>
      </c>
    </row>
    <row r="441" spans="2:6" x14ac:dyDescent="0.35">
      <c r="B441" s="7" t="s">
        <v>282</v>
      </c>
      <c r="C441" s="16">
        <v>1.4924379734611504</v>
      </c>
      <c r="D441" s="16">
        <v>-0.2092101096429711</v>
      </c>
      <c r="E441" s="16">
        <v>-1.0426502975877627</v>
      </c>
      <c r="F441" s="16">
        <v>-1.444012090037551</v>
      </c>
    </row>
    <row r="442" spans="2:6" x14ac:dyDescent="0.35">
      <c r="B442" s="7" t="s">
        <v>283</v>
      </c>
      <c r="C442" s="16">
        <v>0.26254132085359039</v>
      </c>
      <c r="D442" s="16">
        <v>-0.43527866609466209</v>
      </c>
      <c r="E442" s="16">
        <v>-0.54013969810592322</v>
      </c>
      <c r="F442" s="16">
        <v>0.13283199283289851</v>
      </c>
    </row>
    <row r="443" spans="2:6" x14ac:dyDescent="0.35">
      <c r="B443" s="7" t="s">
        <v>284</v>
      </c>
      <c r="C443" s="16">
        <v>-3.9328399469186724E-2</v>
      </c>
      <c r="D443" s="16">
        <v>0.46698661364694355</v>
      </c>
      <c r="E443" s="16">
        <v>-1.591962374267802</v>
      </c>
      <c r="F443" s="16">
        <v>-1.7092875755461574</v>
      </c>
    </row>
    <row r="444" spans="2:6" x14ac:dyDescent="0.35">
      <c r="B444" s="7" t="s">
        <v>285</v>
      </c>
      <c r="C444" s="16">
        <v>-1.9395852817929415</v>
      </c>
      <c r="D444" s="16">
        <v>-4.9094180721651504E-2</v>
      </c>
      <c r="E444" s="16">
        <v>-0.58488176153532767</v>
      </c>
      <c r="F444" s="16">
        <v>0.64354729347802586</v>
      </c>
    </row>
    <row r="445" spans="2:6" x14ac:dyDescent="0.35">
      <c r="B445" s="7" t="s">
        <v>286</v>
      </c>
      <c r="C445" s="16">
        <v>-2.2649327603380018</v>
      </c>
      <c r="D445" s="16">
        <v>0.33870993678830791</v>
      </c>
      <c r="E445" s="16">
        <v>-0.6157453233459268</v>
      </c>
      <c r="F445" s="16">
        <v>0.47741728368203168</v>
      </c>
    </row>
    <row r="446" spans="2:6" x14ac:dyDescent="0.35">
      <c r="B446" s="7" t="s">
        <v>287</v>
      </c>
      <c r="C446" s="16">
        <v>-1.3296446209238872</v>
      </c>
      <c r="D446" s="16">
        <v>1.2270049877029694</v>
      </c>
      <c r="E446" s="16">
        <v>-2.8318181959734168</v>
      </c>
      <c r="F446" s="16">
        <v>-2.8428120950537115</v>
      </c>
    </row>
    <row r="447" spans="2:6" x14ac:dyDescent="0.35">
      <c r="B447" s="7" t="s">
        <v>288</v>
      </c>
      <c r="C447" s="16">
        <v>-1.6349327136897684</v>
      </c>
      <c r="D447" s="16">
        <v>1.550114177935322</v>
      </c>
      <c r="E447" s="16">
        <v>-3.095667447162755</v>
      </c>
      <c r="F447" s="16">
        <v>-3.1457160665941224</v>
      </c>
    </row>
    <row r="448" spans="2:6" x14ac:dyDescent="0.35">
      <c r="B448" s="7" t="s">
        <v>289</v>
      </c>
      <c r="C448" s="16">
        <v>-1.7389639798199898</v>
      </c>
      <c r="D448" s="16">
        <v>1.7150339180657628</v>
      </c>
      <c r="E448" s="16">
        <v>-3.2126811675082996</v>
      </c>
      <c r="F448" s="16">
        <v>-3.2479177036345632</v>
      </c>
    </row>
    <row r="449" spans="2:6" x14ac:dyDescent="0.35">
      <c r="B449" s="7" t="s">
        <v>290</v>
      </c>
      <c r="C449" s="16">
        <v>-2.0058937179679117</v>
      </c>
      <c r="D449" s="16">
        <v>2.2033636849436311</v>
      </c>
      <c r="E449" s="16">
        <v>-4.5641561695945203</v>
      </c>
      <c r="F449" s="16">
        <v>-4.8485903524632281</v>
      </c>
    </row>
    <row r="450" spans="2:6" x14ac:dyDescent="0.35">
      <c r="B450" s="7" t="s">
        <v>291</v>
      </c>
      <c r="C450" s="16">
        <v>-2.901788595219978</v>
      </c>
      <c r="D450" s="16">
        <v>-0.10886964598709882</v>
      </c>
      <c r="E450" s="16">
        <v>-4.1470467015664501E-2</v>
      </c>
      <c r="F450" s="16">
        <v>-0.27449876682028973</v>
      </c>
    </row>
    <row r="451" spans="2:6" x14ac:dyDescent="0.35">
      <c r="B451" s="7" t="s">
        <v>292</v>
      </c>
      <c r="C451" s="16">
        <v>-0.62266277242790646</v>
      </c>
      <c r="D451" s="16">
        <v>-0.45088537269363682</v>
      </c>
      <c r="E451" s="16">
        <v>-0.37781095535606946</v>
      </c>
      <c r="F451" s="16">
        <v>-1.3654829127565224</v>
      </c>
    </row>
    <row r="452" spans="2:6" x14ac:dyDescent="0.35">
      <c r="B452" s="7" t="s">
        <v>293</v>
      </c>
      <c r="C452" s="16">
        <v>1.6024064153634865</v>
      </c>
      <c r="D452" s="16">
        <v>0.21173626717260202</v>
      </c>
      <c r="E452" s="16">
        <v>-0.61850240191213723</v>
      </c>
      <c r="F452" s="16">
        <v>-2.0949761206312458</v>
      </c>
    </row>
    <row r="453" spans="2:6" x14ac:dyDescent="0.35">
      <c r="B453" s="7" t="s">
        <v>294</v>
      </c>
      <c r="C453" s="16">
        <v>1.4858971626839821</v>
      </c>
      <c r="D453" s="16">
        <v>0.31053180837048761</v>
      </c>
      <c r="E453" s="16">
        <v>-0.58845244198584001</v>
      </c>
      <c r="F453" s="16">
        <v>-1.9458176536912184</v>
      </c>
    </row>
    <row r="454" spans="2:6" x14ac:dyDescent="0.35">
      <c r="B454" s="7" t="s">
        <v>295</v>
      </c>
      <c r="C454" s="16">
        <v>-1.1733220551564862</v>
      </c>
      <c r="D454" s="16">
        <v>0.24898580647971244</v>
      </c>
      <c r="E454" s="16">
        <v>-0.28914758586809319</v>
      </c>
      <c r="F454" s="16">
        <v>-0.84542258100677903</v>
      </c>
    </row>
    <row r="455" spans="2:6" x14ac:dyDescent="0.35">
      <c r="B455" s="7" t="s">
        <v>296</v>
      </c>
      <c r="C455" s="16">
        <v>-3.5942198069485931</v>
      </c>
      <c r="D455" s="16">
        <v>0.65591400625963858</v>
      </c>
      <c r="E455" s="16">
        <v>-0.86250061831728075</v>
      </c>
      <c r="F455" s="16">
        <v>-1.6861344759067169</v>
      </c>
    </row>
    <row r="456" spans="2:6" x14ac:dyDescent="0.35">
      <c r="B456" s="7" t="s">
        <v>297</v>
      </c>
      <c r="C456" s="16">
        <v>-3.4250364282935215</v>
      </c>
      <c r="D456" s="16">
        <v>0.86974007793982278</v>
      </c>
      <c r="E456" s="16">
        <v>-0.93142607242169262</v>
      </c>
      <c r="F456" s="16">
        <v>-1.5853748370408107</v>
      </c>
    </row>
    <row r="457" spans="2:6" x14ac:dyDescent="0.35">
      <c r="B457" s="7" t="s">
        <v>298</v>
      </c>
      <c r="C457" s="16">
        <v>2.1487201220874472</v>
      </c>
      <c r="D457" s="16">
        <v>0.20922239492237896</v>
      </c>
      <c r="E457" s="16">
        <v>2.6037635545738028E-2</v>
      </c>
      <c r="F457" s="16">
        <v>-1.7645729744537244</v>
      </c>
    </row>
    <row r="458" spans="2:6" x14ac:dyDescent="0.35">
      <c r="B458" s="7" t="s">
        <v>299</v>
      </c>
      <c r="C458" s="16">
        <v>3.009327707829291</v>
      </c>
      <c r="D458" s="16">
        <v>0.30413188899414995</v>
      </c>
      <c r="E458" s="16">
        <v>-0.74011097588370223</v>
      </c>
      <c r="F458" s="16">
        <v>-1.8157102499059465</v>
      </c>
    </row>
    <row r="459" spans="2:6" x14ac:dyDescent="0.35">
      <c r="B459" s="7" t="s">
        <v>300</v>
      </c>
      <c r="C459" s="16">
        <v>0.59801891864876044</v>
      </c>
      <c r="D459" s="16">
        <v>1.5028759462973942</v>
      </c>
      <c r="E459" s="16">
        <v>-2.2760687601911371</v>
      </c>
      <c r="F459" s="16">
        <v>-2.8100963158643015</v>
      </c>
    </row>
    <row r="460" spans="2:6" x14ac:dyDescent="0.35">
      <c r="B460" s="7" t="s">
        <v>301</v>
      </c>
      <c r="C460" s="16">
        <v>2.430355120354772E-2</v>
      </c>
      <c r="D460" s="16">
        <v>1.4674317038616751</v>
      </c>
      <c r="E460" s="16">
        <v>-2.9153269090717182</v>
      </c>
      <c r="F460" s="16">
        <v>-3.5728066337097424</v>
      </c>
    </row>
    <row r="461" spans="2:6" x14ac:dyDescent="0.35">
      <c r="B461" s="7" t="s">
        <v>302</v>
      </c>
      <c r="C461" s="16">
        <v>2.5595837392994838</v>
      </c>
      <c r="D461" s="16">
        <v>-0.26621890664389775</v>
      </c>
      <c r="E461" s="16">
        <v>0.24659345484324813</v>
      </c>
      <c r="F461" s="16">
        <v>-1.5861851776948741</v>
      </c>
    </row>
    <row r="462" spans="2:6" x14ac:dyDescent="0.35">
      <c r="B462" s="7" t="s">
        <v>303</v>
      </c>
      <c r="C462" s="16">
        <v>2.4437328091356179</v>
      </c>
      <c r="D462" s="16">
        <v>0.22102728152477266</v>
      </c>
      <c r="E462" s="16">
        <v>0.35114992894697539</v>
      </c>
      <c r="F462" s="16">
        <v>-1.0793296588075927</v>
      </c>
    </row>
    <row r="463" spans="2:6" x14ac:dyDescent="0.35">
      <c r="B463" s="7" t="s">
        <v>304</v>
      </c>
      <c r="C463" s="16">
        <v>2.5001338322893325</v>
      </c>
      <c r="D463" s="16">
        <v>0.60231499647784115</v>
      </c>
      <c r="E463" s="16">
        <v>0.69306822264839874</v>
      </c>
      <c r="F463" s="16">
        <v>-0.5281325680865111</v>
      </c>
    </row>
    <row r="464" spans="2:6" x14ac:dyDescent="0.35">
      <c r="B464" s="7" t="s">
        <v>305</v>
      </c>
      <c r="C464" s="16">
        <v>2.4455443213655639</v>
      </c>
      <c r="D464" s="16">
        <v>0.67944238246919686</v>
      </c>
      <c r="E464" s="16">
        <v>0.70617839714856201</v>
      </c>
      <c r="F464" s="16">
        <v>-0.36954319147177428</v>
      </c>
    </row>
    <row r="465" spans="2:6" x14ac:dyDescent="0.35">
      <c r="B465" s="7" t="s">
        <v>306</v>
      </c>
      <c r="C465" s="16">
        <v>2.2635010509131184</v>
      </c>
      <c r="D465" s="16">
        <v>8.0732254346826876E-2</v>
      </c>
      <c r="E465" s="16">
        <v>0.186053200007085</v>
      </c>
      <c r="F465" s="16">
        <v>-1.9229906879513339</v>
      </c>
    </row>
    <row r="466" spans="2:6" x14ac:dyDescent="0.35">
      <c r="B466" s="7" t="s">
        <v>307</v>
      </c>
      <c r="C466" s="16">
        <v>2.0771150021610483</v>
      </c>
      <c r="D466" s="16">
        <v>1.0735308113477271</v>
      </c>
      <c r="E466" s="16">
        <v>0.52080800905356928</v>
      </c>
      <c r="F466" s="16">
        <v>-0.36370393848159244</v>
      </c>
    </row>
    <row r="467" spans="2:6" x14ac:dyDescent="0.35">
      <c r="B467" s="7" t="s">
        <v>308</v>
      </c>
      <c r="C467" s="16">
        <v>3.1204524765630541</v>
      </c>
      <c r="D467" s="16">
        <v>0.14161550191294084</v>
      </c>
      <c r="E467" s="16">
        <v>0.27988456011404567</v>
      </c>
      <c r="F467" s="16">
        <v>-2.0401463285348744</v>
      </c>
    </row>
    <row r="468" spans="2:6" x14ac:dyDescent="0.35">
      <c r="B468" s="7" t="s">
        <v>309</v>
      </c>
      <c r="C468" s="16">
        <v>2.7767450799431037</v>
      </c>
      <c r="D468" s="16">
        <v>0.86453754683532469</v>
      </c>
      <c r="E468" s="16">
        <v>0.47177343355673895</v>
      </c>
      <c r="F468" s="16">
        <v>-1.0957204300739449</v>
      </c>
    </row>
    <row r="469" spans="2:6" x14ac:dyDescent="0.35">
      <c r="B469" s="7" t="s">
        <v>310</v>
      </c>
      <c r="C469" s="16">
        <v>0.54320824119638689</v>
      </c>
      <c r="D469" s="16">
        <v>1.7766579040164321</v>
      </c>
      <c r="E469" s="16">
        <v>-0.55527817859207707</v>
      </c>
      <c r="F469" s="16">
        <v>-0.88542919505422935</v>
      </c>
    </row>
    <row r="470" spans="2:6" x14ac:dyDescent="0.35">
      <c r="B470" s="7" t="s">
        <v>311</v>
      </c>
      <c r="C470" s="16">
        <v>0.4217374160144215</v>
      </c>
      <c r="D470" s="16">
        <v>1.9706958090292332</v>
      </c>
      <c r="E470" s="16">
        <v>-1.3367140847296353</v>
      </c>
      <c r="F470" s="16">
        <v>-1.6128847839891809</v>
      </c>
    </row>
    <row r="471" spans="2:6" x14ac:dyDescent="0.35">
      <c r="B471" s="7" t="s">
        <v>312</v>
      </c>
      <c r="C471" s="16">
        <v>0.33638345089824034</v>
      </c>
      <c r="D471" s="16">
        <v>2.1473753375991458</v>
      </c>
      <c r="E471" s="16">
        <v>-4.8422234549258922</v>
      </c>
      <c r="F471" s="16">
        <v>-5.6980724781951544</v>
      </c>
    </row>
    <row r="472" spans="2:6" x14ac:dyDescent="0.35">
      <c r="B472" s="7" t="s">
        <v>313</v>
      </c>
      <c r="C472" s="16">
        <v>0.20002633720249582</v>
      </c>
      <c r="D472" s="16">
        <v>2.2895957900558415</v>
      </c>
      <c r="E472" s="16">
        <v>-4.9480150061701131</v>
      </c>
      <c r="F472" s="16">
        <v>-5.8134112213589493</v>
      </c>
    </row>
    <row r="473" spans="2:6" x14ac:dyDescent="0.35">
      <c r="B473" s="7" t="s">
        <v>314</v>
      </c>
      <c r="C473" s="16">
        <v>-0.90013641041378956</v>
      </c>
      <c r="D473" s="16">
        <v>2.9021287186440317</v>
      </c>
      <c r="E473" s="16">
        <v>-0.15074698252115545</v>
      </c>
      <c r="F473" s="16">
        <v>-0.33722915590698083</v>
      </c>
    </row>
    <row r="474" spans="2:6" x14ac:dyDescent="0.35">
      <c r="B474" s="7" t="s">
        <v>315</v>
      </c>
      <c r="C474" s="16">
        <v>-3.5413499630046981</v>
      </c>
      <c r="D474" s="16">
        <v>1.1823758565707299</v>
      </c>
      <c r="E474" s="16">
        <v>-1.2742044509368051</v>
      </c>
      <c r="F474" s="16">
        <v>-2.0971699178676766</v>
      </c>
    </row>
    <row r="475" spans="2:6" x14ac:dyDescent="0.35">
      <c r="B475" s="7" t="s">
        <v>316</v>
      </c>
      <c r="C475" s="16">
        <v>-3.5556352506806994</v>
      </c>
      <c r="D475" s="16">
        <v>1.2908907195674681</v>
      </c>
      <c r="E475" s="16">
        <v>-1.3698283929576145</v>
      </c>
      <c r="F475" s="16">
        <v>-2.213635639001212</v>
      </c>
    </row>
    <row r="476" spans="2:6" x14ac:dyDescent="0.35">
      <c r="B476" s="7" t="s">
        <v>317</v>
      </c>
      <c r="C476" s="16">
        <v>-3.6286860245245016</v>
      </c>
      <c r="D476" s="16">
        <v>1.6159437861320205</v>
      </c>
      <c r="E476" s="16">
        <v>-1.7958243887986183</v>
      </c>
      <c r="F476" s="16">
        <v>-2.8523198048452962</v>
      </c>
    </row>
    <row r="477" spans="2:6" x14ac:dyDescent="0.35">
      <c r="B477" s="7" t="s">
        <v>318</v>
      </c>
      <c r="C477" s="16">
        <v>-3.7925470159365227</v>
      </c>
      <c r="D477" s="16">
        <v>1.7282414452356734</v>
      </c>
      <c r="E477" s="16">
        <v>-2.4402897151278755</v>
      </c>
      <c r="F477" s="16">
        <v>-3.5589376903327214</v>
      </c>
    </row>
    <row r="478" spans="2:6" x14ac:dyDescent="0.35">
      <c r="B478" s="7" t="s">
        <v>319</v>
      </c>
      <c r="C478" s="16">
        <v>-1.8688656469591676</v>
      </c>
      <c r="D478" s="16">
        <v>-0.17458013471319297</v>
      </c>
      <c r="E478" s="16">
        <v>-0.81976029473186485</v>
      </c>
      <c r="F478" s="16">
        <v>2.1281683905706661</v>
      </c>
    </row>
    <row r="479" spans="2:6" x14ac:dyDescent="0.35">
      <c r="B479" s="7" t="s">
        <v>320</v>
      </c>
      <c r="C479" s="16">
        <v>-1.4232611941814097</v>
      </c>
      <c r="D479" s="16">
        <v>0.38841059559678992</v>
      </c>
      <c r="E479" s="16">
        <v>-0.72178800569346935</v>
      </c>
      <c r="F479" s="16">
        <v>2.9291407164212888</v>
      </c>
    </row>
    <row r="480" spans="2:6" x14ac:dyDescent="0.35">
      <c r="B480" s="7" t="s">
        <v>321</v>
      </c>
      <c r="C480" s="16">
        <v>1.0188778586847425</v>
      </c>
      <c r="D480" s="16">
        <v>1.0416866973480072</v>
      </c>
      <c r="E480" s="16">
        <v>2.6710244687850087</v>
      </c>
      <c r="F480" s="16">
        <v>-0.1291276203465449</v>
      </c>
    </row>
    <row r="481" spans="2:6" ht="15" thickBot="1" x14ac:dyDescent="0.4">
      <c r="B481" s="11" t="s">
        <v>322</v>
      </c>
      <c r="C481" s="17">
        <v>-2.6028380809417415</v>
      </c>
      <c r="D481" s="17">
        <v>-1.8932722226312448</v>
      </c>
      <c r="E481" s="17">
        <v>0.80053671546491278</v>
      </c>
      <c r="F481" s="17">
        <v>-2.1177421399523291</v>
      </c>
    </row>
    <row r="501" spans="2:7" x14ac:dyDescent="0.35">
      <c r="G501" t="s">
        <v>49</v>
      </c>
    </row>
    <row r="504" spans="2:7" x14ac:dyDescent="0.35">
      <c r="B504" s="6" t="s">
        <v>323</v>
      </c>
    </row>
    <row r="505" spans="2:7" ht="15" thickBot="1" x14ac:dyDescent="0.4"/>
    <row r="506" spans="2:7" ht="29" x14ac:dyDescent="0.35">
      <c r="B506" s="8" t="s">
        <v>80</v>
      </c>
      <c r="C506" s="9" t="s">
        <v>51</v>
      </c>
      <c r="D506" s="9" t="s">
        <v>52</v>
      </c>
      <c r="E506" s="9" t="s">
        <v>53</v>
      </c>
      <c r="F506" s="9" t="s">
        <v>54</v>
      </c>
    </row>
    <row r="507" spans="2:7" x14ac:dyDescent="0.35">
      <c r="B507" s="19" t="s">
        <v>81</v>
      </c>
      <c r="C507" s="21">
        <v>-1.1578226740187438E-2</v>
      </c>
      <c r="D507" s="21">
        <v>6.7234191721343844E-2</v>
      </c>
      <c r="E507" s="21">
        <v>9.518243621560811E-2</v>
      </c>
      <c r="F507" s="21">
        <v>4.4320632954891637E-2</v>
      </c>
    </row>
    <row r="508" spans="2:7" x14ac:dyDescent="0.35">
      <c r="B508" s="7" t="s">
        <v>82</v>
      </c>
      <c r="C508" s="16">
        <v>-1.8504743300883985E-2</v>
      </c>
      <c r="D508" s="16">
        <v>1.1119683255315482E-2</v>
      </c>
      <c r="E508" s="16">
        <v>9.0205774654833551E-2</v>
      </c>
      <c r="F508" s="16">
        <v>3.6070409026712623E-2</v>
      </c>
    </row>
    <row r="509" spans="2:7" x14ac:dyDescent="0.35">
      <c r="B509" s="7" t="s">
        <v>83</v>
      </c>
      <c r="C509" s="16">
        <v>-0.10072511055180627</v>
      </c>
      <c r="D509" s="16">
        <v>5.9950417723186114E-2</v>
      </c>
      <c r="E509" s="16">
        <v>3.387488941526285E-2</v>
      </c>
      <c r="F509" s="16">
        <v>-4.785378694367378E-2</v>
      </c>
    </row>
    <row r="510" spans="2:7" x14ac:dyDescent="0.35">
      <c r="B510" s="7" t="s">
        <v>84</v>
      </c>
      <c r="C510" s="16">
        <v>-2.2668171330960087E-2</v>
      </c>
      <c r="D510" s="16">
        <v>9.6022405365827943E-2</v>
      </c>
      <c r="E510" s="16">
        <v>0.10420426634696707</v>
      </c>
      <c r="F510" s="16">
        <v>5.9714878556968012E-2</v>
      </c>
    </row>
    <row r="511" spans="2:7" x14ac:dyDescent="0.35">
      <c r="B511" s="7" t="s">
        <v>85</v>
      </c>
      <c r="C511" s="16">
        <v>-4.3999619999588166E-2</v>
      </c>
      <c r="D511" s="16">
        <v>0.11968401789503845</v>
      </c>
      <c r="E511" s="16">
        <v>7.3955767278910858E-2</v>
      </c>
      <c r="F511" s="16">
        <v>3.7116487012869771E-2</v>
      </c>
    </row>
    <row r="512" spans="2:7" x14ac:dyDescent="0.35">
      <c r="B512" s="7" t="s">
        <v>86</v>
      </c>
      <c r="C512" s="16">
        <v>1.4164334739341851E-2</v>
      </c>
      <c r="D512" s="16">
        <v>7.7727466269633727E-2</v>
      </c>
      <c r="E512" s="16">
        <v>0.12248314330188691</v>
      </c>
      <c r="F512" s="16">
        <v>2.2947830837060798E-2</v>
      </c>
    </row>
    <row r="513" spans="2:6" x14ac:dyDescent="0.35">
      <c r="B513" s="7" t="s">
        <v>87</v>
      </c>
      <c r="C513" s="16">
        <v>4.245681372214459E-2</v>
      </c>
      <c r="D513" s="16">
        <v>2.3707590433613625E-2</v>
      </c>
      <c r="E513" s="16">
        <v>0.12450002690869579</v>
      </c>
      <c r="F513" s="16">
        <v>-2.6385715860824801E-2</v>
      </c>
    </row>
    <row r="514" spans="2:6" x14ac:dyDescent="0.35">
      <c r="B514" s="7" t="s">
        <v>88</v>
      </c>
      <c r="C514" s="16">
        <v>-8.8930144596253841E-3</v>
      </c>
      <c r="D514" s="16">
        <v>0.10071889189622309</v>
      </c>
      <c r="E514" s="16">
        <v>9.0142719693651438E-2</v>
      </c>
      <c r="F514" s="16">
        <v>6.6509104408888797E-2</v>
      </c>
    </row>
    <row r="515" spans="2:6" x14ac:dyDescent="0.35">
      <c r="B515" s="7" t="s">
        <v>89</v>
      </c>
      <c r="C515" s="16">
        <v>2.5401643100977332E-3</v>
      </c>
      <c r="D515" s="16">
        <v>-3.3342942779772764E-3</v>
      </c>
      <c r="E515" s="16">
        <v>9.4515356168814235E-2</v>
      </c>
      <c r="F515" s="16">
        <v>-1.3667790051625765E-2</v>
      </c>
    </row>
    <row r="516" spans="2:6" x14ac:dyDescent="0.35">
      <c r="B516" s="7" t="s">
        <v>90</v>
      </c>
      <c r="C516" s="16">
        <v>-5.9123883694172524E-4</v>
      </c>
      <c r="D516" s="16">
        <v>4.0969167772665689E-2</v>
      </c>
      <c r="E516" s="16">
        <v>9.6477379761415891E-2</v>
      </c>
      <c r="F516" s="16">
        <v>1.3660599968222742E-2</v>
      </c>
    </row>
    <row r="517" spans="2:6" x14ac:dyDescent="0.35">
      <c r="B517" s="7" t="s">
        <v>91</v>
      </c>
      <c r="C517" s="16">
        <v>5.9529189532412242E-2</v>
      </c>
      <c r="D517" s="16">
        <v>7.6959896986849219E-3</v>
      </c>
      <c r="E517" s="16">
        <v>0.11469094003193592</v>
      </c>
      <c r="F517" s="16">
        <v>-5.3048874275600864E-2</v>
      </c>
    </row>
    <row r="518" spans="2:6" x14ac:dyDescent="0.35">
      <c r="B518" s="7" t="s">
        <v>92</v>
      </c>
      <c r="C518" s="16">
        <v>2.2783417773094814E-2</v>
      </c>
      <c r="D518" s="16">
        <v>3.1909144699545221E-2</v>
      </c>
      <c r="E518" s="16">
        <v>0.10231549635230237</v>
      </c>
      <c r="F518" s="16">
        <v>7.0314164530567075E-2</v>
      </c>
    </row>
    <row r="519" spans="2:6" x14ac:dyDescent="0.35">
      <c r="B519" s="7" t="s">
        <v>93</v>
      </c>
      <c r="C519" s="16">
        <v>4.4647636198634828E-2</v>
      </c>
      <c r="D519" s="16">
        <v>6.9104187434355202E-2</v>
      </c>
      <c r="E519" s="16">
        <v>0.10812458694239752</v>
      </c>
      <c r="F519" s="16">
        <v>5.0521829935806076E-2</v>
      </c>
    </row>
    <row r="520" spans="2:6" x14ac:dyDescent="0.35">
      <c r="B520" s="7" t="s">
        <v>94</v>
      </c>
      <c r="C520" s="16">
        <v>9.1439290630983591E-2</v>
      </c>
      <c r="D520" s="16">
        <v>0.10561414340062397</v>
      </c>
      <c r="E520" s="16">
        <v>0.1398138385285555</v>
      </c>
      <c r="F520" s="16">
        <v>-1.5694043081113659E-2</v>
      </c>
    </row>
    <row r="521" spans="2:6" x14ac:dyDescent="0.35">
      <c r="B521" s="7" t="s">
        <v>95</v>
      </c>
      <c r="C521" s="16">
        <v>-1.8365078131606961E-3</v>
      </c>
      <c r="D521" s="16">
        <v>4.9350189227846113E-2</v>
      </c>
      <c r="E521" s="16">
        <v>9.3528841137796678E-2</v>
      </c>
      <c r="F521" s="16">
        <v>3.520592943619024E-3</v>
      </c>
    </row>
    <row r="522" spans="2:6" x14ac:dyDescent="0.35">
      <c r="B522" s="7" t="s">
        <v>96</v>
      </c>
      <c r="C522" s="16">
        <v>-6.8761849961137197E-2</v>
      </c>
      <c r="D522" s="16">
        <v>1.4491790367736061E-2</v>
      </c>
      <c r="E522" s="16">
        <v>7.697366328520179E-2</v>
      </c>
      <c r="F522" s="16">
        <v>3.2158137941815927E-2</v>
      </c>
    </row>
    <row r="523" spans="2:6" x14ac:dyDescent="0.35">
      <c r="B523" s="7" t="s">
        <v>97</v>
      </c>
      <c r="C523" s="16">
        <v>-3.7273066635751841E-2</v>
      </c>
      <c r="D523" s="16">
        <v>0.17858732641177644</v>
      </c>
      <c r="E523" s="16">
        <v>6.7967297410190863E-2</v>
      </c>
      <c r="F523" s="16">
        <v>5.3740337104214261E-2</v>
      </c>
    </row>
    <row r="524" spans="2:6" x14ac:dyDescent="0.35">
      <c r="B524" s="7" t="s">
        <v>98</v>
      </c>
      <c r="C524" s="16">
        <v>4.9237667238345127E-2</v>
      </c>
      <c r="D524" s="16">
        <v>8.9945784834556198E-5</v>
      </c>
      <c r="E524" s="16">
        <v>6.7486597291186806E-2</v>
      </c>
      <c r="F524" s="16">
        <v>-5.6185295554091588E-2</v>
      </c>
    </row>
    <row r="525" spans="2:6" x14ac:dyDescent="0.35">
      <c r="B525" s="7" t="s">
        <v>99</v>
      </c>
      <c r="C525" s="16">
        <v>3.960417678648212E-2</v>
      </c>
      <c r="D525" s="16">
        <v>3.6329206299892884E-2</v>
      </c>
      <c r="E525" s="16">
        <v>7.0562250326443657E-2</v>
      </c>
      <c r="F525" s="16">
        <v>-2.6846926540170495E-2</v>
      </c>
    </row>
    <row r="526" spans="2:6" x14ac:dyDescent="0.35">
      <c r="B526" s="7" t="s">
        <v>100</v>
      </c>
      <c r="C526" s="16">
        <v>8.0537027868580024E-2</v>
      </c>
      <c r="D526" s="16">
        <v>8.3570984289670455E-2</v>
      </c>
      <c r="E526" s="16">
        <v>0.12951170796965705</v>
      </c>
      <c r="F526" s="16">
        <v>-1.7125375983107358E-2</v>
      </c>
    </row>
    <row r="527" spans="2:6" x14ac:dyDescent="0.35">
      <c r="B527" s="7" t="s">
        <v>101</v>
      </c>
      <c r="C527" s="16">
        <v>3.8700468416278326E-2</v>
      </c>
      <c r="D527" s="16">
        <v>2.9224171368203659E-2</v>
      </c>
      <c r="E527" s="16">
        <v>0.12847245644000013</v>
      </c>
      <c r="F527" s="16">
        <v>1.9823804536372971E-2</v>
      </c>
    </row>
    <row r="528" spans="2:6" x14ac:dyDescent="0.35">
      <c r="B528" s="7" t="s">
        <v>102</v>
      </c>
      <c r="C528" s="16">
        <v>6.9100478457110245E-2</v>
      </c>
      <c r="D528" s="16">
        <v>-3.0228728827359141E-3</v>
      </c>
      <c r="E528" s="16">
        <v>6.1797256982225733E-2</v>
      </c>
      <c r="F528" s="16">
        <v>-7.6416810219255379E-2</v>
      </c>
    </row>
    <row r="529" spans="2:6" x14ac:dyDescent="0.35">
      <c r="B529" s="7" t="s">
        <v>103</v>
      </c>
      <c r="C529" s="16">
        <v>4.223859951988343E-2</v>
      </c>
      <c r="D529" s="16">
        <v>-2.0905307388005079E-3</v>
      </c>
      <c r="E529" s="16">
        <v>6.7622414846661899E-2</v>
      </c>
      <c r="F529" s="16">
        <v>-4.8505249413041428E-2</v>
      </c>
    </row>
    <row r="530" spans="2:6" x14ac:dyDescent="0.35">
      <c r="B530" s="7" t="s">
        <v>104</v>
      </c>
      <c r="C530" s="16">
        <v>-3.8242831877722192E-2</v>
      </c>
      <c r="D530" s="16">
        <v>0.1192407362310295</v>
      </c>
      <c r="E530" s="16">
        <v>6.2998225288769971E-2</v>
      </c>
      <c r="F530" s="16">
        <v>2.5749522917448382E-2</v>
      </c>
    </row>
    <row r="531" spans="2:6" x14ac:dyDescent="0.35">
      <c r="B531" s="7" t="s">
        <v>105</v>
      </c>
      <c r="C531" s="16">
        <v>6.2582666785410079E-2</v>
      </c>
      <c r="D531" s="16">
        <v>8.9623206843088249E-2</v>
      </c>
      <c r="E531" s="16">
        <v>7.0867117939933735E-2</v>
      </c>
      <c r="F531" s="16">
        <v>3.7780181714688409E-2</v>
      </c>
    </row>
    <row r="532" spans="2:6" x14ac:dyDescent="0.35">
      <c r="B532" s="7" t="s">
        <v>106</v>
      </c>
      <c r="C532" s="16">
        <v>6.930941052026332E-2</v>
      </c>
      <c r="D532" s="16">
        <v>6.791932624847595E-2</v>
      </c>
      <c r="E532" s="16">
        <v>5.624393402260424E-2</v>
      </c>
      <c r="F532" s="16">
        <v>7.1334947007575993E-3</v>
      </c>
    </row>
    <row r="533" spans="2:6" x14ac:dyDescent="0.35">
      <c r="B533" s="7" t="s">
        <v>107</v>
      </c>
      <c r="C533" s="16">
        <v>-0.11563718336685712</v>
      </c>
      <c r="D533" s="16">
        <v>2.0435945559038025E-2</v>
      </c>
      <c r="E533" s="16">
        <v>-1.2624996738147192E-2</v>
      </c>
      <c r="F533" s="16">
        <v>-6.0743008296949119E-2</v>
      </c>
    </row>
    <row r="534" spans="2:6" x14ac:dyDescent="0.35">
      <c r="B534" s="7" t="s">
        <v>108</v>
      </c>
      <c r="C534" s="16">
        <v>5.3569210295512655E-2</v>
      </c>
      <c r="D534" s="16">
        <v>5.0616196877170026E-2</v>
      </c>
      <c r="E534" s="16">
        <v>5.5489534857034464E-2</v>
      </c>
      <c r="F534" s="16">
        <v>-3.2698445968947269E-2</v>
      </c>
    </row>
    <row r="535" spans="2:6" x14ac:dyDescent="0.35">
      <c r="B535" s="7" t="s">
        <v>109</v>
      </c>
      <c r="C535" s="16">
        <v>-1.1359398748488415E-3</v>
      </c>
      <c r="D535" s="16">
        <v>9.2078858830142732E-2</v>
      </c>
      <c r="E535" s="16">
        <v>5.3919449232841934E-2</v>
      </c>
      <c r="F535" s="16">
        <v>0.10059721698421728</v>
      </c>
    </row>
    <row r="536" spans="2:6" x14ac:dyDescent="0.35">
      <c r="B536" s="7" t="s">
        <v>110</v>
      </c>
      <c r="C536" s="16">
        <v>-7.4905119818763119E-2</v>
      </c>
      <c r="D536" s="16">
        <v>0.10167413165791842</v>
      </c>
      <c r="E536" s="16">
        <v>6.4666479033687607E-2</v>
      </c>
      <c r="F536" s="16">
        <v>4.8166696070259092E-2</v>
      </c>
    </row>
    <row r="537" spans="2:6" x14ac:dyDescent="0.35">
      <c r="B537" s="7" t="s">
        <v>111</v>
      </c>
      <c r="C537" s="16">
        <v>6.815015336166004E-2</v>
      </c>
      <c r="D537" s="16">
        <v>3.5575844554821302E-2</v>
      </c>
      <c r="E537" s="16">
        <v>3.9554724550506924E-2</v>
      </c>
      <c r="F537" s="16">
        <v>-4.2764599503897993E-2</v>
      </c>
    </row>
    <row r="538" spans="2:6" x14ac:dyDescent="0.35">
      <c r="B538" s="7" t="s">
        <v>112</v>
      </c>
      <c r="C538" s="16">
        <v>-0.12426231665502223</v>
      </c>
      <c r="D538" s="16">
        <v>1.3395037169403363E-2</v>
      </c>
      <c r="E538" s="16">
        <v>-2.3706567256726388E-2</v>
      </c>
      <c r="F538" s="16">
        <v>-5.359673271981534E-2</v>
      </c>
    </row>
    <row r="539" spans="2:6" x14ac:dyDescent="0.35">
      <c r="B539" s="7" t="s">
        <v>113</v>
      </c>
      <c r="C539" s="16">
        <v>-4.6274319119110244E-2</v>
      </c>
      <c r="D539" s="16">
        <v>8.7807940701100984E-2</v>
      </c>
      <c r="E539" s="16">
        <v>4.4251302307823148E-2</v>
      </c>
      <c r="F539" s="16">
        <v>6.7697668976840944E-2</v>
      </c>
    </row>
    <row r="540" spans="2:6" x14ac:dyDescent="0.35">
      <c r="B540" s="7" t="s">
        <v>114</v>
      </c>
      <c r="C540" s="16">
        <v>5.6881467000104637E-2</v>
      </c>
      <c r="D540" s="16">
        <v>5.7950754125058686E-2</v>
      </c>
      <c r="E540" s="16">
        <v>4.9622322104384733E-2</v>
      </c>
      <c r="F540" s="16">
        <v>3.3879345336619822E-3</v>
      </c>
    </row>
    <row r="541" spans="2:6" x14ac:dyDescent="0.35">
      <c r="B541" s="7" t="s">
        <v>115</v>
      </c>
      <c r="C541" s="16">
        <v>-0.11202778651122136</v>
      </c>
      <c r="D541" s="16">
        <v>2.9119261901596478E-2</v>
      </c>
      <c r="E541" s="16">
        <v>-6.3430283687717559E-3</v>
      </c>
      <c r="F541" s="16">
        <v>-3.7398758443202174E-2</v>
      </c>
    </row>
    <row r="542" spans="2:6" x14ac:dyDescent="0.35">
      <c r="B542" s="7" t="s">
        <v>116</v>
      </c>
      <c r="C542" s="16">
        <v>6.410407254046864E-2</v>
      </c>
      <c r="D542" s="16">
        <v>5.9495577618341913E-2</v>
      </c>
      <c r="E542" s="16">
        <v>4.6375489178242676E-2</v>
      </c>
      <c r="F542" s="16">
        <v>1.9561963613091465E-2</v>
      </c>
    </row>
    <row r="543" spans="2:6" x14ac:dyDescent="0.35">
      <c r="B543" s="7" t="s">
        <v>117</v>
      </c>
      <c r="C543" s="16">
        <v>-0.1121877107132019</v>
      </c>
      <c r="D543" s="16">
        <v>1.3703269351575878E-2</v>
      </c>
      <c r="E543" s="16">
        <v>-2.0939753298185652E-2</v>
      </c>
      <c r="F543" s="16">
        <v>-6.5012289873886478E-2</v>
      </c>
    </row>
    <row r="544" spans="2:6" x14ac:dyDescent="0.35">
      <c r="B544" s="7" t="s">
        <v>118</v>
      </c>
      <c r="C544" s="16">
        <v>0.14657113907550487</v>
      </c>
      <c r="D544" s="16">
        <v>8.6813308104563298E-3</v>
      </c>
      <c r="E544" s="16">
        <v>1.392258600112402E-2</v>
      </c>
      <c r="F544" s="16">
        <v>-8.692998738155909E-2</v>
      </c>
    </row>
    <row r="545" spans="2:6" x14ac:dyDescent="0.35">
      <c r="B545" s="7" t="s">
        <v>119</v>
      </c>
      <c r="C545" s="16">
        <v>9.2169017234616013E-2</v>
      </c>
      <c r="D545" s="16">
        <v>3.2910153560813528E-3</v>
      </c>
      <c r="E545" s="16">
        <v>6.9185846001653326E-3</v>
      </c>
      <c r="F545" s="16">
        <v>-7.5145072697414689E-2</v>
      </c>
    </row>
    <row r="546" spans="2:6" x14ac:dyDescent="0.35">
      <c r="B546" s="7" t="s">
        <v>120</v>
      </c>
      <c r="C546" s="16">
        <v>-0.11399968889274592</v>
      </c>
      <c r="D546" s="16">
        <v>1.1329386344498543E-2</v>
      </c>
      <c r="E546" s="16">
        <v>-2.1986789144439389E-3</v>
      </c>
      <c r="F546" s="16">
        <v>-1.8258838433414942E-2</v>
      </c>
    </row>
    <row r="547" spans="2:6" x14ac:dyDescent="0.35">
      <c r="B547" s="7" t="s">
        <v>121</v>
      </c>
      <c r="C547" s="16">
        <v>-4.4020340208674041E-2</v>
      </c>
      <c r="D547" s="16">
        <v>0.11285949342247155</v>
      </c>
      <c r="E547" s="16">
        <v>3.7521738035867912E-2</v>
      </c>
      <c r="F547" s="16">
        <v>2.9266863143805655E-2</v>
      </c>
    </row>
    <row r="548" spans="2:6" x14ac:dyDescent="0.35">
      <c r="B548" s="7" t="s">
        <v>122</v>
      </c>
      <c r="C548" s="16">
        <v>2.3954485249543689E-2</v>
      </c>
      <c r="D548" s="16">
        <v>3.3222460555505512E-2</v>
      </c>
      <c r="E548" s="16">
        <v>4.8285769816739182E-2</v>
      </c>
      <c r="F548" s="16">
        <v>9.4209483084931669E-2</v>
      </c>
    </row>
    <row r="549" spans="2:6" x14ac:dyDescent="0.35">
      <c r="B549" s="7" t="s">
        <v>123</v>
      </c>
      <c r="C549" s="16">
        <v>0.11324470224416316</v>
      </c>
      <c r="D549" s="16">
        <v>2.5618507149514334E-2</v>
      </c>
      <c r="E549" s="16">
        <v>3.7189931553922556E-2</v>
      </c>
      <c r="F549" s="16">
        <v>-5.7214382193975802E-2</v>
      </c>
    </row>
    <row r="550" spans="2:6" x14ac:dyDescent="0.35">
      <c r="B550" s="7" t="s">
        <v>124</v>
      </c>
      <c r="C550" s="16">
        <v>8.1175459960657573E-2</v>
      </c>
      <c r="D550" s="16">
        <v>-3.8692399422665405E-2</v>
      </c>
      <c r="E550" s="16">
        <v>3.9207259894005336E-3</v>
      </c>
      <c r="F550" s="16">
        <v>-8.3617126961154323E-2</v>
      </c>
    </row>
    <row r="551" spans="2:6" x14ac:dyDescent="0.35">
      <c r="B551" s="7" t="s">
        <v>125</v>
      </c>
      <c r="C551" s="16">
        <v>-6.2732591133559057E-2</v>
      </c>
      <c r="D551" s="16">
        <v>2.9690566691412491E-2</v>
      </c>
      <c r="E551" s="16">
        <v>4.6422999571431006E-2</v>
      </c>
      <c r="F551" s="16">
        <v>-1.5729410670473291E-2</v>
      </c>
    </row>
    <row r="552" spans="2:6" x14ac:dyDescent="0.35">
      <c r="B552" s="7" t="s">
        <v>126</v>
      </c>
      <c r="C552" s="16">
        <v>6.2334731398783932E-4</v>
      </c>
      <c r="D552" s="16">
        <v>-3.542794659328637E-3</v>
      </c>
      <c r="E552" s="16">
        <v>3.2419028442964626E-2</v>
      </c>
      <c r="F552" s="16">
        <v>6.4490631050868288E-2</v>
      </c>
    </row>
    <row r="553" spans="2:6" x14ac:dyDescent="0.35">
      <c r="B553" s="7" t="s">
        <v>127</v>
      </c>
      <c r="C553" s="16">
        <v>-8.0733893104736471E-2</v>
      </c>
      <c r="D553" s="16">
        <v>-6.598175832653437E-2</v>
      </c>
      <c r="E553" s="16">
        <v>3.596866980460435E-2</v>
      </c>
      <c r="F553" s="16">
        <v>-5.470335241236092E-2</v>
      </c>
    </row>
    <row r="554" spans="2:6" x14ac:dyDescent="0.35">
      <c r="B554" s="7" t="s">
        <v>128</v>
      </c>
      <c r="C554" s="16">
        <v>-6.7922017759951547E-2</v>
      </c>
      <c r="D554" s="16">
        <v>-5.4792970467214604E-2</v>
      </c>
      <c r="E554" s="16">
        <v>1.8826902621049309E-3</v>
      </c>
      <c r="F554" s="16">
        <v>-1.0036923486709799E-2</v>
      </c>
    </row>
    <row r="555" spans="2:6" x14ac:dyDescent="0.35">
      <c r="B555" s="7" t="s">
        <v>129</v>
      </c>
      <c r="C555" s="16">
        <v>-1.389072533450628E-2</v>
      </c>
      <c r="D555" s="16">
        <v>-5.1469251628512978E-2</v>
      </c>
      <c r="E555" s="16">
        <v>4.4137171421578997E-2</v>
      </c>
      <c r="F555" s="16">
        <v>-3.6903565540197136E-2</v>
      </c>
    </row>
    <row r="556" spans="2:6" x14ac:dyDescent="0.35">
      <c r="B556" s="7" t="s">
        <v>130</v>
      </c>
      <c r="C556" s="16">
        <v>8.0316942889007134E-2</v>
      </c>
      <c r="D556" s="16">
        <v>2.3427170596820028E-2</v>
      </c>
      <c r="E556" s="16">
        <v>-1.1768981622940697E-3</v>
      </c>
      <c r="F556" s="16">
        <v>-2.590300720872013E-2</v>
      </c>
    </row>
    <row r="557" spans="2:6" x14ac:dyDescent="0.35">
      <c r="B557" s="7" t="s">
        <v>131</v>
      </c>
      <c r="C557" s="16">
        <v>6.5003088296758313E-2</v>
      </c>
      <c r="D557" s="16">
        <v>-6.1322655292133266E-2</v>
      </c>
      <c r="E557" s="16">
        <v>8.156606927317343E-3</v>
      </c>
      <c r="F557" s="16">
        <v>-7.2616552614912927E-2</v>
      </c>
    </row>
    <row r="558" spans="2:6" x14ac:dyDescent="0.35">
      <c r="B558" s="7" t="s">
        <v>132</v>
      </c>
      <c r="C558" s="16">
        <v>-6.9979120404001519E-2</v>
      </c>
      <c r="D558" s="16">
        <v>-7.9300350443916534E-2</v>
      </c>
      <c r="E558" s="16">
        <v>-8.2979937385884404E-3</v>
      </c>
      <c r="F558" s="16">
        <v>-3.27773655116054E-2</v>
      </c>
    </row>
    <row r="559" spans="2:6" x14ac:dyDescent="0.35">
      <c r="B559" s="7" t="s">
        <v>133</v>
      </c>
      <c r="C559" s="16">
        <v>-5.6071129150961588E-2</v>
      </c>
      <c r="D559" s="16">
        <v>-2.6637529783434481E-2</v>
      </c>
      <c r="E559" s="16">
        <v>4.5159550710227675E-2</v>
      </c>
      <c r="F559" s="16">
        <v>-6.1518728789385982E-3</v>
      </c>
    </row>
    <row r="560" spans="2:6" x14ac:dyDescent="0.35">
      <c r="B560" s="7" t="s">
        <v>134</v>
      </c>
      <c r="C560" s="16">
        <v>9.9833804369902579E-2</v>
      </c>
      <c r="D560" s="16">
        <v>8.2761653856453822E-3</v>
      </c>
      <c r="E560" s="16">
        <v>-1.6674686512971375E-2</v>
      </c>
      <c r="F560" s="16">
        <v>-4.7589793654104276E-2</v>
      </c>
    </row>
    <row r="561" spans="2:6" x14ac:dyDescent="0.35">
      <c r="B561" s="7" t="s">
        <v>135</v>
      </c>
      <c r="C561" s="16">
        <v>-8.1777644095344257E-2</v>
      </c>
      <c r="D561" s="16">
        <v>-6.0294338720612441E-2</v>
      </c>
      <c r="E561" s="16">
        <v>4.2350924603603516E-3</v>
      </c>
      <c r="F561" s="16">
        <v>-3.3655400114747977E-4</v>
      </c>
    </row>
    <row r="562" spans="2:6" x14ac:dyDescent="0.35">
      <c r="B562" s="7" t="s">
        <v>136</v>
      </c>
      <c r="C562" s="16">
        <v>0.11238151817565659</v>
      </c>
      <c r="D562" s="16">
        <v>-3.9854471823913266E-2</v>
      </c>
      <c r="E562" s="16">
        <v>-1.9312328822486045E-2</v>
      </c>
      <c r="F562" s="16">
        <v>-0.11096610061187155</v>
      </c>
    </row>
    <row r="563" spans="2:6" x14ac:dyDescent="0.35">
      <c r="B563" s="7" t="s">
        <v>137</v>
      </c>
      <c r="C563" s="16">
        <v>8.3219359216873234E-2</v>
      </c>
      <c r="D563" s="16">
        <v>-6.873745351585174E-2</v>
      </c>
      <c r="E563" s="16">
        <v>3.3021875670344912E-3</v>
      </c>
      <c r="F563" s="16">
        <v>-1.2366327981870748E-2</v>
      </c>
    </row>
    <row r="564" spans="2:6" x14ac:dyDescent="0.35">
      <c r="B564" s="7" t="s">
        <v>138</v>
      </c>
      <c r="C564" s="16">
        <v>-6.6173768408446479E-2</v>
      </c>
      <c r="D564" s="16">
        <v>-8.5475851645792522E-2</v>
      </c>
      <c r="E564" s="16">
        <v>4.0127545886030402E-2</v>
      </c>
      <c r="F564" s="16">
        <v>-3.2035126757844097E-2</v>
      </c>
    </row>
    <row r="565" spans="2:6" x14ac:dyDescent="0.35">
      <c r="B565" s="7" t="s">
        <v>139</v>
      </c>
      <c r="C565" s="16">
        <v>-4.2322807893225574E-2</v>
      </c>
      <c r="D565" s="16">
        <v>-5.0795839594197707E-2</v>
      </c>
      <c r="E565" s="16">
        <v>1.9801280353821719E-2</v>
      </c>
      <c r="F565" s="16">
        <v>6.1991016729081886E-3</v>
      </c>
    </row>
    <row r="566" spans="2:6" x14ac:dyDescent="0.35">
      <c r="B566" s="7" t="s">
        <v>140</v>
      </c>
      <c r="C566" s="16">
        <v>-6.9472195789774593E-2</v>
      </c>
      <c r="D566" s="16">
        <v>-5.422081078599221E-2</v>
      </c>
      <c r="E566" s="16">
        <v>2.4490556157665447E-2</v>
      </c>
      <c r="F566" s="16">
        <v>-1.0164104308556942E-2</v>
      </c>
    </row>
    <row r="567" spans="2:6" x14ac:dyDescent="0.35">
      <c r="B567" s="7" t="s">
        <v>141</v>
      </c>
      <c r="C567" s="16">
        <v>-3.1576603554707205E-2</v>
      </c>
      <c r="D567" s="16">
        <v>-3.9795358564540625E-2</v>
      </c>
      <c r="E567" s="16">
        <v>5.4539536183856305E-2</v>
      </c>
      <c r="F567" s="16">
        <v>-1.4009181504714987E-3</v>
      </c>
    </row>
    <row r="568" spans="2:6" x14ac:dyDescent="0.35">
      <c r="B568" s="7" t="s">
        <v>142</v>
      </c>
      <c r="C568" s="16">
        <v>8.0297381685988205E-4</v>
      </c>
      <c r="D568" s="16">
        <v>-3.5952048647104252E-2</v>
      </c>
      <c r="E568" s="16">
        <v>-1.7635354536186563E-2</v>
      </c>
      <c r="F568" s="16">
        <v>-5.3208127695780351E-2</v>
      </c>
    </row>
    <row r="569" spans="2:6" x14ac:dyDescent="0.35">
      <c r="B569" s="7" t="s">
        <v>143</v>
      </c>
      <c r="C569" s="16">
        <v>-6.5440259712218202E-2</v>
      </c>
      <c r="D569" s="16">
        <v>-4.7414367085521214E-2</v>
      </c>
      <c r="E569" s="16">
        <v>3.0190497278813653E-2</v>
      </c>
      <c r="F569" s="16">
        <v>-2.920416057267952E-3</v>
      </c>
    </row>
    <row r="570" spans="2:6" x14ac:dyDescent="0.35">
      <c r="B570" s="7" t="s">
        <v>144</v>
      </c>
      <c r="C570" s="16">
        <v>1.4767377357598132E-2</v>
      </c>
      <c r="D570" s="16">
        <v>-6.8501800162860185E-2</v>
      </c>
      <c r="E570" s="16">
        <v>1.7555735503484464E-4</v>
      </c>
      <c r="F570" s="16">
        <v>-3.8776271529208671E-2</v>
      </c>
    </row>
    <row r="571" spans="2:6" x14ac:dyDescent="0.35">
      <c r="B571" s="7" t="s">
        <v>145</v>
      </c>
      <c r="C571" s="16">
        <v>-2.845213448431021E-2</v>
      </c>
      <c r="D571" s="16">
        <v>-6.6783087383675346E-2</v>
      </c>
      <c r="E571" s="16">
        <v>6.9326724169002429E-2</v>
      </c>
      <c r="F571" s="16">
        <v>-2.8791525369604231E-2</v>
      </c>
    </row>
    <row r="572" spans="2:6" x14ac:dyDescent="0.35">
      <c r="B572" s="7" t="s">
        <v>146</v>
      </c>
      <c r="C572" s="16">
        <v>0.1150054232423964</v>
      </c>
      <c r="D572" s="16">
        <v>-2.9337567234968723E-2</v>
      </c>
      <c r="E572" s="16">
        <v>-3.7722830362715336E-2</v>
      </c>
      <c r="F572" s="16">
        <v>-0.11004657490584183</v>
      </c>
    </row>
    <row r="573" spans="2:6" x14ac:dyDescent="0.35">
      <c r="B573" s="7" t="s">
        <v>147</v>
      </c>
      <c r="C573" s="16">
        <v>-1.9537419774477302E-2</v>
      </c>
      <c r="D573" s="16">
        <v>-5.1510985594730073E-2</v>
      </c>
      <c r="E573" s="16">
        <v>2.5082754432652957E-2</v>
      </c>
      <c r="F573" s="16">
        <v>3.539395802530898E-2</v>
      </c>
    </row>
    <row r="574" spans="2:6" x14ac:dyDescent="0.35">
      <c r="B574" s="7" t="s">
        <v>148</v>
      </c>
      <c r="C574" s="16">
        <v>-3.6550964116114304E-2</v>
      </c>
      <c r="D574" s="16">
        <v>-2.8410476451934383E-2</v>
      </c>
      <c r="E574" s="16">
        <v>6.4834550901894106E-2</v>
      </c>
      <c r="F574" s="16">
        <v>1.025336694091431E-4</v>
      </c>
    </row>
    <row r="575" spans="2:6" x14ac:dyDescent="0.35">
      <c r="B575" s="7" t="s">
        <v>149</v>
      </c>
      <c r="C575" s="16">
        <v>0.106140109892107</v>
      </c>
      <c r="D575" s="16">
        <v>-7.2483181631457935E-2</v>
      </c>
      <c r="E575" s="16">
        <v>-2.7505169880547527E-2</v>
      </c>
      <c r="F575" s="16">
        <v>-4.3214822989557145E-2</v>
      </c>
    </row>
    <row r="576" spans="2:6" x14ac:dyDescent="0.35">
      <c r="B576" s="7" t="s">
        <v>150</v>
      </c>
      <c r="C576" s="16">
        <v>8.5003981323574673E-2</v>
      </c>
      <c r="D576" s="16">
        <v>-4.8846759353328911E-2</v>
      </c>
      <c r="E576" s="16">
        <v>6.5154500749618881E-3</v>
      </c>
      <c r="F576" s="16">
        <v>1.7342146565540503E-3</v>
      </c>
    </row>
    <row r="577" spans="2:6" x14ac:dyDescent="0.35">
      <c r="B577" s="7" t="s">
        <v>151</v>
      </c>
      <c r="C577" s="16">
        <v>-0.10071079834540049</v>
      </c>
      <c r="D577" s="16">
        <v>-2.3767013432108543E-2</v>
      </c>
      <c r="E577" s="16">
        <v>-1.7344915839099521E-2</v>
      </c>
      <c r="F577" s="16">
        <v>7.6180317003248397E-3</v>
      </c>
    </row>
    <row r="578" spans="2:6" x14ac:dyDescent="0.35">
      <c r="B578" s="7" t="s">
        <v>152</v>
      </c>
      <c r="C578" s="16">
        <v>-6.7501029185215625E-2</v>
      </c>
      <c r="D578" s="16">
        <v>-1.8582197793822659E-2</v>
      </c>
      <c r="E578" s="16">
        <v>5.4829523430658805E-2</v>
      </c>
      <c r="F578" s="16">
        <v>1.7703324625827203E-3</v>
      </c>
    </row>
    <row r="579" spans="2:6" x14ac:dyDescent="0.35">
      <c r="B579" s="7" t="s">
        <v>153</v>
      </c>
      <c r="C579" s="16">
        <v>-2.8001843273441497E-2</v>
      </c>
      <c r="D579" s="16">
        <v>-4.6702028128054948E-2</v>
      </c>
      <c r="E579" s="16">
        <v>2.3675211637247322E-2</v>
      </c>
      <c r="F579" s="16">
        <v>1.0053535498204615E-2</v>
      </c>
    </row>
    <row r="580" spans="2:6" x14ac:dyDescent="0.35">
      <c r="B580" s="7" t="s">
        <v>154</v>
      </c>
      <c r="C580" s="16">
        <v>-5.6618045094956368E-2</v>
      </c>
      <c r="D580" s="16">
        <v>-8.6091272796497073E-2</v>
      </c>
      <c r="E580" s="16">
        <v>6.7736897974097918E-2</v>
      </c>
      <c r="F580" s="16">
        <v>-5.634185140547933E-4</v>
      </c>
    </row>
    <row r="581" spans="2:6" x14ac:dyDescent="0.35">
      <c r="B581" s="7" t="s">
        <v>155</v>
      </c>
      <c r="C581" s="16">
        <v>-5.4783957848155769E-2</v>
      </c>
      <c r="D581" s="16">
        <v>-8.2048837075710215E-2</v>
      </c>
      <c r="E581" s="16">
        <v>6.1404685937508127E-2</v>
      </c>
      <c r="F581" s="16">
        <v>-2.8845975106805678E-2</v>
      </c>
    </row>
    <row r="582" spans="2:6" x14ac:dyDescent="0.35">
      <c r="B582" s="7" t="s">
        <v>156</v>
      </c>
      <c r="C582" s="16">
        <v>6.7774661752367946E-2</v>
      </c>
      <c r="D582" s="16">
        <v>-3.0985708364044587E-2</v>
      </c>
      <c r="E582" s="16">
        <v>1.8909542184690604E-3</v>
      </c>
      <c r="F582" s="16">
        <v>5.8991444303722496E-2</v>
      </c>
    </row>
    <row r="583" spans="2:6" x14ac:dyDescent="0.35">
      <c r="B583" s="7" t="s">
        <v>157</v>
      </c>
      <c r="C583" s="16">
        <v>0.10843169398462517</v>
      </c>
      <c r="D583" s="16">
        <v>-4.6829277885416756E-2</v>
      </c>
      <c r="E583" s="16">
        <v>-8.9131635346226205E-3</v>
      </c>
      <c r="F583" s="16">
        <v>-7.5326328574971596E-2</v>
      </c>
    </row>
    <row r="584" spans="2:6" x14ac:dyDescent="0.35">
      <c r="B584" s="7" t="s">
        <v>158</v>
      </c>
      <c r="C584" s="16">
        <v>-6.2164885772020742E-2</v>
      </c>
      <c r="D584" s="16">
        <v>-1.982633042575915E-2</v>
      </c>
      <c r="E584" s="16">
        <v>5.417156453552064E-2</v>
      </c>
      <c r="F584" s="16">
        <v>-4.6934785459519374E-3</v>
      </c>
    </row>
    <row r="585" spans="2:6" x14ac:dyDescent="0.35">
      <c r="B585" s="7" t="s">
        <v>159</v>
      </c>
      <c r="C585" s="16">
        <v>2.1294907162616696E-2</v>
      </c>
      <c r="D585" s="16">
        <v>-8.9800953156491836E-2</v>
      </c>
      <c r="E585" s="16">
        <v>-1.3833021165738542E-2</v>
      </c>
      <c r="F585" s="16">
        <v>9.0158305550994466E-2</v>
      </c>
    </row>
    <row r="586" spans="2:6" x14ac:dyDescent="0.35">
      <c r="B586" s="7" t="s">
        <v>160</v>
      </c>
      <c r="C586" s="16">
        <v>0.10339181192509644</v>
      </c>
      <c r="D586" s="16">
        <v>-8.4921570435275928E-2</v>
      </c>
      <c r="E586" s="16">
        <v>-3.1765263059762322E-2</v>
      </c>
      <c r="F586" s="16">
        <v>-5.4058348098049401E-2</v>
      </c>
    </row>
    <row r="587" spans="2:6" x14ac:dyDescent="0.35">
      <c r="B587" s="7" t="s">
        <v>161</v>
      </c>
      <c r="C587" s="16">
        <v>-4.1592458173903113E-2</v>
      </c>
      <c r="D587" s="16">
        <v>-6.3747593340345174E-2</v>
      </c>
      <c r="E587" s="16">
        <v>6.1244176345920234E-2</v>
      </c>
      <c r="F587" s="16">
        <v>-1.3974458739360398E-3</v>
      </c>
    </row>
    <row r="588" spans="2:6" x14ac:dyDescent="0.35">
      <c r="B588" s="7" t="s">
        <v>162</v>
      </c>
      <c r="C588" s="16">
        <v>-5.1019952393551442E-2</v>
      </c>
      <c r="D588" s="16">
        <v>-0.15255389148503509</v>
      </c>
      <c r="E588" s="16">
        <v>4.7164756930173725E-2</v>
      </c>
      <c r="F588" s="16">
        <v>-6.8811329099221621E-2</v>
      </c>
    </row>
    <row r="589" spans="2:6" x14ac:dyDescent="0.35">
      <c r="B589" s="7" t="s">
        <v>163</v>
      </c>
      <c r="C589" s="16">
        <v>3.8557111353468163E-2</v>
      </c>
      <c r="D589" s="16">
        <v>-6.9161722759906299E-2</v>
      </c>
      <c r="E589" s="16">
        <v>-1.8090050445990637E-2</v>
      </c>
      <c r="F589" s="16">
        <v>-1.5562804028898211E-2</v>
      </c>
    </row>
    <row r="590" spans="2:6" x14ac:dyDescent="0.35">
      <c r="B590" s="7" t="s">
        <v>164</v>
      </c>
      <c r="C590" s="16">
        <v>6.7503702781230607E-2</v>
      </c>
      <c r="D590" s="16">
        <v>-5.5618172652094081E-2</v>
      </c>
      <c r="E590" s="16">
        <v>-2.8014936318897534E-2</v>
      </c>
      <c r="F590" s="16">
        <v>-3.8299100742272128E-2</v>
      </c>
    </row>
    <row r="591" spans="2:6" x14ac:dyDescent="0.35">
      <c r="B591" s="7" t="s">
        <v>165</v>
      </c>
      <c r="C591" s="16">
        <v>-2.9233379524874509E-2</v>
      </c>
      <c r="D591" s="16">
        <v>-2.9990616660353606E-2</v>
      </c>
      <c r="E591" s="16">
        <v>-1.9469730567266749E-2</v>
      </c>
      <c r="F591" s="16">
        <v>3.9980931681473299E-2</v>
      </c>
    </row>
    <row r="592" spans="2:6" x14ac:dyDescent="0.35">
      <c r="B592" s="7" t="s">
        <v>166</v>
      </c>
      <c r="C592" s="16">
        <v>-6.5149138166949117E-2</v>
      </c>
      <c r="D592" s="16">
        <v>-0.15309119724096723</v>
      </c>
      <c r="E592" s="16">
        <v>4.2429442814031118E-2</v>
      </c>
      <c r="F592" s="16">
        <v>-6.6378280889033206E-2</v>
      </c>
    </row>
    <row r="593" spans="2:6" x14ac:dyDescent="0.35">
      <c r="B593" s="7" t="s">
        <v>167</v>
      </c>
      <c r="C593" s="16">
        <v>8.3204540013830181E-2</v>
      </c>
      <c r="D593" s="16">
        <v>-6.9551505309337125E-2</v>
      </c>
      <c r="E593" s="16">
        <v>-2.2229439473790157E-2</v>
      </c>
      <c r="F593" s="16">
        <v>-2.978694958419411E-2</v>
      </c>
    </row>
    <row r="594" spans="2:6" x14ac:dyDescent="0.35">
      <c r="B594" s="7" t="s">
        <v>168</v>
      </c>
      <c r="C594" s="16">
        <v>-1.2613288789930184E-2</v>
      </c>
      <c r="D594" s="16">
        <v>-1.2602262080296214E-2</v>
      </c>
      <c r="E594" s="16">
        <v>2.7653541344064007E-2</v>
      </c>
      <c r="F594" s="16">
        <v>0.10672281549676287</v>
      </c>
    </row>
    <row r="595" spans="2:6" x14ac:dyDescent="0.35">
      <c r="B595" s="7" t="s">
        <v>169</v>
      </c>
      <c r="C595" s="16">
        <v>-1.1408216524422258E-2</v>
      </c>
      <c r="D595" s="16">
        <v>-7.7260827386818443E-2</v>
      </c>
      <c r="E595" s="16">
        <v>-5.0367785639345283E-2</v>
      </c>
      <c r="F595" s="16">
        <v>0.1027571764094925</v>
      </c>
    </row>
    <row r="596" spans="2:6" x14ac:dyDescent="0.35">
      <c r="B596" s="7" t="s">
        <v>170</v>
      </c>
      <c r="C596" s="16">
        <v>7.3584855805220936E-2</v>
      </c>
      <c r="D596" s="16">
        <v>-6.9053045308958838E-2</v>
      </c>
      <c r="E596" s="16">
        <v>-2.4086274254053811E-2</v>
      </c>
      <c r="F596" s="16">
        <v>-3.6173508196472581E-2</v>
      </c>
    </row>
    <row r="597" spans="2:6" x14ac:dyDescent="0.35">
      <c r="B597" s="7" t="s">
        <v>171</v>
      </c>
      <c r="C597" s="16">
        <v>-3.3225364919184888E-2</v>
      </c>
      <c r="D597" s="16">
        <v>-0.11408212721325672</v>
      </c>
      <c r="E597" s="16">
        <v>4.2003076476014464E-2</v>
      </c>
      <c r="F597" s="16">
        <v>-5.1900624303732365E-2</v>
      </c>
    </row>
    <row r="598" spans="2:6" x14ac:dyDescent="0.35">
      <c r="B598" s="7" t="s">
        <v>172</v>
      </c>
      <c r="C598" s="16">
        <v>-7.2711147290639419E-2</v>
      </c>
      <c r="D598" s="16">
        <v>-7.5345934917543878E-2</v>
      </c>
      <c r="E598" s="16">
        <v>2.8906124639812285E-2</v>
      </c>
      <c r="F598" s="16">
        <v>-4.8770717014170427E-2</v>
      </c>
    </row>
    <row r="599" spans="2:6" x14ac:dyDescent="0.35">
      <c r="B599" s="7" t="s">
        <v>173</v>
      </c>
      <c r="C599" s="16">
        <v>-5.4046382569820528E-2</v>
      </c>
      <c r="D599" s="16">
        <v>-0.14535424692256957</v>
      </c>
      <c r="E599" s="16">
        <v>3.4076666567067392E-2</v>
      </c>
      <c r="F599" s="16">
        <v>-9.8055504073252989E-2</v>
      </c>
    </row>
    <row r="600" spans="2:6" x14ac:dyDescent="0.35">
      <c r="B600" s="7" t="s">
        <v>174</v>
      </c>
      <c r="C600" s="16">
        <v>-4.9059505962106058E-2</v>
      </c>
      <c r="D600" s="16">
        <v>-0.11553749715734385</v>
      </c>
      <c r="E600" s="16">
        <v>3.9233816535071478E-2</v>
      </c>
      <c r="F600" s="16">
        <v>-6.9456945994349178E-2</v>
      </c>
    </row>
    <row r="601" spans="2:6" x14ac:dyDescent="0.35">
      <c r="B601" s="7" t="s">
        <v>175</v>
      </c>
      <c r="C601" s="16">
        <v>-3.1632726093458588E-2</v>
      </c>
      <c r="D601" s="16">
        <v>-5.7925602698078088E-2</v>
      </c>
      <c r="E601" s="16">
        <v>4.0435202637685401E-2</v>
      </c>
      <c r="F601" s="16">
        <v>-6.4779909002966304E-2</v>
      </c>
    </row>
    <row r="602" spans="2:6" x14ac:dyDescent="0.35">
      <c r="B602" s="7" t="s">
        <v>176</v>
      </c>
      <c r="C602" s="16">
        <v>0.11043831253684494</v>
      </c>
      <c r="D602" s="16">
        <v>-4.073643390252393E-3</v>
      </c>
      <c r="E602" s="16">
        <v>-3.8350105795115601E-2</v>
      </c>
      <c r="F602" s="16">
        <v>9.1528829611307091E-3</v>
      </c>
    </row>
    <row r="603" spans="2:6" x14ac:dyDescent="0.35">
      <c r="B603" s="7" t="s">
        <v>177</v>
      </c>
      <c r="C603" s="16">
        <v>-9.6201715411247946E-2</v>
      </c>
      <c r="D603" s="16">
        <v>-0.17867148807703759</v>
      </c>
      <c r="E603" s="16">
        <v>2.4956090741327874E-2</v>
      </c>
      <c r="F603" s="16">
        <v>-7.810466160325534E-2</v>
      </c>
    </row>
    <row r="604" spans="2:6" x14ac:dyDescent="0.35">
      <c r="B604" s="7" t="s">
        <v>178</v>
      </c>
      <c r="C604" s="16">
        <v>6.5527415049982787E-2</v>
      </c>
      <c r="D604" s="16">
        <v>-4.1965463988470696E-2</v>
      </c>
      <c r="E604" s="16">
        <v>-1.7248286434288444E-2</v>
      </c>
      <c r="F604" s="16">
        <v>-2.7542891028756403E-3</v>
      </c>
    </row>
    <row r="605" spans="2:6" x14ac:dyDescent="0.35">
      <c r="B605" s="7" t="s">
        <v>179</v>
      </c>
      <c r="C605" s="16">
        <v>-6.9232292075859514E-2</v>
      </c>
      <c r="D605" s="16">
        <v>-0.10037786791867785</v>
      </c>
      <c r="E605" s="16">
        <v>3.7184846688316411E-2</v>
      </c>
      <c r="F605" s="16">
        <v>-6.313581494031778E-2</v>
      </c>
    </row>
    <row r="606" spans="2:6" x14ac:dyDescent="0.35">
      <c r="B606" s="7" t="s">
        <v>180</v>
      </c>
      <c r="C606" s="16">
        <v>-1.6443288008457426E-2</v>
      </c>
      <c r="D606" s="16">
        <v>-9.7331408360112018E-2</v>
      </c>
      <c r="E606" s="16">
        <v>3.6624699602517193E-2</v>
      </c>
      <c r="F606" s="16">
        <v>-0.11304849461488635</v>
      </c>
    </row>
    <row r="607" spans="2:6" x14ac:dyDescent="0.35">
      <c r="B607" s="7" t="s">
        <v>181</v>
      </c>
      <c r="C607" s="16">
        <v>2.6763503839696525E-2</v>
      </c>
      <c r="D607" s="16">
        <v>-0.11323437833014191</v>
      </c>
      <c r="E607" s="16">
        <v>-9.3886099678223797E-2</v>
      </c>
      <c r="F607" s="16">
        <v>5.5423737398223927E-2</v>
      </c>
    </row>
    <row r="608" spans="2:6" x14ac:dyDescent="0.35">
      <c r="B608" s="7" t="s">
        <v>182</v>
      </c>
      <c r="C608" s="16">
        <v>8.3738864934202427E-3</v>
      </c>
      <c r="D608" s="16">
        <v>-8.3373317603104596E-2</v>
      </c>
      <c r="E608" s="16">
        <v>-7.5759299779697989E-2</v>
      </c>
      <c r="F608" s="16">
        <v>6.9584079873725904E-2</v>
      </c>
    </row>
    <row r="609" spans="2:6" x14ac:dyDescent="0.35">
      <c r="B609" s="7" t="s">
        <v>183</v>
      </c>
      <c r="C609" s="16">
        <v>2.9790873826599201E-2</v>
      </c>
      <c r="D609" s="16">
        <v>-3.8077167017204015E-3</v>
      </c>
      <c r="E609" s="16">
        <v>-6.300462273338707E-2</v>
      </c>
      <c r="F609" s="16">
        <v>7.0993778479250882E-2</v>
      </c>
    </row>
    <row r="610" spans="2:6" x14ac:dyDescent="0.35">
      <c r="B610" s="7" t="s">
        <v>184</v>
      </c>
      <c r="C610" s="16">
        <v>-7.1449618967858258E-2</v>
      </c>
      <c r="D610" s="16">
        <v>-0.1305717238266941</v>
      </c>
      <c r="E610" s="16">
        <v>5.8861051911511003E-2</v>
      </c>
      <c r="F610" s="16">
        <v>-4.4535749953043845E-2</v>
      </c>
    </row>
    <row r="611" spans="2:6" x14ac:dyDescent="0.35">
      <c r="B611" s="7" t="s">
        <v>185</v>
      </c>
      <c r="C611" s="16">
        <v>1.5317506551061981E-2</v>
      </c>
      <c r="D611" s="16">
        <v>1.8995158135600664E-2</v>
      </c>
      <c r="E611" s="16">
        <v>-0.12690623092808817</v>
      </c>
      <c r="F611" s="16">
        <v>0.10764656933302277</v>
      </c>
    </row>
    <row r="612" spans="2:6" x14ac:dyDescent="0.35">
      <c r="B612" s="7" t="s">
        <v>186</v>
      </c>
      <c r="C612" s="16">
        <v>4.4606951583304758E-2</v>
      </c>
      <c r="D612" s="16">
        <v>-7.2660178613075485E-2</v>
      </c>
      <c r="E612" s="16">
        <v>-4.1647440963621933E-2</v>
      </c>
      <c r="F612" s="16">
        <v>3.334631233837787E-2</v>
      </c>
    </row>
    <row r="613" spans="2:6" x14ac:dyDescent="0.35">
      <c r="B613" s="7" t="s">
        <v>187</v>
      </c>
      <c r="C613" s="16">
        <v>4.6328422224144886E-3</v>
      </c>
      <c r="D613" s="16">
        <v>-1.8401206346973929E-2</v>
      </c>
      <c r="E613" s="16">
        <v>2.6579320189807725E-2</v>
      </c>
      <c r="F613" s="16">
        <v>0.10931248880773363</v>
      </c>
    </row>
    <row r="614" spans="2:6" x14ac:dyDescent="0.35">
      <c r="B614" s="7" t="s">
        <v>188</v>
      </c>
      <c r="C614" s="16">
        <v>-0.10524759069868547</v>
      </c>
      <c r="D614" s="16">
        <v>-0.14449917685330352</v>
      </c>
      <c r="E614" s="16">
        <v>4.9657430717278107E-2</v>
      </c>
      <c r="F614" s="16">
        <v>-6.2725044557960685E-2</v>
      </c>
    </row>
    <row r="615" spans="2:6" x14ac:dyDescent="0.35">
      <c r="B615" s="7" t="s">
        <v>189</v>
      </c>
      <c r="C615" s="16">
        <v>8.0706481820539674E-2</v>
      </c>
      <c r="D615" s="16">
        <v>1.3320571868689473E-2</v>
      </c>
      <c r="E615" s="16">
        <v>-2.2806804085940217E-2</v>
      </c>
      <c r="F615" s="16">
        <v>2.9160651864312142E-2</v>
      </c>
    </row>
    <row r="616" spans="2:6" x14ac:dyDescent="0.35">
      <c r="B616" s="7" t="s">
        <v>190</v>
      </c>
      <c r="C616" s="16">
        <v>5.0206577315001742E-2</v>
      </c>
      <c r="D616" s="16">
        <v>-7.9339022382231783E-2</v>
      </c>
      <c r="E616" s="16">
        <v>-7.6694621684511452E-2</v>
      </c>
      <c r="F616" s="16">
        <v>2.6403185044108747E-2</v>
      </c>
    </row>
    <row r="617" spans="2:6" x14ac:dyDescent="0.35">
      <c r="B617" s="7" t="s">
        <v>191</v>
      </c>
      <c r="C617" s="16">
        <v>7.5167119994673667E-2</v>
      </c>
      <c r="D617" s="16">
        <v>2.4578070570298167E-2</v>
      </c>
      <c r="E617" s="16">
        <v>-3.8743260463658009E-2</v>
      </c>
      <c r="F617" s="16">
        <v>0.10587410137255503</v>
      </c>
    </row>
    <row r="618" spans="2:6" x14ac:dyDescent="0.35">
      <c r="B618" s="7" t="s">
        <v>192</v>
      </c>
      <c r="C618" s="16">
        <v>-6.3458553544491994E-2</v>
      </c>
      <c r="D618" s="16">
        <v>-0.10925636334408255</v>
      </c>
      <c r="E618" s="16">
        <v>5.0452825273244455E-2</v>
      </c>
      <c r="F618" s="16">
        <v>-5.4459036798370927E-2</v>
      </c>
    </row>
    <row r="619" spans="2:6" x14ac:dyDescent="0.35">
      <c r="B619" s="7" t="s">
        <v>193</v>
      </c>
      <c r="C619" s="16">
        <v>2.6834253858071651E-2</v>
      </c>
      <c r="D619" s="16">
        <v>-6.6321107822011408E-2</v>
      </c>
      <c r="E619" s="16">
        <v>-8.6022706337696347E-2</v>
      </c>
      <c r="F619" s="16">
        <v>9.3101988788606024E-2</v>
      </c>
    </row>
    <row r="620" spans="2:6" x14ac:dyDescent="0.35">
      <c r="B620" s="7" t="s">
        <v>194</v>
      </c>
      <c r="C620" s="16">
        <v>-1.5887513071303225E-3</v>
      </c>
      <c r="D620" s="16">
        <v>-3.3487281503747614E-2</v>
      </c>
      <c r="E620" s="16">
        <v>-7.580797192440944E-2</v>
      </c>
      <c r="F620" s="16">
        <v>0.12256619356960675</v>
      </c>
    </row>
    <row r="621" spans="2:6" x14ac:dyDescent="0.35">
      <c r="B621" s="7" t="s">
        <v>195</v>
      </c>
      <c r="C621" s="16">
        <v>8.3612293344196027E-3</v>
      </c>
      <c r="D621" s="16">
        <v>-4.2092041557405625E-2</v>
      </c>
      <c r="E621" s="16">
        <v>-3.3504023806122628E-2</v>
      </c>
      <c r="F621" s="16">
        <v>9.368677317275953E-2</v>
      </c>
    </row>
    <row r="622" spans="2:6" x14ac:dyDescent="0.35">
      <c r="B622" s="7" t="s">
        <v>196</v>
      </c>
      <c r="C622" s="16">
        <v>-2.1519731162137356E-2</v>
      </c>
      <c r="D622" s="16">
        <v>-1.2110408021074444E-2</v>
      </c>
      <c r="E622" s="16">
        <v>-5.1988009022108005E-2</v>
      </c>
      <c r="F622" s="16">
        <v>0.12217828384615805</v>
      </c>
    </row>
    <row r="623" spans="2:6" x14ac:dyDescent="0.35">
      <c r="B623" s="7" t="s">
        <v>197</v>
      </c>
      <c r="C623" s="16">
        <v>1.6970589024253802E-2</v>
      </c>
      <c r="D623" s="16">
        <v>-5.8593563113423598E-2</v>
      </c>
      <c r="E623" s="16">
        <v>-3.3477006566161496E-2</v>
      </c>
      <c r="F623" s="16">
        <v>8.6068007329854743E-2</v>
      </c>
    </row>
    <row r="624" spans="2:6" x14ac:dyDescent="0.35">
      <c r="B624" s="7" t="s">
        <v>198</v>
      </c>
      <c r="C624" s="16">
        <v>8.620008849996931E-2</v>
      </c>
      <c r="D624" s="16">
        <v>2.9468142747432042E-3</v>
      </c>
      <c r="E624" s="16">
        <v>-2.0920170388482796E-2</v>
      </c>
      <c r="F624" s="16">
        <v>4.4326293521319018E-2</v>
      </c>
    </row>
    <row r="625" spans="2:6" x14ac:dyDescent="0.35">
      <c r="B625" s="7" t="s">
        <v>199</v>
      </c>
      <c r="C625" s="16">
        <v>4.3917620351152223E-2</v>
      </c>
      <c r="D625" s="16">
        <v>-4.5747530195639687E-2</v>
      </c>
      <c r="E625" s="16">
        <v>-8.9414597782693991E-2</v>
      </c>
      <c r="F625" s="16">
        <v>8.6114359048542574E-2</v>
      </c>
    </row>
    <row r="626" spans="2:6" x14ac:dyDescent="0.35">
      <c r="B626" s="7" t="s">
        <v>200</v>
      </c>
      <c r="C626" s="16">
        <v>-5.7540455774893459E-2</v>
      </c>
      <c r="D626" s="16">
        <v>2.8999687497551246E-2</v>
      </c>
      <c r="E626" s="16">
        <v>-3.4696896170670635E-2</v>
      </c>
      <c r="F626" s="16">
        <v>6.3674398811034913E-2</v>
      </c>
    </row>
    <row r="627" spans="2:6" x14ac:dyDescent="0.35">
      <c r="B627" s="7" t="s">
        <v>201</v>
      </c>
      <c r="C627" s="16">
        <v>-5.5236346212853275E-2</v>
      </c>
      <c r="D627" s="16">
        <v>3.8265356502631589E-2</v>
      </c>
      <c r="E627" s="16">
        <v>-3.2107280306660199E-2</v>
      </c>
      <c r="F627" s="16">
        <v>7.1404943423756972E-2</v>
      </c>
    </row>
    <row r="628" spans="2:6" x14ac:dyDescent="0.35">
      <c r="B628" s="7" t="s">
        <v>202</v>
      </c>
      <c r="C628" s="16">
        <v>3.1617414900190863E-2</v>
      </c>
      <c r="D628" s="16">
        <v>-4.1329658841816636E-2</v>
      </c>
      <c r="E628" s="16">
        <v>-8.0223257371724296E-2</v>
      </c>
      <c r="F628" s="16">
        <v>0.11534586357328575</v>
      </c>
    </row>
    <row r="629" spans="2:6" x14ac:dyDescent="0.35">
      <c r="B629" s="7" t="s">
        <v>203</v>
      </c>
      <c r="C629" s="16">
        <v>-4.9517152370333793E-2</v>
      </c>
      <c r="D629" s="16">
        <v>3.0624223625582554E-2</v>
      </c>
      <c r="E629" s="16">
        <v>-3.2556476333072973E-2</v>
      </c>
      <c r="F629" s="16">
        <v>9.1197285995742658E-2</v>
      </c>
    </row>
    <row r="630" spans="2:6" x14ac:dyDescent="0.35">
      <c r="B630" s="7" t="s">
        <v>204</v>
      </c>
      <c r="C630" s="16">
        <v>-3.0108187748565566E-5</v>
      </c>
      <c r="D630" s="16">
        <v>-2.3543186352083783E-2</v>
      </c>
      <c r="E630" s="16">
        <v>-7.7384246844735549E-2</v>
      </c>
      <c r="F630" s="16">
        <v>0.1256850270891556</v>
      </c>
    </row>
    <row r="631" spans="2:6" x14ac:dyDescent="0.35">
      <c r="B631" s="7" t="s">
        <v>205</v>
      </c>
      <c r="C631" s="16">
        <v>3.2085109104433678E-2</v>
      </c>
      <c r="D631" s="16">
        <v>-2.7423880400251927E-2</v>
      </c>
      <c r="E631" s="16">
        <v>-9.3336309807106693E-2</v>
      </c>
      <c r="F631" s="16">
        <v>0.10960574461805965</v>
      </c>
    </row>
    <row r="632" spans="2:6" x14ac:dyDescent="0.35">
      <c r="B632" s="7" t="s">
        <v>206</v>
      </c>
      <c r="C632" s="16">
        <v>1.6154459237732205E-2</v>
      </c>
      <c r="D632" s="16">
        <v>-1.1154188823522071E-2</v>
      </c>
      <c r="E632" s="16">
        <v>-7.7410675587472222E-2</v>
      </c>
      <c r="F632" s="16">
        <v>0.12565383790692741</v>
      </c>
    </row>
    <row r="633" spans="2:6" x14ac:dyDescent="0.35">
      <c r="B633" s="7" t="s">
        <v>207</v>
      </c>
      <c r="C633" s="16">
        <v>-5.0518239894638394E-3</v>
      </c>
      <c r="D633" s="16">
        <v>-1.4584837770672744E-2</v>
      </c>
      <c r="E633" s="16">
        <v>-9.3932798429437955E-2</v>
      </c>
      <c r="F633" s="16">
        <v>0.13814320408051281</v>
      </c>
    </row>
    <row r="634" spans="2:6" x14ac:dyDescent="0.35">
      <c r="B634" s="7" t="s">
        <v>208</v>
      </c>
      <c r="C634" s="16">
        <v>-1.3543733659225822E-3</v>
      </c>
      <c r="D634" s="16">
        <v>-0.11467173520665039</v>
      </c>
      <c r="E634" s="16">
        <v>3.066703710131615E-3</v>
      </c>
      <c r="F634" s="16">
        <v>5.2563431176843194E-2</v>
      </c>
    </row>
    <row r="635" spans="2:6" x14ac:dyDescent="0.35">
      <c r="B635" s="7" t="s">
        <v>209</v>
      </c>
      <c r="C635" s="16">
        <v>-0.11510865304888226</v>
      </c>
      <c r="D635" s="16">
        <v>-4.0752308258598484E-3</v>
      </c>
      <c r="E635" s="16">
        <v>-1.8411230751594492E-2</v>
      </c>
      <c r="F635" s="16">
        <v>2.049889629935139E-2</v>
      </c>
    </row>
    <row r="636" spans="2:6" x14ac:dyDescent="0.35">
      <c r="B636" s="7" t="s">
        <v>210</v>
      </c>
      <c r="C636" s="16">
        <v>-4.2248750256680019E-2</v>
      </c>
      <c r="D636" s="16">
        <v>1.9631651083436071E-2</v>
      </c>
      <c r="E636" s="16">
        <v>-2.7685021823695075E-2</v>
      </c>
      <c r="F636" s="16">
        <v>9.24711827861599E-2</v>
      </c>
    </row>
    <row r="637" spans="2:6" x14ac:dyDescent="0.35">
      <c r="B637" s="7" t="s">
        <v>211</v>
      </c>
      <c r="C637" s="16">
        <v>-3.0924129123661447E-2</v>
      </c>
      <c r="D637" s="16">
        <v>4.2201123315617178E-2</v>
      </c>
      <c r="E637" s="16">
        <v>-1.6505542068401522E-2</v>
      </c>
      <c r="F637" s="16">
        <v>0.12944613621030715</v>
      </c>
    </row>
    <row r="638" spans="2:6" x14ac:dyDescent="0.35">
      <c r="B638" s="7" t="s">
        <v>212</v>
      </c>
      <c r="C638" s="16">
        <v>-1.368144435462172E-2</v>
      </c>
      <c r="D638" s="16">
        <v>1.4941951460592431E-2</v>
      </c>
      <c r="E638" s="16">
        <v>-0.1227396918108795</v>
      </c>
      <c r="F638" s="16">
        <v>5.2453596333993664E-2</v>
      </c>
    </row>
    <row r="639" spans="2:6" x14ac:dyDescent="0.35">
      <c r="B639" s="7" t="s">
        <v>213</v>
      </c>
      <c r="C639" s="16">
        <v>-0.1457028311364873</v>
      </c>
      <c r="D639" s="16">
        <v>5.3063616979386559E-2</v>
      </c>
      <c r="E639" s="16">
        <v>7.4305432481154565E-3</v>
      </c>
      <c r="F639" s="16">
        <v>3.4918760210631603E-2</v>
      </c>
    </row>
    <row r="640" spans="2:6" x14ac:dyDescent="0.35">
      <c r="B640" s="7" t="s">
        <v>214</v>
      </c>
      <c r="C640" s="16">
        <v>-3.6806022429454265E-2</v>
      </c>
      <c r="D640" s="16">
        <v>3.3570243553539034E-2</v>
      </c>
      <c r="E640" s="16">
        <v>-8.4324904258301966E-3</v>
      </c>
      <c r="F640" s="16">
        <v>0.10528103499435254</v>
      </c>
    </row>
    <row r="641" spans="2:6" x14ac:dyDescent="0.35">
      <c r="B641" s="7" t="s">
        <v>215</v>
      </c>
      <c r="C641" s="16">
        <v>-4.5272571166175703E-2</v>
      </c>
      <c r="D641" s="16">
        <v>1.7750417154759928E-2</v>
      </c>
      <c r="E641" s="16">
        <v>-1.8744765692785447E-2</v>
      </c>
      <c r="F641" s="16">
        <v>8.3214659629644819E-2</v>
      </c>
    </row>
    <row r="642" spans="2:6" x14ac:dyDescent="0.35">
      <c r="B642" s="7" t="s">
        <v>216</v>
      </c>
      <c r="C642" s="16">
        <v>-0.11112796593018984</v>
      </c>
      <c r="D642" s="16">
        <v>5.6639239067504406E-2</v>
      </c>
      <c r="E642" s="16">
        <v>4.0827300507191222E-3</v>
      </c>
      <c r="F642" s="16">
        <v>6.3368797542780492E-2</v>
      </c>
    </row>
    <row r="643" spans="2:6" x14ac:dyDescent="0.35">
      <c r="B643" s="7" t="s">
        <v>217</v>
      </c>
      <c r="C643" s="16">
        <v>2.3238537951063745E-2</v>
      </c>
      <c r="D643" s="16">
        <v>-4.1902531555868962E-2</v>
      </c>
      <c r="E643" s="16">
        <v>-6.2354136777213111E-2</v>
      </c>
      <c r="F643" s="16">
        <v>9.4793117473454341E-2</v>
      </c>
    </row>
    <row r="644" spans="2:6" x14ac:dyDescent="0.35">
      <c r="B644" s="7" t="s">
        <v>218</v>
      </c>
      <c r="C644" s="16">
        <v>-0.14084198124449288</v>
      </c>
      <c r="D644" s="16">
        <v>7.7511764614441231E-2</v>
      </c>
      <c r="E644" s="16">
        <v>5.268057977623445E-2</v>
      </c>
      <c r="F644" s="16">
        <v>8.908099883669035E-2</v>
      </c>
    </row>
    <row r="645" spans="2:6" x14ac:dyDescent="0.35">
      <c r="B645" s="7" t="s">
        <v>219</v>
      </c>
      <c r="C645" s="16">
        <v>1.7479120920036471E-2</v>
      </c>
      <c r="D645" s="16">
        <v>-4.8425215342703137E-2</v>
      </c>
      <c r="E645" s="16">
        <v>-7.8357777729408745E-2</v>
      </c>
      <c r="F645" s="16">
        <v>0.10348265090100565</v>
      </c>
    </row>
    <row r="646" spans="2:6" x14ac:dyDescent="0.35">
      <c r="B646" s="7" t="s">
        <v>220</v>
      </c>
      <c r="C646" s="16">
        <v>-4.3175535986433783E-2</v>
      </c>
      <c r="D646" s="16">
        <v>-5.2332951057988762E-2</v>
      </c>
      <c r="E646" s="16">
        <v>-0.19654519337019627</v>
      </c>
      <c r="F646" s="16">
        <v>7.4322890391936833E-2</v>
      </c>
    </row>
    <row r="647" spans="2:6" x14ac:dyDescent="0.35">
      <c r="B647" s="7" t="s">
        <v>221</v>
      </c>
      <c r="C647" s="16">
        <v>-5.4057553612160504E-2</v>
      </c>
      <c r="D647" s="16">
        <v>2.4775071800454671E-2</v>
      </c>
      <c r="E647" s="16">
        <v>-2.4454768484651508E-2</v>
      </c>
      <c r="F647" s="16">
        <v>8.8368267117987218E-2</v>
      </c>
    </row>
    <row r="648" spans="2:6" x14ac:dyDescent="0.35">
      <c r="B648" s="7" t="s">
        <v>222</v>
      </c>
      <c r="C648" s="16">
        <v>-2.365096588456974E-2</v>
      </c>
      <c r="D648" s="16">
        <v>1.7195145496269774E-2</v>
      </c>
      <c r="E648" s="16">
        <v>-6.9727662253140615E-2</v>
      </c>
      <c r="F648" s="16">
        <v>0.10816215980033989</v>
      </c>
    </row>
    <row r="649" spans="2:6" x14ac:dyDescent="0.35">
      <c r="B649" s="7" t="s">
        <v>223</v>
      </c>
      <c r="C649" s="16">
        <v>5.9713910869371618E-3</v>
      </c>
      <c r="D649" s="16">
        <v>-2.312589617545394E-2</v>
      </c>
      <c r="E649" s="16">
        <v>-8.5186039592329676E-2</v>
      </c>
      <c r="F649" s="16">
        <v>9.2529282036867555E-2</v>
      </c>
    </row>
    <row r="650" spans="2:6" x14ac:dyDescent="0.35">
      <c r="B650" s="7" t="s">
        <v>224</v>
      </c>
      <c r="C650" s="16">
        <v>-1.5371504138914416E-2</v>
      </c>
      <c r="D650" s="16">
        <v>-2.4420852579241852E-2</v>
      </c>
      <c r="E650" s="16">
        <v>-6.7427211308482685E-2</v>
      </c>
      <c r="F650" s="16">
        <v>9.8486646331777825E-2</v>
      </c>
    </row>
    <row r="651" spans="2:6" x14ac:dyDescent="0.35">
      <c r="B651" s="7" t="s">
        <v>225</v>
      </c>
      <c r="C651" s="16">
        <v>4.5202795267469238E-2</v>
      </c>
      <c r="D651" s="16">
        <v>-6.8167147907954292E-2</v>
      </c>
      <c r="E651" s="16">
        <v>-6.4711036644012634E-2</v>
      </c>
      <c r="F651" s="16">
        <v>3.4804576973734826E-2</v>
      </c>
    </row>
    <row r="652" spans="2:6" x14ac:dyDescent="0.35">
      <c r="B652" s="7" t="s">
        <v>226</v>
      </c>
      <c r="C652" s="16">
        <v>4.3337206867473915E-2</v>
      </c>
      <c r="D652" s="16">
        <v>-6.1729429196248319E-2</v>
      </c>
      <c r="E652" s="16">
        <v>-6.4998779320486921E-2</v>
      </c>
      <c r="F652" s="16">
        <v>4.1155088931905726E-2</v>
      </c>
    </row>
    <row r="653" spans="2:6" x14ac:dyDescent="0.35">
      <c r="B653" s="7" t="s">
        <v>227</v>
      </c>
      <c r="C653" s="16">
        <v>2.7022138304407636E-2</v>
      </c>
      <c r="D653" s="16">
        <v>-4.8117245575959228E-2</v>
      </c>
      <c r="E653" s="16">
        <v>-6.5730542856623525E-2</v>
      </c>
      <c r="F653" s="16">
        <v>5.9134378050551502E-2</v>
      </c>
    </row>
    <row r="654" spans="2:6" x14ac:dyDescent="0.35">
      <c r="B654" s="7" t="s">
        <v>228</v>
      </c>
      <c r="C654" s="16">
        <v>1.5248325746884105E-2</v>
      </c>
      <c r="D654" s="16">
        <v>-2.6076843853277441E-2</v>
      </c>
      <c r="E654" s="16">
        <v>-6.6024326893038443E-2</v>
      </c>
      <c r="F654" s="16">
        <v>6.7716482199574088E-2</v>
      </c>
    </row>
    <row r="655" spans="2:6" x14ac:dyDescent="0.35">
      <c r="B655" s="7" t="s">
        <v>229</v>
      </c>
      <c r="C655" s="16">
        <v>2.3664142752792088E-2</v>
      </c>
      <c r="D655" s="16">
        <v>-1.2676957878994916E-2</v>
      </c>
      <c r="E655" s="16">
        <v>-9.2587401175359005E-2</v>
      </c>
      <c r="F655" s="16">
        <v>0.11382878418713402</v>
      </c>
    </row>
    <row r="656" spans="2:6" x14ac:dyDescent="0.35">
      <c r="B656" s="7" t="s">
        <v>230</v>
      </c>
      <c r="C656" s="16">
        <v>7.3017820630939187E-2</v>
      </c>
      <c r="D656" s="16">
        <v>1.7955780209763895E-2</v>
      </c>
      <c r="E656" s="16">
        <v>-4.237461383585743E-2</v>
      </c>
      <c r="F656" s="16">
        <v>5.0835213937908588E-2</v>
      </c>
    </row>
    <row r="657" spans="2:6" x14ac:dyDescent="0.35">
      <c r="B657" s="7" t="s">
        <v>231</v>
      </c>
      <c r="C657" s="16">
        <v>6.7738062515195221E-2</v>
      </c>
      <c r="D657" s="16">
        <v>3.1540748612358921E-2</v>
      </c>
      <c r="E657" s="16">
        <v>-4.5436005120546616E-2</v>
      </c>
      <c r="F657" s="16">
        <v>6.4021277095297119E-2</v>
      </c>
    </row>
    <row r="658" spans="2:6" x14ac:dyDescent="0.35">
      <c r="B658" s="7" t="s">
        <v>232</v>
      </c>
      <c r="C658" s="16">
        <v>8.2782499048808744E-2</v>
      </c>
      <c r="D658" s="16">
        <v>1.9188388934504051E-2</v>
      </c>
      <c r="E658" s="16">
        <v>-2.1225147103842892E-2</v>
      </c>
      <c r="F658" s="16">
        <v>5.5296059892714397E-2</v>
      </c>
    </row>
    <row r="659" spans="2:6" x14ac:dyDescent="0.35">
      <c r="B659" s="7" t="s">
        <v>233</v>
      </c>
      <c r="C659" s="16">
        <v>9.7690768430749225E-2</v>
      </c>
      <c r="D659" s="16">
        <v>1.5344802563604914E-2</v>
      </c>
      <c r="E659" s="16">
        <v>-4.3701622976585794E-2</v>
      </c>
      <c r="F659" s="16">
        <v>3.1649437354143536E-2</v>
      </c>
    </row>
    <row r="660" spans="2:6" x14ac:dyDescent="0.35">
      <c r="B660" s="7" t="s">
        <v>234</v>
      </c>
      <c r="C660" s="16">
        <v>0.10853556734679751</v>
      </c>
      <c r="D660" s="16">
        <v>-3.2337598428980902E-2</v>
      </c>
      <c r="E660" s="16">
        <v>-6.1372675017092426E-2</v>
      </c>
      <c r="F660" s="16">
        <v>-6.3717079516641198E-2</v>
      </c>
    </row>
    <row r="661" spans="2:6" x14ac:dyDescent="0.35">
      <c r="B661" s="7" t="s">
        <v>235</v>
      </c>
      <c r="C661" s="16">
        <v>0.10800301232501047</v>
      </c>
      <c r="D661" s="16">
        <v>-1.6498060487926094E-2</v>
      </c>
      <c r="E661" s="16">
        <v>-7.411504326522067E-2</v>
      </c>
      <c r="F661" s="16">
        <v>-5.9856806410610669E-2</v>
      </c>
    </row>
    <row r="662" spans="2:6" x14ac:dyDescent="0.35">
      <c r="B662" s="7" t="s">
        <v>236</v>
      </c>
      <c r="C662" s="16">
        <v>8.7852423011494762E-2</v>
      </c>
      <c r="D662" s="16">
        <v>-1.7721402928225702E-2</v>
      </c>
      <c r="E662" s="16">
        <v>1.1053671614402215E-3</v>
      </c>
      <c r="F662" s="16">
        <v>1.3112142182220871E-2</v>
      </c>
    </row>
    <row r="663" spans="2:6" x14ac:dyDescent="0.35">
      <c r="B663" s="7" t="s">
        <v>237</v>
      </c>
      <c r="C663" s="16">
        <v>7.761703518365759E-2</v>
      </c>
      <c r="D663" s="16">
        <v>-1.2465128881051427E-2</v>
      </c>
      <c r="E663" s="16">
        <v>-4.315655817824884E-3</v>
      </c>
      <c r="F663" s="16">
        <v>2.2498634562815697E-2</v>
      </c>
    </row>
    <row r="664" spans="2:6" x14ac:dyDescent="0.35">
      <c r="B664" s="7" t="s">
        <v>238</v>
      </c>
      <c r="C664" s="16">
        <v>7.1099924428436267E-2</v>
      </c>
      <c r="D664" s="16">
        <v>1.4806577768025778E-3</v>
      </c>
      <c r="E664" s="16">
        <v>-9.6689529826972792E-3</v>
      </c>
      <c r="F664" s="16">
        <v>3.5540354886587834E-2</v>
      </c>
    </row>
    <row r="665" spans="2:6" x14ac:dyDescent="0.35">
      <c r="B665" s="7" t="s">
        <v>239</v>
      </c>
      <c r="C665" s="16">
        <v>8.7877704473124332E-2</v>
      </c>
      <c r="D665" s="16">
        <v>-3.7195503110227665E-2</v>
      </c>
      <c r="E665" s="16">
        <v>-2.2339954659341158E-3</v>
      </c>
      <c r="F665" s="16">
        <v>-1.0971432154804226E-2</v>
      </c>
    </row>
    <row r="666" spans="2:6" x14ac:dyDescent="0.35">
      <c r="B666" s="7" t="s">
        <v>240</v>
      </c>
      <c r="C666" s="16">
        <v>8.5273920576212831E-2</v>
      </c>
      <c r="D666" s="16">
        <v>-1.7237003676762629E-2</v>
      </c>
      <c r="E666" s="16">
        <v>1.8679541576675778E-3</v>
      </c>
      <c r="F666" s="16">
        <v>4.9754801955903954E-3</v>
      </c>
    </row>
    <row r="667" spans="2:6" x14ac:dyDescent="0.35">
      <c r="B667" s="7" t="s">
        <v>241</v>
      </c>
      <c r="C667" s="16">
        <v>5.6713202514387433E-2</v>
      </c>
      <c r="D667" s="16">
        <v>-2.3006911403437376E-3</v>
      </c>
      <c r="E667" s="16">
        <v>-1.4592838168948652E-2</v>
      </c>
      <c r="F667" s="16">
        <v>3.9070335565596158E-2</v>
      </c>
    </row>
    <row r="668" spans="2:6" x14ac:dyDescent="0.35">
      <c r="B668" s="7" t="s">
        <v>242</v>
      </c>
      <c r="C668" s="16">
        <v>5.2862373926884393E-2</v>
      </c>
      <c r="D668" s="16">
        <v>4.9369519175803209E-3</v>
      </c>
      <c r="E668" s="16">
        <v>-2.0790566935097784E-2</v>
      </c>
      <c r="F668" s="16">
        <v>4.3805820576796335E-2</v>
      </c>
    </row>
    <row r="669" spans="2:6" x14ac:dyDescent="0.35">
      <c r="B669" s="7" t="s">
        <v>243</v>
      </c>
      <c r="C669" s="16">
        <v>-1.31339522511112E-2</v>
      </c>
      <c r="D669" s="16">
        <v>5.2547530878041268E-3</v>
      </c>
      <c r="E669" s="16">
        <v>1.1757298473625579E-2</v>
      </c>
      <c r="F669" s="16">
        <v>9.563865700161879E-2</v>
      </c>
    </row>
    <row r="670" spans="2:6" x14ac:dyDescent="0.35">
      <c r="B670" s="7" t="s">
        <v>244</v>
      </c>
      <c r="C670" s="16">
        <v>-2.0675431837380756E-2</v>
      </c>
      <c r="D670" s="16">
        <v>1.716060236812738E-2</v>
      </c>
      <c r="E670" s="16">
        <v>-4.5653458920094812E-3</v>
      </c>
      <c r="F670" s="16">
        <v>8.9527960079003627E-2</v>
      </c>
    </row>
    <row r="671" spans="2:6" x14ac:dyDescent="0.35">
      <c r="B671" s="7" t="s">
        <v>245</v>
      </c>
      <c r="C671" s="16">
        <v>-6.9809854648924495E-3</v>
      </c>
      <c r="D671" s="16">
        <v>-7.8704902370799017E-3</v>
      </c>
      <c r="E671" s="16">
        <v>-8.7012488806753399E-2</v>
      </c>
      <c r="F671" s="16">
        <v>7.6921491452300678E-2</v>
      </c>
    </row>
    <row r="672" spans="2:6" x14ac:dyDescent="0.35">
      <c r="B672" s="7" t="s">
        <v>246</v>
      </c>
      <c r="C672" s="16">
        <v>9.1048917762971051E-3</v>
      </c>
      <c r="D672" s="16">
        <v>-7.9485104248145602E-2</v>
      </c>
      <c r="E672" s="16">
        <v>-1.1904644831269335E-2</v>
      </c>
      <c r="F672" s="16">
        <v>6.3368959938835831E-2</v>
      </c>
    </row>
    <row r="673" spans="2:6" x14ac:dyDescent="0.35">
      <c r="B673" s="7" t="s">
        <v>247</v>
      </c>
      <c r="C673" s="16">
        <v>-1.7829915444869459E-2</v>
      </c>
      <c r="D673" s="16">
        <v>6.2891294747162375E-4</v>
      </c>
      <c r="E673" s="16">
        <v>-2.288130057222448E-2</v>
      </c>
      <c r="F673" s="16">
        <v>-4.8576727599483352E-2</v>
      </c>
    </row>
    <row r="674" spans="2:6" x14ac:dyDescent="0.35">
      <c r="B674" s="7" t="s">
        <v>248</v>
      </c>
      <c r="C674" s="16">
        <v>-7.4288073203805149E-2</v>
      </c>
      <c r="D674" s="16">
        <v>-6.0104827609483297E-2</v>
      </c>
      <c r="E674" s="16">
        <v>2.9425029299271932E-2</v>
      </c>
      <c r="F674" s="16">
        <v>-4.1019683296971768E-2</v>
      </c>
    </row>
    <row r="675" spans="2:6" x14ac:dyDescent="0.35">
      <c r="B675" s="7" t="s">
        <v>249</v>
      </c>
      <c r="C675" s="16">
        <v>-6.3470007157156741E-2</v>
      </c>
      <c r="D675" s="16">
        <v>-8.7413971945536351E-2</v>
      </c>
      <c r="E675" s="16">
        <v>6.1992683864866227E-2</v>
      </c>
      <c r="F675" s="16">
        <v>-3.371598697178748E-2</v>
      </c>
    </row>
    <row r="676" spans="2:6" x14ac:dyDescent="0.35">
      <c r="B676" s="7" t="s">
        <v>250</v>
      </c>
      <c r="C676" s="16">
        <v>-5.8218692228090729E-2</v>
      </c>
      <c r="D676" s="16">
        <v>-6.5645532372741913E-2</v>
      </c>
      <c r="E676" s="16">
        <v>6.4718817057071554E-2</v>
      </c>
      <c r="F676" s="16">
        <v>-2.0176328581720804E-2</v>
      </c>
    </row>
    <row r="677" spans="2:6" x14ac:dyDescent="0.35">
      <c r="B677" s="7" t="s">
        <v>251</v>
      </c>
      <c r="C677" s="16">
        <v>-6.2849120869407402E-2</v>
      </c>
      <c r="D677" s="16">
        <v>-3.895439383437229E-2</v>
      </c>
      <c r="E677" s="16">
        <v>3.8665127981190484E-2</v>
      </c>
      <c r="F677" s="16">
        <v>-2.2527486801450124E-2</v>
      </c>
    </row>
    <row r="678" spans="2:6" x14ac:dyDescent="0.35">
      <c r="B678" s="7" t="s">
        <v>252</v>
      </c>
      <c r="C678" s="16">
        <v>-3.8948700527681006E-2</v>
      </c>
      <c r="D678" s="16">
        <v>-3.1170533319925139E-2</v>
      </c>
      <c r="E678" s="16">
        <v>6.3157180926110945E-2</v>
      </c>
      <c r="F678" s="16">
        <v>1.0395815196431723E-2</v>
      </c>
    </row>
    <row r="679" spans="2:6" x14ac:dyDescent="0.35">
      <c r="B679" s="7" t="s">
        <v>253</v>
      </c>
      <c r="C679" s="16">
        <v>-4.550934246871436E-2</v>
      </c>
      <c r="D679" s="16">
        <v>-2.7421512769319031E-2</v>
      </c>
      <c r="E679" s="16">
        <v>5.7667658969318927E-2</v>
      </c>
      <c r="F679" s="16">
        <v>9.4529260775677495E-3</v>
      </c>
    </row>
    <row r="680" spans="2:6" x14ac:dyDescent="0.35">
      <c r="B680" s="7" t="s">
        <v>254</v>
      </c>
      <c r="C680" s="16">
        <v>-4.0771112386108026E-2</v>
      </c>
      <c r="D680" s="16">
        <v>-1.175057941133606E-2</v>
      </c>
      <c r="E680" s="16">
        <v>5.9281980464957328E-2</v>
      </c>
      <c r="F680" s="16">
        <v>1.2599984330161233E-2</v>
      </c>
    </row>
    <row r="681" spans="2:6" x14ac:dyDescent="0.35">
      <c r="B681" s="7" t="s">
        <v>255</v>
      </c>
      <c r="C681" s="16">
        <v>-6.7083502154756391E-2</v>
      </c>
      <c r="D681" s="16">
        <v>-9.343526949832065E-2</v>
      </c>
      <c r="E681" s="16">
        <v>3.5922836121044605E-2</v>
      </c>
      <c r="F681" s="16">
        <v>-6.6909149993496939E-2</v>
      </c>
    </row>
    <row r="682" spans="2:6" x14ac:dyDescent="0.35">
      <c r="B682" s="7" t="s">
        <v>256</v>
      </c>
      <c r="C682" s="16">
        <v>-8.16679877700483E-2</v>
      </c>
      <c r="D682" s="16">
        <v>-3.5291731916125481E-2</v>
      </c>
      <c r="E682" s="16">
        <v>3.1588869692608039E-2</v>
      </c>
      <c r="F682" s="16">
        <v>-4.968587704720661E-2</v>
      </c>
    </row>
    <row r="683" spans="2:6" x14ac:dyDescent="0.35">
      <c r="B683" s="7" t="s">
        <v>257</v>
      </c>
      <c r="C683" s="16">
        <v>-7.3167176247230861E-2</v>
      </c>
      <c r="D683" s="16">
        <v>1.3253722452304008E-2</v>
      </c>
      <c r="E683" s="16">
        <v>3.2571681724581414E-2</v>
      </c>
      <c r="F683" s="16">
        <v>-3.1073814952878507E-2</v>
      </c>
    </row>
    <row r="684" spans="2:6" x14ac:dyDescent="0.35">
      <c r="B684" s="7" t="s">
        <v>258</v>
      </c>
      <c r="C684" s="16">
        <v>-6.1405071596158045E-2</v>
      </c>
      <c r="D684" s="16">
        <v>4.5366833856810854E-2</v>
      </c>
      <c r="E684" s="16">
        <v>4.4176003441036782E-2</v>
      </c>
      <c r="F684" s="16">
        <v>-8.1011340509723143E-3</v>
      </c>
    </row>
    <row r="685" spans="2:6" x14ac:dyDescent="0.35">
      <c r="B685" s="7" t="s">
        <v>259</v>
      </c>
      <c r="C685" s="16">
        <v>-2.8118982083642725E-2</v>
      </c>
      <c r="D685" s="16">
        <v>0.11655273054345562</v>
      </c>
      <c r="E685" s="16">
        <v>6.6051302387076891E-2</v>
      </c>
      <c r="F685" s="16">
        <v>3.6101853233662606E-2</v>
      </c>
    </row>
    <row r="686" spans="2:6" x14ac:dyDescent="0.35">
      <c r="B686" s="7" t="s">
        <v>260</v>
      </c>
      <c r="C686" s="16">
        <v>3.3698977044075644E-2</v>
      </c>
      <c r="D686" s="16">
        <v>4.9749286195553914E-3</v>
      </c>
      <c r="E686" s="16">
        <v>7.3126186543337524E-2</v>
      </c>
      <c r="F686" s="16">
        <v>-2.6188084774475092E-2</v>
      </c>
    </row>
    <row r="687" spans="2:6" x14ac:dyDescent="0.35">
      <c r="B687" s="7" t="s">
        <v>261</v>
      </c>
      <c r="C687" s="16">
        <v>3.3950697689929574E-2</v>
      </c>
      <c r="D687" s="16">
        <v>3.0802918663843857E-2</v>
      </c>
      <c r="E687" s="16">
        <v>0.12133594419145161</v>
      </c>
      <c r="F687" s="16">
        <v>-2.4833967953930596E-2</v>
      </c>
    </row>
    <row r="688" spans="2:6" x14ac:dyDescent="0.35">
      <c r="B688" s="7" t="s">
        <v>262</v>
      </c>
      <c r="C688" s="16">
        <v>6.9005553897417318E-2</v>
      </c>
      <c r="D688" s="16">
        <v>1.4105827301991645E-2</v>
      </c>
      <c r="E688" s="16">
        <v>6.9493315549811405E-2</v>
      </c>
      <c r="F688" s="16">
        <v>-6.3024797022007681E-2</v>
      </c>
    </row>
    <row r="689" spans="2:6" x14ac:dyDescent="0.35">
      <c r="B689" s="7" t="s">
        <v>263</v>
      </c>
      <c r="C689" s="16">
        <v>6.3309165107310564E-2</v>
      </c>
      <c r="D689" s="16">
        <v>5.6077619573954428E-2</v>
      </c>
      <c r="E689" s="16">
        <v>9.1570902848732483E-2</v>
      </c>
      <c r="F689" s="16">
        <v>-3.6723862569672652E-2</v>
      </c>
    </row>
    <row r="690" spans="2:6" x14ac:dyDescent="0.35">
      <c r="B690" s="7" t="s">
        <v>264</v>
      </c>
      <c r="C690" s="16">
        <v>6.2851988122571881E-2</v>
      </c>
      <c r="D690" s="16">
        <v>7.2594564162432512E-2</v>
      </c>
      <c r="E690" s="16">
        <v>9.0342963925721359E-2</v>
      </c>
      <c r="F690" s="16">
        <v>-3.6251859305097091E-2</v>
      </c>
    </row>
    <row r="691" spans="2:6" x14ac:dyDescent="0.35">
      <c r="B691" s="7" t="s">
        <v>265</v>
      </c>
      <c r="C691" s="16">
        <v>-7.9008963423363044E-3</v>
      </c>
      <c r="D691" s="16">
        <v>6.7201974503570447E-2</v>
      </c>
      <c r="E691" s="16">
        <v>9.5869844433747547E-2</v>
      </c>
      <c r="F691" s="16">
        <v>1.8214707711830497E-2</v>
      </c>
    </row>
    <row r="692" spans="2:6" x14ac:dyDescent="0.35">
      <c r="B692" s="7" t="s">
        <v>266</v>
      </c>
      <c r="C692" s="16">
        <v>2.8390091602860625E-2</v>
      </c>
      <c r="D692" s="16">
        <v>7.0977505883854833E-2</v>
      </c>
      <c r="E692" s="16">
        <v>5.0950203564390666E-2</v>
      </c>
      <c r="F692" s="16">
        <v>-3.1542518331082181E-2</v>
      </c>
    </row>
    <row r="693" spans="2:6" x14ac:dyDescent="0.35">
      <c r="B693" s="7" t="s">
        <v>267</v>
      </c>
      <c r="C693" s="16">
        <v>4.7220147745597879E-2</v>
      </c>
      <c r="D693" s="16">
        <v>5.4618052513609947E-2</v>
      </c>
      <c r="E693" s="16">
        <v>5.0158103447936607E-2</v>
      </c>
      <c r="F693" s="16">
        <v>-2.8019132643448189E-2</v>
      </c>
    </row>
    <row r="694" spans="2:6" x14ac:dyDescent="0.35">
      <c r="B694" s="7" t="s">
        <v>268</v>
      </c>
      <c r="C694" s="16">
        <v>3.9258355168005778E-2</v>
      </c>
      <c r="D694" s="16">
        <v>7.1551150604300673E-2</v>
      </c>
      <c r="E694" s="16">
        <v>5.6955639065838733E-2</v>
      </c>
      <c r="F694" s="16">
        <v>-1.8301322952958905E-2</v>
      </c>
    </row>
    <row r="695" spans="2:6" x14ac:dyDescent="0.35">
      <c r="B695" s="7" t="s">
        <v>269</v>
      </c>
      <c r="C695" s="16">
        <v>4.4006441853279274E-2</v>
      </c>
      <c r="D695" s="16">
        <v>7.6739543607304478E-2</v>
      </c>
      <c r="E695" s="16">
        <v>5.2242759974944625E-2</v>
      </c>
      <c r="F695" s="16">
        <v>1.8228699247105167E-2</v>
      </c>
    </row>
    <row r="696" spans="2:6" x14ac:dyDescent="0.35">
      <c r="B696" s="7" t="s">
        <v>270</v>
      </c>
      <c r="C696" s="16">
        <v>4.6919004809442562E-2</v>
      </c>
      <c r="D696" s="16">
        <v>9.0806946216302573E-2</v>
      </c>
      <c r="E696" s="16">
        <v>4.8186252649577231E-2</v>
      </c>
      <c r="F696" s="16">
        <v>3.8576138580593708E-2</v>
      </c>
    </row>
    <row r="697" spans="2:6" x14ac:dyDescent="0.35">
      <c r="B697" s="7" t="s">
        <v>271</v>
      </c>
      <c r="C697" s="16">
        <v>-3.6987942528624869E-2</v>
      </c>
      <c r="D697" s="16">
        <v>0.15709633319365057</v>
      </c>
      <c r="E697" s="16">
        <v>2.4478990719705152E-2</v>
      </c>
      <c r="F697" s="16">
        <v>3.45744308121523E-2</v>
      </c>
    </row>
    <row r="698" spans="2:6" x14ac:dyDescent="0.35">
      <c r="B698" s="7" t="s">
        <v>272</v>
      </c>
      <c r="C698" s="16">
        <v>-0.11386699573516515</v>
      </c>
      <c r="D698" s="16">
        <v>2.2433282213885623E-2</v>
      </c>
      <c r="E698" s="16">
        <v>-8.7228040169465681E-3</v>
      </c>
      <c r="F698" s="16">
        <v>-4.4839122301270372E-2</v>
      </c>
    </row>
    <row r="699" spans="2:6" x14ac:dyDescent="0.35">
      <c r="B699" s="7" t="s">
        <v>273</v>
      </c>
      <c r="C699" s="16">
        <v>-0.11565319402708607</v>
      </c>
      <c r="D699" s="16">
        <v>2.8544172006542804E-2</v>
      </c>
      <c r="E699" s="16">
        <v>-3.1679074435768825E-2</v>
      </c>
      <c r="F699" s="16">
        <v>-6.9146999495109399E-2</v>
      </c>
    </row>
    <row r="700" spans="2:6" x14ac:dyDescent="0.35">
      <c r="B700" s="7" t="s">
        <v>274</v>
      </c>
      <c r="C700" s="16">
        <v>2.8119480321752332E-2</v>
      </c>
      <c r="D700" s="16">
        <v>3.7835412024266944E-3</v>
      </c>
      <c r="E700" s="16">
        <v>-2.7141059622795675E-2</v>
      </c>
      <c r="F700" s="16">
        <v>2.7918526531561204E-2</v>
      </c>
    </row>
    <row r="701" spans="2:6" x14ac:dyDescent="0.35">
      <c r="B701" s="7" t="s">
        <v>275</v>
      </c>
      <c r="C701" s="16">
        <v>7.8035314919817E-4</v>
      </c>
      <c r="D701" s="16">
        <v>2.9554937065472516E-2</v>
      </c>
      <c r="E701" s="16">
        <v>-4.0293683149833615E-2</v>
      </c>
      <c r="F701" s="16">
        <v>3.508947492342606E-2</v>
      </c>
    </row>
    <row r="702" spans="2:6" x14ac:dyDescent="0.35">
      <c r="B702" s="7" t="s">
        <v>276</v>
      </c>
      <c r="C702" s="16">
        <v>-6.0242992097335489E-2</v>
      </c>
      <c r="D702" s="16">
        <v>9.8702166445774592E-2</v>
      </c>
      <c r="E702" s="16">
        <v>-8.6407545574370415E-2</v>
      </c>
      <c r="F702" s="16">
        <v>-1.32581131309468E-2</v>
      </c>
    </row>
    <row r="703" spans="2:6" x14ac:dyDescent="0.35">
      <c r="B703" s="7" t="s">
        <v>277</v>
      </c>
      <c r="C703" s="16">
        <v>4.3406570343580482E-2</v>
      </c>
      <c r="D703" s="16">
        <v>-3.9705981208012546E-2</v>
      </c>
      <c r="E703" s="16">
        <v>-2.1516468521652458E-2</v>
      </c>
      <c r="F703" s="16">
        <v>-1.9436391189019788E-3</v>
      </c>
    </row>
    <row r="704" spans="2:6" x14ac:dyDescent="0.35">
      <c r="B704" s="7" t="s">
        <v>278</v>
      </c>
      <c r="C704" s="16">
        <v>1.2308292356343698E-2</v>
      </c>
      <c r="D704" s="16">
        <v>-2.8210766056457903E-2</v>
      </c>
      <c r="E704" s="16">
        <v>-2.7306357829974027E-2</v>
      </c>
      <c r="F704" s="16">
        <v>-1.2861825566683105E-2</v>
      </c>
    </row>
    <row r="705" spans="2:6" x14ac:dyDescent="0.35">
      <c r="B705" s="7" t="s">
        <v>279</v>
      </c>
      <c r="C705" s="16">
        <v>0.10809246957207212</v>
      </c>
      <c r="D705" s="16">
        <v>-6.4511100690588838E-2</v>
      </c>
      <c r="E705" s="16">
        <v>-3.4821043371386494E-2</v>
      </c>
      <c r="F705" s="16">
        <v>-5.2286569671820327E-2</v>
      </c>
    </row>
    <row r="706" spans="2:6" x14ac:dyDescent="0.35">
      <c r="B706" s="7" t="s">
        <v>280</v>
      </c>
      <c r="C706" s="16">
        <v>5.2781446404984847E-2</v>
      </c>
      <c r="D706" s="16">
        <v>-3.0461043823153601E-2</v>
      </c>
      <c r="E706" s="16">
        <v>-2.5019204799260911E-2</v>
      </c>
      <c r="F706" s="16">
        <v>-4.1113035819643859E-2</v>
      </c>
    </row>
    <row r="707" spans="2:6" x14ac:dyDescent="0.35">
      <c r="B707" s="7" t="s">
        <v>281</v>
      </c>
      <c r="C707" s="16">
        <v>5.6614650548426293E-2</v>
      </c>
      <c r="D707" s="16">
        <v>-2.357093534425133E-2</v>
      </c>
      <c r="E707" s="16">
        <v>-4.7504564351615604E-2</v>
      </c>
      <c r="F707" s="16">
        <v>-5.1819560397024046E-2</v>
      </c>
    </row>
    <row r="708" spans="2:6" x14ac:dyDescent="0.35">
      <c r="B708" s="7" t="s">
        <v>282</v>
      </c>
      <c r="C708" s="16">
        <v>4.6933566271643613E-2</v>
      </c>
      <c r="D708" s="16">
        <v>-1.2655568495048472E-2</v>
      </c>
      <c r="E708" s="16">
        <v>-4.8360819183391697E-2</v>
      </c>
      <c r="F708" s="16">
        <v>-4.917351867737671E-2</v>
      </c>
    </row>
    <row r="709" spans="2:6" x14ac:dyDescent="0.35">
      <c r="B709" s="7" t="s">
        <v>283</v>
      </c>
      <c r="C709" s="16">
        <v>8.2562898428204523E-3</v>
      </c>
      <c r="D709" s="16">
        <v>-2.6330940615610001E-2</v>
      </c>
      <c r="E709" s="16">
        <v>-2.5053077080883491E-2</v>
      </c>
      <c r="F709" s="16">
        <v>4.5233807428522611E-3</v>
      </c>
    </row>
    <row r="710" spans="2:6" x14ac:dyDescent="0.35">
      <c r="B710" s="7" t="s">
        <v>284</v>
      </c>
      <c r="C710" s="16">
        <v>-1.2367830862438165E-3</v>
      </c>
      <c r="D710" s="16">
        <v>2.8249022407977078E-2</v>
      </c>
      <c r="E710" s="16">
        <v>-7.3839334920678679E-2</v>
      </c>
      <c r="F710" s="16">
        <v>-5.8207050412535807E-2</v>
      </c>
    </row>
    <row r="711" spans="2:6" x14ac:dyDescent="0.35">
      <c r="B711" s="7" t="s">
        <v>285</v>
      </c>
      <c r="C711" s="16">
        <v>-6.0995268132597688E-2</v>
      </c>
      <c r="D711" s="16">
        <v>-2.9698123474599658E-3</v>
      </c>
      <c r="E711" s="16">
        <v>-2.7128329775298169E-2</v>
      </c>
      <c r="F711" s="16">
        <v>2.1914972231841915E-2</v>
      </c>
    </row>
    <row r="712" spans="2:6" x14ac:dyDescent="0.35">
      <c r="B712" s="7" t="s">
        <v>286</v>
      </c>
      <c r="C712" s="16">
        <v>-7.1226659799880424E-2</v>
      </c>
      <c r="D712" s="16">
        <v>2.0489290944368025E-2</v>
      </c>
      <c r="E712" s="16">
        <v>-2.8559861647039837E-2</v>
      </c>
      <c r="F712" s="16">
        <v>1.6257680858773382E-2</v>
      </c>
    </row>
    <row r="713" spans="2:6" x14ac:dyDescent="0.35">
      <c r="B713" s="7" t="s">
        <v>287</v>
      </c>
      <c r="C713" s="16">
        <v>-4.1814108889993463E-2</v>
      </c>
      <c r="D713" s="16">
        <v>7.4224164846245763E-2</v>
      </c>
      <c r="E713" s="16">
        <v>-0.13134705668098801</v>
      </c>
      <c r="F713" s="16">
        <v>-9.680741222101602E-2</v>
      </c>
    </row>
    <row r="714" spans="2:6" x14ac:dyDescent="0.35">
      <c r="B714" s="7" t="s">
        <v>288</v>
      </c>
      <c r="C714" s="16">
        <v>-5.1414681368420923E-2</v>
      </c>
      <c r="D714" s="16">
        <v>9.3769733152402279E-2</v>
      </c>
      <c r="E714" s="16">
        <v>-0.1435850677935939</v>
      </c>
      <c r="F714" s="16">
        <v>-0.10712232177389008</v>
      </c>
    </row>
    <row r="715" spans="2:6" x14ac:dyDescent="0.35">
      <c r="B715" s="7" t="s">
        <v>289</v>
      </c>
      <c r="C715" s="16">
        <v>-5.4686213190894235E-2</v>
      </c>
      <c r="D715" s="16">
        <v>0.10374608214896001</v>
      </c>
      <c r="E715" s="16">
        <v>-0.14901246697498674</v>
      </c>
      <c r="F715" s="16">
        <v>-0.11060263481457654</v>
      </c>
    </row>
    <row r="716" spans="2:6" x14ac:dyDescent="0.35">
      <c r="B716" s="7" t="s">
        <v>290</v>
      </c>
      <c r="C716" s="16">
        <v>-6.3080508148549361E-2</v>
      </c>
      <c r="D716" s="16">
        <v>0.13328619769806321</v>
      </c>
      <c r="E716" s="16">
        <v>-0.21169737519203374</v>
      </c>
      <c r="F716" s="16">
        <v>-0.16511097787941581</v>
      </c>
    </row>
    <row r="717" spans="2:6" x14ac:dyDescent="0.35">
      <c r="B717" s="7" t="s">
        <v>291</v>
      </c>
      <c r="C717" s="16">
        <v>-9.1254236197308644E-2</v>
      </c>
      <c r="D717" s="16">
        <v>-6.5857585189009957E-3</v>
      </c>
      <c r="E717" s="16">
        <v>-1.9235075858466803E-3</v>
      </c>
      <c r="F717" s="16">
        <v>-9.3476158061830215E-3</v>
      </c>
    </row>
    <row r="718" spans="2:6" x14ac:dyDescent="0.35">
      <c r="B718" s="7" t="s">
        <v>292</v>
      </c>
      <c r="C718" s="16">
        <v>-1.9581238895213102E-2</v>
      </c>
      <c r="D718" s="16">
        <v>-2.7275023789613946E-2</v>
      </c>
      <c r="E718" s="16">
        <v>-1.7523849885000782E-2</v>
      </c>
      <c r="F718" s="16">
        <v>-4.6499333334754499E-2</v>
      </c>
    </row>
    <row r="719" spans="2:6" x14ac:dyDescent="0.35">
      <c r="B719" s="7" t="s">
        <v>293</v>
      </c>
      <c r="C719" s="16">
        <v>5.0391807918928423E-2</v>
      </c>
      <c r="D719" s="16">
        <v>1.2808381185123943E-2</v>
      </c>
      <c r="E719" s="16">
        <v>-2.868774208626609E-2</v>
      </c>
      <c r="F719" s="16">
        <v>-7.1341056011407666E-2</v>
      </c>
    </row>
    <row r="720" spans="2:6" x14ac:dyDescent="0.35">
      <c r="B720" s="7" t="s">
        <v>294</v>
      </c>
      <c r="C720" s="16">
        <v>4.6727873585220896E-2</v>
      </c>
      <c r="D720" s="16">
        <v>1.8784735486400087E-2</v>
      </c>
      <c r="E720" s="16">
        <v>-2.7293947175521818E-2</v>
      </c>
      <c r="F720" s="16">
        <v>-6.6261703344925774E-2</v>
      </c>
    </row>
    <row r="721" spans="2:6" x14ac:dyDescent="0.35">
      <c r="B721" s="7" t="s">
        <v>295</v>
      </c>
      <c r="C721" s="16">
        <v>-3.6898142109020461E-2</v>
      </c>
      <c r="D721" s="16">
        <v>1.5061685754939576E-2</v>
      </c>
      <c r="E721" s="16">
        <v>-1.3411413347152529E-2</v>
      </c>
      <c r="F721" s="16">
        <v>-2.8789511780563968E-2</v>
      </c>
    </row>
    <row r="722" spans="2:6" x14ac:dyDescent="0.35">
      <c r="B722" s="7" t="s">
        <v>296</v>
      </c>
      <c r="C722" s="16">
        <v>-0.1130295238421626</v>
      </c>
      <c r="D722" s="16">
        <v>3.9677645823361855E-2</v>
      </c>
      <c r="E722" s="16">
        <v>-4.0005010831059201E-2</v>
      </c>
      <c r="F722" s="16">
        <v>-5.7418608691435273E-2</v>
      </c>
    </row>
    <row r="723" spans="2:6" x14ac:dyDescent="0.35">
      <c r="B723" s="7" t="s">
        <v>297</v>
      </c>
      <c r="C723" s="16">
        <v>-0.10770911558710215</v>
      </c>
      <c r="D723" s="16">
        <v>5.2612443767848439E-2</v>
      </c>
      <c r="E723" s="16">
        <v>-4.3201951771649164E-2</v>
      </c>
      <c r="F723" s="16">
        <v>-5.3987400588759671E-2</v>
      </c>
    </row>
    <row r="724" spans="2:6" x14ac:dyDescent="0.35">
      <c r="B724" s="7" t="s">
        <v>298</v>
      </c>
      <c r="C724" s="16">
        <v>6.7572053272893035E-2</v>
      </c>
      <c r="D724" s="16">
        <v>1.2656311657963937E-2</v>
      </c>
      <c r="E724" s="16">
        <v>1.2076929220695865E-3</v>
      </c>
      <c r="F724" s="16">
        <v>-6.0089706115021492E-2</v>
      </c>
    </row>
    <row r="725" spans="2:6" x14ac:dyDescent="0.35">
      <c r="B725" s="7" t="s">
        <v>299</v>
      </c>
      <c r="C725" s="16">
        <v>9.4636081311271991E-2</v>
      </c>
      <c r="D725" s="16">
        <v>1.8397590629164216E-2</v>
      </c>
      <c r="E725" s="16">
        <v>-3.4328262470325104E-2</v>
      </c>
      <c r="F725" s="16">
        <v>-6.1831104117786556E-2</v>
      </c>
    </row>
    <row r="726" spans="2:6" x14ac:dyDescent="0.35">
      <c r="B726" s="7" t="s">
        <v>300</v>
      </c>
      <c r="C726" s="16">
        <v>1.8806249270786776E-2</v>
      </c>
      <c r="D726" s="16">
        <v>9.0912191147864418E-2</v>
      </c>
      <c r="E726" s="16">
        <v>-0.10556995956863954</v>
      </c>
      <c r="F726" s="16">
        <v>-9.5693328765541943E-2</v>
      </c>
    </row>
    <row r="727" spans="2:6" x14ac:dyDescent="0.35">
      <c r="B727" s="7" t="s">
        <v>301</v>
      </c>
      <c r="C727" s="16">
        <v>7.6428793111091612E-4</v>
      </c>
      <c r="D727" s="16">
        <v>8.8768092859947786E-2</v>
      </c>
      <c r="E727" s="16">
        <v>-0.13522040691522103</v>
      </c>
      <c r="F727" s="16">
        <v>-0.12166620691438444</v>
      </c>
    </row>
    <row r="728" spans="2:6" x14ac:dyDescent="0.35">
      <c r="B728" s="7" t="s">
        <v>302</v>
      </c>
      <c r="C728" s="16">
        <v>8.0492720764559669E-2</v>
      </c>
      <c r="D728" s="16">
        <v>-1.6104152965926984E-2</v>
      </c>
      <c r="E728" s="16">
        <v>1.1437642620035207E-2</v>
      </c>
      <c r="F728" s="16">
        <v>-5.4014995441713141E-2</v>
      </c>
    </row>
    <row r="729" spans="2:6" x14ac:dyDescent="0.35">
      <c r="B729" s="7" t="s">
        <v>303</v>
      </c>
      <c r="C729" s="16">
        <v>7.6849489082463307E-2</v>
      </c>
      <c r="D729" s="16">
        <v>1.3370414581708057E-2</v>
      </c>
      <c r="E729" s="16">
        <v>1.6287242481351813E-2</v>
      </c>
      <c r="F729" s="16">
        <v>-3.675484263780756E-2</v>
      </c>
    </row>
    <row r="730" spans="2:6" x14ac:dyDescent="0.35">
      <c r="B730" s="7" t="s">
        <v>304</v>
      </c>
      <c r="C730" s="16">
        <v>7.8623164910232829E-2</v>
      </c>
      <c r="D730" s="16">
        <v>3.6435326698736802E-2</v>
      </c>
      <c r="E730" s="16">
        <v>3.2146297828522533E-2</v>
      </c>
      <c r="F730" s="16">
        <v>-1.7984708632361682E-2</v>
      </c>
    </row>
    <row r="731" spans="2:6" x14ac:dyDescent="0.35">
      <c r="B731" s="7" t="s">
        <v>305</v>
      </c>
      <c r="C731" s="16">
        <v>7.6906456762734068E-2</v>
      </c>
      <c r="D731" s="16">
        <v>4.1100927791931571E-2</v>
      </c>
      <c r="E731" s="16">
        <v>3.2754381651000641E-2</v>
      </c>
      <c r="F731" s="16">
        <v>-1.2584201443536489E-2</v>
      </c>
    </row>
    <row r="732" spans="2:6" x14ac:dyDescent="0.35">
      <c r="B732" s="7" t="s">
        <v>306</v>
      </c>
      <c r="C732" s="16">
        <v>7.1181635999649259E-2</v>
      </c>
      <c r="D732" s="16">
        <v>4.8836673160276654E-3</v>
      </c>
      <c r="E732" s="16">
        <v>8.6296289224208345E-3</v>
      </c>
      <c r="F732" s="16">
        <v>-6.5484367591366499E-2</v>
      </c>
    </row>
    <row r="733" spans="2:6" x14ac:dyDescent="0.35">
      <c r="B733" s="7" t="s">
        <v>307</v>
      </c>
      <c r="C733" s="16">
        <v>6.5320245357780291E-2</v>
      </c>
      <c r="D733" s="16">
        <v>6.494018256451202E-2</v>
      </c>
      <c r="E733" s="16">
        <v>2.4156423312181381E-2</v>
      </c>
      <c r="F733" s="16">
        <v>-1.2385355036393755E-2</v>
      </c>
    </row>
    <row r="734" spans="2:6" x14ac:dyDescent="0.35">
      <c r="B734" s="7" t="s">
        <v>308</v>
      </c>
      <c r="C734" s="16">
        <v>9.8130686641965753E-2</v>
      </c>
      <c r="D734" s="16">
        <v>8.5666256161254523E-3</v>
      </c>
      <c r="E734" s="16">
        <v>1.298177023994871E-2</v>
      </c>
      <c r="F734" s="16">
        <v>-6.9473915269076703E-2</v>
      </c>
    </row>
    <row r="735" spans="2:6" x14ac:dyDescent="0.35">
      <c r="B735" s="7" t="s">
        <v>309</v>
      </c>
      <c r="C735" s="16">
        <v>8.73219199366361E-2</v>
      </c>
      <c r="D735" s="16">
        <v>5.2297731496759071E-2</v>
      </c>
      <c r="E735" s="16">
        <v>2.1882072799048788E-2</v>
      </c>
      <c r="F735" s="16">
        <v>-3.7313004098201999E-2</v>
      </c>
    </row>
    <row r="736" spans="2:6" x14ac:dyDescent="0.35">
      <c r="B736" s="7" t="s">
        <v>310</v>
      </c>
      <c r="C736" s="16">
        <v>1.7082585970637155E-2</v>
      </c>
      <c r="D736" s="16">
        <v>0.10747384930355651</v>
      </c>
      <c r="E736" s="16">
        <v>-2.5755238984252214E-2</v>
      </c>
      <c r="F736" s="16">
        <v>-3.0151872938516421E-2</v>
      </c>
    </row>
    <row r="737" spans="2:6" x14ac:dyDescent="0.35">
      <c r="B737" s="7" t="s">
        <v>311</v>
      </c>
      <c r="C737" s="16">
        <v>1.3262622176411564E-2</v>
      </c>
      <c r="D737" s="16">
        <v>0.1192116185811308</v>
      </c>
      <c r="E737" s="16">
        <v>-6.2000258668761854E-2</v>
      </c>
      <c r="F737" s="16">
        <v>-5.4924207766076413E-2</v>
      </c>
    </row>
    <row r="738" spans="2:6" x14ac:dyDescent="0.35">
      <c r="B738" s="7" t="s">
        <v>312</v>
      </c>
      <c r="C738" s="16">
        <v>1.0578446318142889E-2</v>
      </c>
      <c r="D738" s="16">
        <v>0.12989934241677731</v>
      </c>
      <c r="E738" s="16">
        <v>-0.22459485552445088</v>
      </c>
      <c r="F738" s="16">
        <v>-0.19403873095293078</v>
      </c>
    </row>
    <row r="739" spans="2:6" x14ac:dyDescent="0.35">
      <c r="B739" s="7" t="s">
        <v>313</v>
      </c>
      <c r="C739" s="16">
        <v>6.2903447380098761E-3</v>
      </c>
      <c r="D739" s="16">
        <v>0.13850256278951215</v>
      </c>
      <c r="E739" s="16">
        <v>-0.22950174145992594</v>
      </c>
      <c r="F739" s="16">
        <v>-0.19796640709935595</v>
      </c>
    </row>
    <row r="740" spans="2:6" x14ac:dyDescent="0.35">
      <c r="B740" s="7" t="s">
        <v>314</v>
      </c>
      <c r="C740" s="16">
        <v>-2.8307114012718272E-2</v>
      </c>
      <c r="D740" s="16">
        <v>0.17555599412918124</v>
      </c>
      <c r="E740" s="16">
        <v>-6.9920351828546496E-3</v>
      </c>
      <c r="F740" s="16">
        <v>-1.1483798723677359E-2</v>
      </c>
    </row>
    <row r="741" spans="2:6" x14ac:dyDescent="0.35">
      <c r="B741" s="7" t="s">
        <v>315</v>
      </c>
      <c r="C741" s="16">
        <v>-0.11136689506385722</v>
      </c>
      <c r="D741" s="16">
        <v>7.1524452930399857E-2</v>
      </c>
      <c r="E741" s="16">
        <v>-5.9100900078380182E-2</v>
      </c>
      <c r="F741" s="16">
        <v>-7.1415762262223889E-2</v>
      </c>
    </row>
    <row r="742" spans="2:6" x14ac:dyDescent="0.35">
      <c r="B742" s="7" t="s">
        <v>316</v>
      </c>
      <c r="C742" s="16">
        <v>-0.11181613282634609</v>
      </c>
      <c r="D742" s="16">
        <v>7.8088749864853299E-2</v>
      </c>
      <c r="E742" s="16">
        <v>-6.3536185984278307E-2</v>
      </c>
      <c r="F742" s="16">
        <v>-7.5381815838191604E-2</v>
      </c>
    </row>
    <row r="743" spans="2:6" x14ac:dyDescent="0.35">
      <c r="B743" s="7" t="s">
        <v>317</v>
      </c>
      <c r="C743" s="16">
        <v>-0.11411340306226869</v>
      </c>
      <c r="D743" s="16">
        <v>9.7751907421883208E-2</v>
      </c>
      <c r="E743" s="16">
        <v>-8.3294982749961458E-2</v>
      </c>
      <c r="F743" s="16">
        <v>-9.7131182048319484E-2</v>
      </c>
    </row>
    <row r="744" spans="2:6" x14ac:dyDescent="0.35">
      <c r="B744" s="7" t="s">
        <v>318</v>
      </c>
      <c r="C744" s="16">
        <v>-0.11926643510549517</v>
      </c>
      <c r="D744" s="16">
        <v>0.10454503381068547</v>
      </c>
      <c r="E744" s="16">
        <v>-0.11318695246279926</v>
      </c>
      <c r="F744" s="16">
        <v>-0.12119392226324438</v>
      </c>
    </row>
    <row r="745" spans="2:6" x14ac:dyDescent="0.35">
      <c r="B745" s="7" t="s">
        <v>319</v>
      </c>
      <c r="C745" s="16">
        <v>-5.8771306582973012E-2</v>
      </c>
      <c r="D745" s="16">
        <v>-1.0560726995975902E-2</v>
      </c>
      <c r="E745" s="16">
        <v>-3.8022604011115846E-2</v>
      </c>
      <c r="F745" s="16">
        <v>7.2471365596120468E-2</v>
      </c>
    </row>
    <row r="746" spans="2:6" x14ac:dyDescent="0.35">
      <c r="B746" s="7" t="s">
        <v>320</v>
      </c>
      <c r="C746" s="16">
        <v>-4.4758123799314237E-2</v>
      </c>
      <c r="D746" s="16">
        <v>2.3495790452796109E-2</v>
      </c>
      <c r="E746" s="16">
        <v>-3.3478395693014806E-2</v>
      </c>
      <c r="F746" s="16">
        <v>9.9747195138692527E-2</v>
      </c>
    </row>
    <row r="747" spans="2:6" x14ac:dyDescent="0.35">
      <c r="B747" s="7" t="s">
        <v>321</v>
      </c>
      <c r="C747" s="16">
        <v>3.2041245501406752E-2</v>
      </c>
      <c r="D747" s="16">
        <v>6.3013863771527595E-2</v>
      </c>
      <c r="E747" s="16">
        <v>0.1238890274794688</v>
      </c>
      <c r="F747" s="16">
        <v>-4.397234271571032E-3</v>
      </c>
    </row>
    <row r="748" spans="2:6" ht="15" thickBot="1" x14ac:dyDescent="0.4">
      <c r="B748" s="11" t="s">
        <v>322</v>
      </c>
      <c r="C748" s="17">
        <v>-8.1852965241115849E-2</v>
      </c>
      <c r="D748" s="17">
        <v>-0.11452809968969578</v>
      </c>
      <c r="E748" s="17">
        <v>3.713096465404904E-2</v>
      </c>
      <c r="F748" s="17">
        <v>-7.211631633229991E-2</v>
      </c>
    </row>
    <row r="768" spans="7:7" x14ac:dyDescent="0.35">
      <c r="G768" t="s">
        <v>49</v>
      </c>
    </row>
    <row r="771" spans="2:6" x14ac:dyDescent="0.35">
      <c r="B771" s="6" t="s">
        <v>324</v>
      </c>
    </row>
    <row r="772" spans="2:6" ht="15" thickBot="1" x14ac:dyDescent="0.4"/>
    <row r="773" spans="2:6" ht="29" x14ac:dyDescent="0.35">
      <c r="B773" s="8" t="s">
        <v>80</v>
      </c>
      <c r="C773" s="9" t="s">
        <v>325</v>
      </c>
      <c r="D773" s="9" t="s">
        <v>326</v>
      </c>
      <c r="E773" s="9" t="s">
        <v>327</v>
      </c>
      <c r="F773" s="9" t="s">
        <v>328</v>
      </c>
    </row>
    <row r="774" spans="2:6" x14ac:dyDescent="0.35">
      <c r="B774" s="19" t="s">
        <v>81</v>
      </c>
      <c r="C774" s="21">
        <v>3.597611606399731</v>
      </c>
      <c r="D774" s="21">
        <v>3.0456566753448389</v>
      </c>
      <c r="E774" s="21">
        <v>5.3150843054115322</v>
      </c>
      <c r="F774" s="21">
        <v>6.7626456479679842</v>
      </c>
    </row>
    <row r="775" spans="2:6" x14ac:dyDescent="0.35">
      <c r="B775" s="7" t="s">
        <v>82</v>
      </c>
      <c r="C775" s="16">
        <v>-0.9082279507348836</v>
      </c>
      <c r="D775" s="16">
        <v>-0.24559832827604902</v>
      </c>
      <c r="E775" s="16">
        <v>-1.1800186415514056</v>
      </c>
      <c r="F775" s="16">
        <v>-6.4763647464911598</v>
      </c>
    </row>
    <row r="776" spans="2:6" x14ac:dyDescent="0.35">
      <c r="B776" s="7" t="s">
        <v>83</v>
      </c>
      <c r="C776" s="16">
        <v>-0.21351185453036203</v>
      </c>
      <c r="D776" s="16">
        <v>2.2958392815751272</v>
      </c>
      <c r="E776" s="16">
        <v>3.585503643962598</v>
      </c>
      <c r="F776" s="16">
        <v>5.9174595261785123</v>
      </c>
    </row>
    <row r="777" spans="2:6" x14ac:dyDescent="0.35">
      <c r="B777" s="7" t="s">
        <v>84</v>
      </c>
      <c r="C777" s="16">
        <v>4.232626861129889</v>
      </c>
      <c r="D777" s="16">
        <v>3.8041656082299808</v>
      </c>
      <c r="E777" s="16">
        <v>6.0916779961042566</v>
      </c>
      <c r="F777" s="16">
        <v>7.9690417410969419</v>
      </c>
    </row>
    <row r="778" spans="2:6" x14ac:dyDescent="0.35">
      <c r="B778" s="7" t="s">
        <v>85</v>
      </c>
      <c r="C778" s="16">
        <v>5.5683554489987745</v>
      </c>
      <c r="D778" s="16">
        <v>5.3509186694276236</v>
      </c>
      <c r="E778" s="16">
        <v>9.2672064606834343</v>
      </c>
      <c r="F778" s="16">
        <v>15.902077527828469</v>
      </c>
    </row>
    <row r="779" spans="2:6" x14ac:dyDescent="0.35">
      <c r="B779" s="7" t="s">
        <v>86</v>
      </c>
      <c r="C779" s="16">
        <v>4.5050086859740102</v>
      </c>
      <c r="D779" s="16">
        <v>3.1138618051676201</v>
      </c>
      <c r="E779" s="16">
        <v>5.0258357886593483</v>
      </c>
      <c r="F779" s="16">
        <v>4.9432698406823663</v>
      </c>
    </row>
    <row r="780" spans="2:6" x14ac:dyDescent="0.35">
      <c r="B780" s="7" t="s">
        <v>87</v>
      </c>
      <c r="C780" s="16">
        <v>3.5492542859702096</v>
      </c>
      <c r="D780" s="16">
        <v>1.6889267742827405</v>
      </c>
      <c r="E780" s="16">
        <v>3.5641253687847607</v>
      </c>
      <c r="F780" s="16">
        <v>1.8236891118191996</v>
      </c>
    </row>
    <row r="781" spans="2:6" x14ac:dyDescent="0.35">
      <c r="B781" s="7" t="s">
        <v>88</v>
      </c>
      <c r="C781" s="16">
        <v>5.8333059262802056</v>
      </c>
      <c r="D781" s="16">
        <v>4.6970560177281886</v>
      </c>
      <c r="E781" s="16">
        <v>8.331946753352403</v>
      </c>
      <c r="F781" s="16">
        <v>13.240418437561623</v>
      </c>
    </row>
    <row r="782" spans="2:6" x14ac:dyDescent="0.35">
      <c r="B782" s="7" t="s">
        <v>89</v>
      </c>
      <c r="C782" s="16">
        <v>4.1367005134341541</v>
      </c>
      <c r="D782" s="16">
        <v>3.1148818428822875</v>
      </c>
      <c r="E782" s="16">
        <v>8.7109886489651007</v>
      </c>
      <c r="F782" s="16">
        <v>13.830613988487142</v>
      </c>
    </row>
    <row r="783" spans="2:6" x14ac:dyDescent="0.35">
      <c r="B783" s="7" t="s">
        <v>90</v>
      </c>
      <c r="C783" s="16">
        <v>-2.093161931180632</v>
      </c>
      <c r="D783" s="16">
        <v>-1.5930739286200712</v>
      </c>
      <c r="E783" s="16">
        <v>-6.2387640295095474</v>
      </c>
      <c r="F783" s="16">
        <v>-17.241074818252319</v>
      </c>
    </row>
    <row r="784" spans="2:6" x14ac:dyDescent="0.35">
      <c r="B784" s="7" t="s">
        <v>91</v>
      </c>
      <c r="C784" s="16">
        <v>3.5828201668189195</v>
      </c>
      <c r="D784" s="16">
        <v>1.2977794918249084</v>
      </c>
      <c r="E784" s="16">
        <v>3.2166247643652359</v>
      </c>
      <c r="F784" s="16">
        <v>1.5417847824321085</v>
      </c>
    </row>
    <row r="785" spans="2:6" x14ac:dyDescent="0.35">
      <c r="B785" s="7" t="s">
        <v>92</v>
      </c>
      <c r="C785" s="16">
        <v>8.342005472558137</v>
      </c>
      <c r="D785" s="16">
        <v>5.8501227417758077</v>
      </c>
      <c r="E785" s="16">
        <v>14.626294586176583</v>
      </c>
      <c r="F785" s="16">
        <v>25.741806275176906</v>
      </c>
    </row>
    <row r="786" spans="2:6" x14ac:dyDescent="0.35">
      <c r="B786" s="7" t="s">
        <v>93</v>
      </c>
      <c r="C786" s="16">
        <v>5.0884693438188782</v>
      </c>
      <c r="D786" s="16">
        <v>2.8175154601247692</v>
      </c>
      <c r="E786" s="16">
        <v>4.6032175259037151</v>
      </c>
      <c r="F786" s="16">
        <v>4.7089678243678783</v>
      </c>
    </row>
    <row r="787" spans="2:6" x14ac:dyDescent="0.35">
      <c r="B787" s="7" t="s">
        <v>94</v>
      </c>
      <c r="C787" s="16">
        <v>7.1650354387080215</v>
      </c>
      <c r="D787" s="16">
        <v>3.2695815130915911</v>
      </c>
      <c r="E787" s="16">
        <v>4.1869515756855957</v>
      </c>
      <c r="F787" s="16">
        <v>2.430246574263228</v>
      </c>
    </row>
    <row r="788" spans="2:6" x14ac:dyDescent="0.35">
      <c r="B788" s="7" t="s">
        <v>95</v>
      </c>
      <c r="C788" s="16">
        <v>3.4148027445107889</v>
      </c>
      <c r="D788" s="16">
        <v>2.6673596093657612</v>
      </c>
      <c r="E788" s="16">
        <v>5.0879519941625801</v>
      </c>
      <c r="F788" s="16">
        <v>6.3657926498740505</v>
      </c>
    </row>
    <row r="789" spans="2:6" x14ac:dyDescent="0.35">
      <c r="B789" s="7" t="s">
        <v>96</v>
      </c>
      <c r="C789" s="16">
        <v>-4.1402658292489125</v>
      </c>
      <c r="D789" s="16">
        <v>-1.5004169948448616</v>
      </c>
      <c r="E789" s="16">
        <v>-4.7813740264362252</v>
      </c>
      <c r="F789" s="16">
        <v>-13.349072615611361</v>
      </c>
    </row>
    <row r="790" spans="2:6" x14ac:dyDescent="0.35">
      <c r="B790" s="7" t="s">
        <v>97</v>
      </c>
      <c r="C790" s="16">
        <v>4.2089481088769185</v>
      </c>
      <c r="D790" s="16">
        <v>4.1426475771911182</v>
      </c>
      <c r="E790" s="16">
        <v>3.2711746366261774</v>
      </c>
      <c r="F790" s="16">
        <v>3.7426252346996818</v>
      </c>
    </row>
    <row r="791" spans="2:6" x14ac:dyDescent="0.35">
      <c r="B791" s="7" t="s">
        <v>98</v>
      </c>
      <c r="C791" s="16">
        <v>3.4304956059410614</v>
      </c>
      <c r="D791" s="16">
        <v>1.4321265893269526</v>
      </c>
      <c r="E791" s="16">
        <v>3.9313189210981641</v>
      </c>
      <c r="F791" s="16">
        <v>5.1322826723898505</v>
      </c>
    </row>
    <row r="792" spans="2:6" x14ac:dyDescent="0.35">
      <c r="B792" s="7" t="s">
        <v>99</v>
      </c>
      <c r="C792" s="16">
        <v>3.1726268002330889</v>
      </c>
      <c r="D792" s="16">
        <v>1.4693476830092698</v>
      </c>
      <c r="E792" s="16">
        <v>2.3873786539836312</v>
      </c>
      <c r="F792" s="16">
        <v>1.7949672818068712</v>
      </c>
    </row>
    <row r="793" spans="2:6" x14ac:dyDescent="0.35">
      <c r="B793" s="7" t="s">
        <v>100</v>
      </c>
      <c r="C793" s="16">
        <v>7.9019088678847362</v>
      </c>
      <c r="D793" s="16">
        <v>4.1017323967588517</v>
      </c>
      <c r="E793" s="16">
        <v>7.4749992505112761</v>
      </c>
      <c r="F793" s="16">
        <v>9.7052065754062227</v>
      </c>
    </row>
    <row r="794" spans="2:6" x14ac:dyDescent="0.35">
      <c r="B794" s="7" t="s">
        <v>101</v>
      </c>
      <c r="C794" s="16">
        <v>5.0884693438188782</v>
      </c>
      <c r="D794" s="16">
        <v>2.962751528721387</v>
      </c>
      <c r="E794" s="16">
        <v>6.8139266894021935</v>
      </c>
      <c r="F794" s="16">
        <v>8.3815422491865199</v>
      </c>
    </row>
    <row r="795" spans="2:6" x14ac:dyDescent="0.35">
      <c r="B795" s="7" t="s">
        <v>102</v>
      </c>
      <c r="C795" s="16">
        <v>3.6776120372756513</v>
      </c>
      <c r="D795" s="16">
        <v>1.1368371245815103</v>
      </c>
      <c r="E795" s="16">
        <v>3.2612841386781883</v>
      </c>
      <c r="F795" s="16">
        <v>3.9978267439451116</v>
      </c>
    </row>
    <row r="796" spans="2:6" x14ac:dyDescent="0.35">
      <c r="B796" s="7" t="s">
        <v>103</v>
      </c>
      <c r="C796" s="16">
        <v>6.0817239533644267</v>
      </c>
      <c r="D796" s="16">
        <v>3.639149229889298</v>
      </c>
      <c r="E796" s="16">
        <v>10.095146708230875</v>
      </c>
      <c r="F796" s="16">
        <v>17.90101739875761</v>
      </c>
    </row>
    <row r="797" spans="2:6" x14ac:dyDescent="0.35">
      <c r="B797" s="7" t="s">
        <v>104</v>
      </c>
      <c r="C797" s="16">
        <v>4.3453083332744766</v>
      </c>
      <c r="D797" s="16">
        <v>4.2710525830651918</v>
      </c>
      <c r="E797" s="16">
        <v>6.3199307662040738</v>
      </c>
      <c r="F797" s="16">
        <v>10.283342428445543</v>
      </c>
    </row>
    <row r="798" spans="2:6" x14ac:dyDescent="0.35">
      <c r="B798" s="7" t="s">
        <v>105</v>
      </c>
      <c r="C798" s="16">
        <v>7.2617611821466506</v>
      </c>
      <c r="D798" s="16">
        <v>4.048574221286656</v>
      </c>
      <c r="E798" s="16">
        <v>7.0539923950231289</v>
      </c>
      <c r="F798" s="16">
        <v>11.453106425598712</v>
      </c>
    </row>
    <row r="799" spans="2:6" x14ac:dyDescent="0.35">
      <c r="B799" s="7" t="s">
        <v>106</v>
      </c>
      <c r="C799" s="16">
        <v>2.3247060815816547</v>
      </c>
      <c r="D799" s="16">
        <v>9.2726125733078785E-2</v>
      </c>
      <c r="E799" s="16">
        <v>-2.8305291432184281</v>
      </c>
      <c r="F799" s="16">
        <v>-8.3795807807120539</v>
      </c>
    </row>
    <row r="800" spans="2:6" x14ac:dyDescent="0.35">
      <c r="B800" s="7" t="s">
        <v>107</v>
      </c>
      <c r="C800" s="16">
        <v>-5.7826331681815768</v>
      </c>
      <c r="D800" s="16">
        <v>-1.6169822935159506</v>
      </c>
      <c r="E800" s="16">
        <v>-5.3717110385108304</v>
      </c>
      <c r="F800" s="16">
        <v>-10.568975747797403</v>
      </c>
    </row>
    <row r="801" spans="2:6" x14ac:dyDescent="0.35">
      <c r="B801" s="7" t="s">
        <v>108</v>
      </c>
      <c r="C801" s="16">
        <v>3.2695117058528873</v>
      </c>
      <c r="D801" s="16">
        <v>1.202712884562839</v>
      </c>
      <c r="E801" s="16">
        <v>1.0056733536140388</v>
      </c>
      <c r="F801" s="16">
        <v>-0.39517345965401818</v>
      </c>
    </row>
    <row r="802" spans="2:6" x14ac:dyDescent="0.35">
      <c r="B802" s="7" t="s">
        <v>109</v>
      </c>
      <c r="C802" s="16">
        <v>3.9508409735518257</v>
      </c>
      <c r="D802" s="16">
        <v>3.0619192077108197</v>
      </c>
      <c r="E802" s="16">
        <v>4.2311672546772288</v>
      </c>
      <c r="F802" s="16">
        <v>6.3599613572360871</v>
      </c>
    </row>
    <row r="803" spans="2:6" x14ac:dyDescent="0.35">
      <c r="B803" s="7" t="s">
        <v>110</v>
      </c>
      <c r="C803" s="16">
        <v>-1.1836342323440248</v>
      </c>
      <c r="D803" s="16">
        <v>0.92025064291031866</v>
      </c>
      <c r="E803" s="16">
        <v>-2.0898991805107494</v>
      </c>
      <c r="F803" s="16">
        <v>-7.2209428382081837</v>
      </c>
    </row>
    <row r="804" spans="2:6" x14ac:dyDescent="0.35">
      <c r="B804" s="7" t="s">
        <v>111</v>
      </c>
      <c r="C804" s="16">
        <v>5.2141918976520207</v>
      </c>
      <c r="D804" s="16">
        <v>2.3401121387415631</v>
      </c>
      <c r="E804" s="16">
        <v>4.8144138951553934</v>
      </c>
      <c r="F804" s="16">
        <v>8.2106341125799744</v>
      </c>
    </row>
    <row r="805" spans="2:6" x14ac:dyDescent="0.35">
      <c r="B805" s="7" t="s">
        <v>112</v>
      </c>
      <c r="C805" s="16">
        <v>-6.1036428166081897</v>
      </c>
      <c r="D805" s="16">
        <v>-1.6528774267298345</v>
      </c>
      <c r="E805" s="16">
        <v>-5.1505052510601566</v>
      </c>
      <c r="F805" s="16">
        <v>-9.6153518969141611</v>
      </c>
    </row>
    <row r="806" spans="2:6" x14ac:dyDescent="0.35">
      <c r="B806" s="7" t="s">
        <v>113</v>
      </c>
      <c r="C806" s="16">
        <v>-2.9542460936338273</v>
      </c>
      <c r="D806" s="16">
        <v>-1.1387431668402552</v>
      </c>
      <c r="E806" s="16">
        <v>-7.1180084066882134</v>
      </c>
      <c r="F806" s="16">
        <v>-16.72969498449925</v>
      </c>
    </row>
    <row r="807" spans="2:6" x14ac:dyDescent="0.35">
      <c r="B807" s="7" t="s">
        <v>114</v>
      </c>
      <c r="C807" s="16">
        <v>5.4900309866015018</v>
      </c>
      <c r="D807" s="16">
        <v>2.8271449743230956</v>
      </c>
      <c r="E807" s="16">
        <v>5.1363400333456459</v>
      </c>
      <c r="F807" s="16">
        <v>8.4279830348351297</v>
      </c>
    </row>
    <row r="808" spans="2:6" x14ac:dyDescent="0.35">
      <c r="B808" s="7" t="s">
        <v>115</v>
      </c>
      <c r="C808" s="16">
        <v>1.8609599302870299</v>
      </c>
      <c r="D808" s="16">
        <v>4.165021358707107</v>
      </c>
      <c r="E808" s="16">
        <v>10.122463506390639</v>
      </c>
      <c r="F808" s="16">
        <v>21.262679516540498</v>
      </c>
    </row>
    <row r="809" spans="2:6" x14ac:dyDescent="0.35">
      <c r="B809" s="7" t="s">
        <v>116</v>
      </c>
      <c r="C809" s="16">
        <v>-0.4651310858310822</v>
      </c>
      <c r="D809" s="16">
        <v>-1.9227013456443418</v>
      </c>
      <c r="E809" s="16">
        <v>-7.9861514333972341</v>
      </c>
      <c r="F809" s="16">
        <v>-18.623875948568571</v>
      </c>
    </row>
    <row r="810" spans="2:6" x14ac:dyDescent="0.35">
      <c r="B810" s="7" t="s">
        <v>117</v>
      </c>
      <c r="C810" s="16">
        <v>5.6459399681104847E-2</v>
      </c>
      <c r="D810" s="16">
        <v>2.7831012985045418</v>
      </c>
      <c r="E810" s="16">
        <v>7.0253176019214489</v>
      </c>
      <c r="F810" s="16">
        <v>15.495943850736813</v>
      </c>
    </row>
    <row r="811" spans="2:6" x14ac:dyDescent="0.35">
      <c r="B811" s="7" t="s">
        <v>118</v>
      </c>
      <c r="C811" s="16">
        <v>5.8946154311678276</v>
      </c>
      <c r="D811" s="16">
        <v>0.94754314768975478</v>
      </c>
      <c r="E811" s="16">
        <v>2.2094340460656592</v>
      </c>
      <c r="F811" s="16">
        <v>3.9570368831859675</v>
      </c>
    </row>
    <row r="812" spans="2:6" x14ac:dyDescent="0.35">
      <c r="B812" s="7" t="s">
        <v>119</v>
      </c>
      <c r="C812" s="16">
        <v>1.9082265328951025</v>
      </c>
      <c r="D812" s="16">
        <v>-0.78537859982380154</v>
      </c>
      <c r="E812" s="16">
        <v>-2.3076762733351153</v>
      </c>
      <c r="F812" s="16">
        <v>-5.0919080301785353</v>
      </c>
    </row>
    <row r="813" spans="2:6" x14ac:dyDescent="0.35">
      <c r="B813" s="7" t="s">
        <v>120</v>
      </c>
      <c r="C813" s="16">
        <v>-10.662463004413034</v>
      </c>
      <c r="D813" s="16">
        <v>-5.4045975643965356</v>
      </c>
      <c r="E813" s="16">
        <v>-15.366189933690702</v>
      </c>
      <c r="F813" s="16">
        <v>-31.748857867088777</v>
      </c>
    </row>
    <row r="814" spans="2:6" x14ac:dyDescent="0.35">
      <c r="B814" s="7" t="s">
        <v>121</v>
      </c>
      <c r="C814" s="16">
        <v>-6.1036428166081897</v>
      </c>
      <c r="D814" s="16">
        <v>-3.6124705678656963</v>
      </c>
      <c r="E814" s="16">
        <v>-15.053678477088711</v>
      </c>
      <c r="F814" s="16">
        <v>-32.876017841038554</v>
      </c>
    </row>
    <row r="815" spans="2:6" x14ac:dyDescent="0.35">
      <c r="B815" s="7" t="s">
        <v>122</v>
      </c>
      <c r="C815" s="16">
        <v>6.9305472687734598E-2</v>
      </c>
      <c r="D815" s="16">
        <v>-0.53176821002904573</v>
      </c>
      <c r="E815" s="16">
        <v>-2.9704488951139973</v>
      </c>
      <c r="F815" s="16">
        <v>-8.3139706875609658</v>
      </c>
    </row>
    <row r="816" spans="2:6" x14ac:dyDescent="0.35">
      <c r="B816" s="7" t="s">
        <v>123</v>
      </c>
      <c r="C816" s="16">
        <v>-1.3478862850448698</v>
      </c>
      <c r="D816" s="16">
        <v>-3.8007079225252625</v>
      </c>
      <c r="E816" s="16">
        <v>-11.607894058803208</v>
      </c>
      <c r="F816" s="16">
        <v>-25.71965210755112</v>
      </c>
    </row>
    <row r="817" spans="2:6" x14ac:dyDescent="0.35">
      <c r="B817" s="7" t="s">
        <v>124</v>
      </c>
      <c r="C817" s="16">
        <v>5.0709843855633219</v>
      </c>
      <c r="D817" s="16">
        <v>1.912039581359251</v>
      </c>
      <c r="E817" s="16">
        <v>7.011838486984348</v>
      </c>
      <c r="F817" s="16">
        <v>14.357150543079149</v>
      </c>
    </row>
    <row r="818" spans="2:6" x14ac:dyDescent="0.35">
      <c r="B818" s="7" t="s">
        <v>125</v>
      </c>
      <c r="C818" s="16">
        <v>-1.9069175876782374</v>
      </c>
      <c r="D818" s="16">
        <v>6.7515478961417671E-2</v>
      </c>
      <c r="E818" s="16">
        <v>-1.1632089068169997</v>
      </c>
      <c r="F818" s="16">
        <v>-4.4851511159488435</v>
      </c>
    </row>
    <row r="819" spans="2:6" x14ac:dyDescent="0.35">
      <c r="B819" s="7" t="s">
        <v>126</v>
      </c>
      <c r="C819" s="16">
        <v>5.0555960049127417</v>
      </c>
      <c r="D819" s="16">
        <v>3.8673885600408728</v>
      </c>
      <c r="E819" s="16">
        <v>10.788307020287014</v>
      </c>
      <c r="F819" s="16">
        <v>20.910638775613684</v>
      </c>
    </row>
    <row r="820" spans="2:6" x14ac:dyDescent="0.35">
      <c r="B820" s="7" t="s">
        <v>127</v>
      </c>
      <c r="C820" s="16">
        <v>-6.3092032405192482</v>
      </c>
      <c r="D820" s="16">
        <v>-2.8737540317134602</v>
      </c>
      <c r="E820" s="16">
        <v>-4.8995989579513388</v>
      </c>
      <c r="F820" s="16">
        <v>-11.761845709969878</v>
      </c>
    </row>
    <row r="821" spans="2:6" x14ac:dyDescent="0.35">
      <c r="B821" s="7" t="s">
        <v>128</v>
      </c>
      <c r="C821" s="16">
        <v>-4.9176230809931036</v>
      </c>
      <c r="D821" s="16">
        <v>-2.1179236649933202</v>
      </c>
      <c r="E821" s="16">
        <v>-3.330885984215973</v>
      </c>
      <c r="F821" s="16">
        <v>-6.9875328536753267</v>
      </c>
    </row>
    <row r="822" spans="2:6" x14ac:dyDescent="0.35">
      <c r="B822" s="7" t="s">
        <v>129</v>
      </c>
      <c r="C822" s="16">
        <v>-8.9975253927311858</v>
      </c>
      <c r="D822" s="16">
        <v>-6.5707197075858739</v>
      </c>
      <c r="E822" s="16">
        <v>-15.717908621212537</v>
      </c>
      <c r="F822" s="16">
        <v>-34.548265749114513</v>
      </c>
    </row>
    <row r="823" spans="2:6" x14ac:dyDescent="0.35">
      <c r="B823" s="7" t="s">
        <v>130</v>
      </c>
      <c r="C823" s="16">
        <v>1.4118089681014749</v>
      </c>
      <c r="D823" s="16">
        <v>-0.87717873412007874</v>
      </c>
      <c r="E823" s="16">
        <v>-3.4746524831603178</v>
      </c>
      <c r="F823" s="16">
        <v>-7.1487816164552678</v>
      </c>
    </row>
    <row r="824" spans="2:6" x14ac:dyDescent="0.35">
      <c r="B824" s="7" t="s">
        <v>131</v>
      </c>
      <c r="C824" s="16">
        <v>-0.43434214961581047</v>
      </c>
      <c r="D824" s="16">
        <v>-1.9210108754177537</v>
      </c>
      <c r="E824" s="16">
        <v>-2.4931599548967158</v>
      </c>
      <c r="F824" s="16">
        <v>-5.531650470131579</v>
      </c>
    </row>
    <row r="825" spans="2:6" x14ac:dyDescent="0.35">
      <c r="B825" s="7" t="s">
        <v>132</v>
      </c>
      <c r="C825" s="16">
        <v>-4.1974910935824585</v>
      </c>
      <c r="D825" s="16">
        <v>-1.5146380004808702</v>
      </c>
      <c r="E825" s="16">
        <v>-0.55980644064575624</v>
      </c>
      <c r="F825" s="16">
        <v>-0.78943866560189169</v>
      </c>
    </row>
    <row r="826" spans="2:6" x14ac:dyDescent="0.35">
      <c r="B826" s="7" t="s">
        <v>133</v>
      </c>
      <c r="C826" s="16">
        <v>-2.8089550549759239</v>
      </c>
      <c r="D826" s="16">
        <v>-0.78791376558985804</v>
      </c>
      <c r="E826" s="16">
        <v>-0.95509453007938494</v>
      </c>
      <c r="F826" s="16">
        <v>-3.9973694165786449</v>
      </c>
    </row>
    <row r="827" spans="2:6" x14ac:dyDescent="0.35">
      <c r="B827" s="7" t="s">
        <v>134</v>
      </c>
      <c r="C827" s="16">
        <v>3.3910992233995541</v>
      </c>
      <c r="D827" s="16">
        <v>0.16626015802893521</v>
      </c>
      <c r="E827" s="16">
        <v>8.0916738814003339E-2</v>
      </c>
      <c r="F827" s="16">
        <v>0.9127895457380667</v>
      </c>
    </row>
    <row r="828" spans="2:6" x14ac:dyDescent="0.35">
      <c r="B828" s="7" t="s">
        <v>135</v>
      </c>
      <c r="C828" s="16">
        <v>-3.3538588757396854</v>
      </c>
      <c r="D828" s="16">
        <v>-0.57861056016805612</v>
      </c>
      <c r="E828" s="16">
        <v>1.1489692413224277</v>
      </c>
      <c r="F828" s="16">
        <v>2.1920497288836605</v>
      </c>
    </row>
    <row r="829" spans="2:6" x14ac:dyDescent="0.35">
      <c r="B829" s="7" t="s">
        <v>136</v>
      </c>
      <c r="C829" s="16">
        <v>-0.79295944784128958</v>
      </c>
      <c r="D829" s="16">
        <v>-3.3534537333500083</v>
      </c>
      <c r="E829" s="16">
        <v>-7.4046577347595495</v>
      </c>
      <c r="F829" s="16">
        <v>-14.483532493966765</v>
      </c>
    </row>
    <row r="830" spans="2:6" x14ac:dyDescent="0.35">
      <c r="B830" s="7" t="s">
        <v>137</v>
      </c>
      <c r="C830" s="16">
        <v>2.0198363870403804</v>
      </c>
      <c r="D830" s="16">
        <v>-0.48110411263797959</v>
      </c>
      <c r="E830" s="16">
        <v>1.8004525023937523</v>
      </c>
      <c r="F830" s="16">
        <v>3.5839629807713473</v>
      </c>
    </row>
    <row r="831" spans="2:6" x14ac:dyDescent="0.35">
      <c r="B831" s="7" t="s">
        <v>138</v>
      </c>
      <c r="C831" s="16">
        <v>-5.5872071173104283</v>
      </c>
      <c r="D831" s="16">
        <v>-2.6748468456854666</v>
      </c>
      <c r="E831" s="16">
        <v>-3.467465088626843</v>
      </c>
      <c r="F831" s="16">
        <v>-8.9795192376353263</v>
      </c>
    </row>
    <row r="832" spans="2:6" x14ac:dyDescent="0.35">
      <c r="B832" s="7" t="s">
        <v>139</v>
      </c>
      <c r="C832" s="16">
        <v>-5.8856464929878278</v>
      </c>
      <c r="D832" s="16">
        <v>-3.4865086336847027</v>
      </c>
      <c r="E832" s="16">
        <v>-7.2732575143599751</v>
      </c>
      <c r="F832" s="16">
        <v>-15.95893905854961</v>
      </c>
    </row>
    <row r="833" spans="2:6" x14ac:dyDescent="0.35">
      <c r="B833" s="7" t="s">
        <v>140</v>
      </c>
      <c r="C833" s="16">
        <v>-5.5872071173104283</v>
      </c>
      <c r="D833" s="16">
        <v>-2.5942957929916561</v>
      </c>
      <c r="E833" s="16">
        <v>-4.6659215012556521</v>
      </c>
      <c r="F833" s="16">
        <v>-10.764654778264758</v>
      </c>
    </row>
    <row r="834" spans="2:6" x14ac:dyDescent="0.35">
      <c r="B834" s="7" t="s">
        <v>141</v>
      </c>
      <c r="C834" s="16">
        <v>-3.4901290333876154</v>
      </c>
      <c r="D834" s="16">
        <v>-1.909225722888211</v>
      </c>
      <c r="E834" s="16">
        <v>-3.4386841632788703</v>
      </c>
      <c r="F834" s="16">
        <v>-9.5638500083621789</v>
      </c>
    </row>
    <row r="835" spans="2:6" x14ac:dyDescent="0.35">
      <c r="B835" s="7" t="s">
        <v>142</v>
      </c>
      <c r="C835" s="16">
        <v>-1.0473338512739159</v>
      </c>
      <c r="D835" s="16">
        <v>-0.82394396554761262</v>
      </c>
      <c r="E835" s="16">
        <v>-0.63097779444665525</v>
      </c>
      <c r="F835" s="16">
        <v>-0.51971694661921908</v>
      </c>
    </row>
    <row r="836" spans="2:6" x14ac:dyDescent="0.35">
      <c r="B836" s="7" t="s">
        <v>143</v>
      </c>
      <c r="C836" s="16">
        <v>-9.3667823130525711</v>
      </c>
      <c r="D836" s="16">
        <v>-5.595409071150149</v>
      </c>
      <c r="E836" s="16">
        <v>-13.222007913228445</v>
      </c>
      <c r="F836" s="16">
        <v>-28.752213542267793</v>
      </c>
    </row>
    <row r="837" spans="2:6" x14ac:dyDescent="0.35">
      <c r="B837" s="7" t="s">
        <v>144</v>
      </c>
      <c r="C837" s="16">
        <v>-2.7390118904108158</v>
      </c>
      <c r="D837" s="16">
        <v>-2.4641491626581415</v>
      </c>
      <c r="E837" s="16">
        <v>-3.6595507686299484</v>
      </c>
      <c r="F837" s="16">
        <v>-7.5924240912980148</v>
      </c>
    </row>
    <row r="838" spans="2:6" x14ac:dyDescent="0.35">
      <c r="B838" s="7" t="s">
        <v>145</v>
      </c>
      <c r="C838" s="16">
        <v>2.3247060815816547</v>
      </c>
      <c r="D838" s="16">
        <v>2.4801654877968682</v>
      </c>
      <c r="E838" s="16">
        <v>9.8490779978702641</v>
      </c>
      <c r="F838" s="16">
        <v>17.314874417772643</v>
      </c>
    </row>
    <row r="839" spans="2:6" x14ac:dyDescent="0.35">
      <c r="B839" s="7" t="s">
        <v>146</v>
      </c>
      <c r="C839" s="16">
        <v>0.55135465872353806</v>
      </c>
      <c r="D839" s="16">
        <v>-2.3851219787524869</v>
      </c>
      <c r="E839" s="16">
        <v>-5.2214813862009795</v>
      </c>
      <c r="F839" s="16">
        <v>-9.1361550900053086</v>
      </c>
    </row>
    <row r="840" spans="2:6" x14ac:dyDescent="0.35">
      <c r="B840" s="7" t="s">
        <v>147</v>
      </c>
      <c r="C840" s="16">
        <v>-4.7723320423351989</v>
      </c>
      <c r="D840" s="16">
        <v>-3.1879452091157536</v>
      </c>
      <c r="E840" s="16">
        <v>-6.4203351384943117</v>
      </c>
      <c r="F840" s="16">
        <v>-14.427215611027629</v>
      </c>
    </row>
    <row r="841" spans="2:6" x14ac:dyDescent="0.35">
      <c r="B841" s="7" t="s">
        <v>148</v>
      </c>
      <c r="C841" s="16">
        <v>-2.2984266659382051</v>
      </c>
      <c r="D841" s="16">
        <v>-0.87253956850344505</v>
      </c>
      <c r="E841" s="16">
        <v>-1.1071028532781753</v>
      </c>
      <c r="F841" s="16">
        <v>-5.191564392322606</v>
      </c>
    </row>
    <row r="842" spans="2:6" x14ac:dyDescent="0.35">
      <c r="B842" s="7" t="s">
        <v>149</v>
      </c>
      <c r="C842" s="16">
        <v>1.1177989197426921</v>
      </c>
      <c r="D842" s="16">
        <v>-1.7336022232975252</v>
      </c>
      <c r="E842" s="16">
        <v>-1.4711879751975472</v>
      </c>
      <c r="F842" s="16">
        <v>-1.8200699222970305</v>
      </c>
    </row>
    <row r="843" spans="2:6" x14ac:dyDescent="0.35">
      <c r="B843" s="7" t="s">
        <v>150</v>
      </c>
      <c r="C843" s="16">
        <v>1.7498651328289132</v>
      </c>
      <c r="D843" s="16">
        <v>-0.73201976503432997</v>
      </c>
      <c r="E843" s="16">
        <v>0.20738606000329785</v>
      </c>
      <c r="F843" s="16">
        <v>0.13868254116890866</v>
      </c>
    </row>
    <row r="844" spans="2:6" x14ac:dyDescent="0.35">
      <c r="B844" s="7" t="s">
        <v>151</v>
      </c>
      <c r="C844" s="16">
        <v>-3.0297853500613088</v>
      </c>
      <c r="D844" s="16">
        <v>0.13263983526311388</v>
      </c>
      <c r="E844" s="16">
        <v>1.4441385350203246</v>
      </c>
      <c r="F844" s="16">
        <v>3.7680748359174663</v>
      </c>
    </row>
    <row r="845" spans="2:6" x14ac:dyDescent="0.35">
      <c r="B845" s="7" t="s">
        <v>152</v>
      </c>
      <c r="C845" s="16">
        <v>1.2895214495026084</v>
      </c>
      <c r="D845" s="16">
        <v>2.6387763003982347</v>
      </c>
      <c r="E845" s="16">
        <v>8.0953353632245371</v>
      </c>
      <c r="F845" s="16">
        <v>14.327953870712236</v>
      </c>
    </row>
    <row r="846" spans="2:6" x14ac:dyDescent="0.35">
      <c r="B846" s="7" t="s">
        <v>153</v>
      </c>
      <c r="C846" s="16">
        <v>-5.0707714180126011</v>
      </c>
      <c r="D846" s="16">
        <v>-3.2104314599233157</v>
      </c>
      <c r="E846" s="16">
        <v>-6.7005800899930046</v>
      </c>
      <c r="F846" s="16">
        <v>-14.945141403564604</v>
      </c>
    </row>
    <row r="847" spans="2:6" x14ac:dyDescent="0.35">
      <c r="B847" s="7" t="s">
        <v>154</v>
      </c>
      <c r="C847" s="16">
        <v>-3.7198581139963367</v>
      </c>
      <c r="D847" s="16">
        <v>-1.4741154913159018</v>
      </c>
      <c r="E847" s="16">
        <v>-0.13996517265313568</v>
      </c>
      <c r="F847" s="16">
        <v>-3.3168166073030183</v>
      </c>
    </row>
    <row r="848" spans="2:6" x14ac:dyDescent="0.35">
      <c r="B848" s="7" t="s">
        <v>155</v>
      </c>
      <c r="C848" s="16">
        <v>-5.7826331681815768</v>
      </c>
      <c r="D848" s="16">
        <v>-3.1030818217619038</v>
      </c>
      <c r="E848" s="16">
        <v>-4.7999083561427769</v>
      </c>
      <c r="F848" s="16">
        <v>-12.691806907677917</v>
      </c>
    </row>
    <row r="849" spans="2:6" x14ac:dyDescent="0.35">
      <c r="B849" s="7" t="s">
        <v>156</v>
      </c>
      <c r="C849" s="16">
        <v>-1.4337278313452357</v>
      </c>
      <c r="D849" s="16">
        <v>-2.7562067318186712</v>
      </c>
      <c r="E849" s="16">
        <v>-6.1663325726668274</v>
      </c>
      <c r="F849" s="16">
        <v>-12.864489588936593</v>
      </c>
    </row>
    <row r="850" spans="2:6" x14ac:dyDescent="0.35">
      <c r="B850" s="7" t="s">
        <v>157</v>
      </c>
      <c r="C850" s="16">
        <v>-0.28522591896118732</v>
      </c>
      <c r="D850" s="16">
        <v>-2.8670642127213513</v>
      </c>
      <c r="E850" s="16">
        <v>-5.7512453345096803</v>
      </c>
      <c r="F850" s="16">
        <v>-11.521435529678124</v>
      </c>
    </row>
    <row r="851" spans="2:6" x14ac:dyDescent="0.35">
      <c r="B851" s="7" t="s">
        <v>158</v>
      </c>
      <c r="C851" s="16">
        <v>-2.7046774792033257</v>
      </c>
      <c r="D851" s="16">
        <v>-0.55901444739572526</v>
      </c>
      <c r="E851" s="16">
        <v>-0.63550059635917577</v>
      </c>
      <c r="F851" s="16">
        <v>-3.7376867440154782</v>
      </c>
    </row>
    <row r="852" spans="2:6" x14ac:dyDescent="0.35">
      <c r="B852" s="7" t="s">
        <v>159</v>
      </c>
      <c r="C852" s="16">
        <v>-2.5389838007644587</v>
      </c>
      <c r="D852" s="16">
        <v>-2.4699401246664365</v>
      </c>
      <c r="E852" s="16">
        <v>-2.7079186205663812</v>
      </c>
      <c r="F852" s="16">
        <v>-4.9941701217169392</v>
      </c>
    </row>
    <row r="853" spans="2:6" x14ac:dyDescent="0.35">
      <c r="B853" s="7" t="s">
        <v>160</v>
      </c>
      <c r="C853" s="16">
        <v>3.0723103153791778</v>
      </c>
      <c r="D853" s="16">
        <v>-0.1654545491988586</v>
      </c>
      <c r="E853" s="16">
        <v>3.4030274302638208</v>
      </c>
      <c r="F853" s="16">
        <v>8.4723119449117217</v>
      </c>
    </row>
    <row r="854" spans="2:6" x14ac:dyDescent="0.35">
      <c r="B854" s="7" t="s">
        <v>161</v>
      </c>
      <c r="C854" s="16">
        <v>-3.975215986303946</v>
      </c>
      <c r="D854" s="16">
        <v>-2.0371665505334162</v>
      </c>
      <c r="E854" s="16">
        <v>-2.7021929584323838</v>
      </c>
      <c r="F854" s="16">
        <v>-8.3370275437262418</v>
      </c>
    </row>
    <row r="855" spans="2:6" x14ac:dyDescent="0.35">
      <c r="B855" s="7" t="s">
        <v>162</v>
      </c>
      <c r="C855" s="16">
        <v>-7.3677752427807643</v>
      </c>
      <c r="D855" s="16">
        <v>-4.4123648092390422</v>
      </c>
      <c r="E855" s="16">
        <v>-5.1949498280642086</v>
      </c>
      <c r="F855" s="16">
        <v>-12.874255519436197</v>
      </c>
    </row>
    <row r="856" spans="2:6" x14ac:dyDescent="0.35">
      <c r="B856" s="7" t="s">
        <v>163</v>
      </c>
      <c r="C856" s="16">
        <v>-1.0095659018346264</v>
      </c>
      <c r="D856" s="16">
        <v>-1.716934422513116</v>
      </c>
      <c r="E856" s="16">
        <v>-1.5762679391632448</v>
      </c>
      <c r="F856" s="16">
        <v>-2.4585547717430578</v>
      </c>
    </row>
    <row r="857" spans="2:6" x14ac:dyDescent="0.35">
      <c r="B857" s="7" t="s">
        <v>164</v>
      </c>
      <c r="C857" s="16">
        <v>-0.84557806761664711</v>
      </c>
      <c r="D857" s="16">
        <v>-2.2979006601034011</v>
      </c>
      <c r="E857" s="16">
        <v>-3.7879668108829843</v>
      </c>
      <c r="F857" s="16">
        <v>-6.5989174862764299</v>
      </c>
    </row>
    <row r="858" spans="2:6" x14ac:dyDescent="0.35">
      <c r="B858" s="7" t="s">
        <v>165</v>
      </c>
      <c r="C858" s="16">
        <v>0.60490170215810846</v>
      </c>
      <c r="D858" s="16">
        <v>1.1784639305182325</v>
      </c>
      <c r="E858" s="16">
        <v>4.6007217810055216</v>
      </c>
      <c r="F858" s="16">
        <v>10.405176624133786</v>
      </c>
    </row>
    <row r="859" spans="2:6" x14ac:dyDescent="0.35">
      <c r="B859" s="7" t="s">
        <v>166</v>
      </c>
      <c r="C859" s="16">
        <v>-3.7691211686090553</v>
      </c>
      <c r="D859" s="16">
        <v>-1.3036104440095029</v>
      </c>
      <c r="E859" s="16">
        <v>3.3721435276799472</v>
      </c>
      <c r="F859" s="16">
        <v>5.0930125515821567</v>
      </c>
    </row>
    <row r="860" spans="2:6" x14ac:dyDescent="0.35">
      <c r="B860" s="7" t="s">
        <v>167</v>
      </c>
      <c r="C860" s="16">
        <v>-0.60797921425301304</v>
      </c>
      <c r="D860" s="16">
        <v>-2.4988596965234562</v>
      </c>
      <c r="E860" s="16">
        <v>-3.7072489981338697</v>
      </c>
      <c r="F860" s="16">
        <v>-6.6901434623251541</v>
      </c>
    </row>
    <row r="861" spans="2:6" x14ac:dyDescent="0.35">
      <c r="B861" s="7" t="s">
        <v>168</v>
      </c>
      <c r="C861" s="16">
        <v>-0.84557806761664711</v>
      </c>
      <c r="D861" s="16">
        <v>-0.3413597805768569</v>
      </c>
      <c r="E861" s="16">
        <v>-0.3655615259280755</v>
      </c>
      <c r="F861" s="16">
        <v>-1.9933037940216194</v>
      </c>
    </row>
    <row r="862" spans="2:6" x14ac:dyDescent="0.35">
      <c r="B862" s="7" t="s">
        <v>169</v>
      </c>
      <c r="C862" s="16">
        <v>-0.4651310858310822</v>
      </c>
      <c r="D862" s="16">
        <v>-7.8612126057789347E-2</v>
      </c>
      <c r="E862" s="16">
        <v>3.2936650819836877</v>
      </c>
      <c r="F862" s="16">
        <v>9.0768825083186808</v>
      </c>
    </row>
    <row r="863" spans="2:6" x14ac:dyDescent="0.35">
      <c r="B863" s="7" t="s">
        <v>170</v>
      </c>
      <c r="C863" s="16">
        <v>1.9744107177324621</v>
      </c>
      <c r="D863" s="16">
        <v>-0.28070558235002346</v>
      </c>
      <c r="E863" s="16">
        <v>2.3654728273456236</v>
      </c>
      <c r="F863" s="16">
        <v>5.97880916406959</v>
      </c>
    </row>
    <row r="864" spans="2:6" x14ac:dyDescent="0.35">
      <c r="B864" s="7" t="s">
        <v>171</v>
      </c>
      <c r="C864" s="16">
        <v>-7.1960527130207819</v>
      </c>
      <c r="D864" s="16">
        <v>-4.7150473113627545</v>
      </c>
      <c r="E864" s="16">
        <v>-7.774341191094277</v>
      </c>
      <c r="F864" s="16">
        <v>-17.989514516593704</v>
      </c>
    </row>
    <row r="865" spans="2:6" x14ac:dyDescent="0.35">
      <c r="B865" s="7" t="s">
        <v>172</v>
      </c>
      <c r="C865" s="16">
        <v>-4.1402658292489125</v>
      </c>
      <c r="D865" s="16">
        <v>-1.4039710160450594</v>
      </c>
      <c r="E865" s="16">
        <v>-0.43533482314004729</v>
      </c>
      <c r="F865" s="16">
        <v>-2.1938820225390003</v>
      </c>
    </row>
    <row r="866" spans="2:6" x14ac:dyDescent="0.35">
      <c r="B866" s="7" t="s">
        <v>173</v>
      </c>
      <c r="C866" s="16">
        <v>-7.6859537522979497</v>
      </c>
      <c r="D866" s="16">
        <v>-4.5828118723698212</v>
      </c>
      <c r="E866" s="16">
        <v>-5.9903834092581203</v>
      </c>
      <c r="F866" s="16">
        <v>-13.938002715021488</v>
      </c>
    </row>
    <row r="867" spans="2:6" x14ac:dyDescent="0.35">
      <c r="B867" s="7" t="s">
        <v>174</v>
      </c>
      <c r="C867" s="16">
        <v>-2.5069771975852806</v>
      </c>
      <c r="D867" s="16">
        <v>-0.72723111548831409</v>
      </c>
      <c r="E867" s="16">
        <v>3.2500699852566131</v>
      </c>
      <c r="F867" s="16">
        <v>4.9828020625547547</v>
      </c>
    </row>
    <row r="868" spans="2:6" x14ac:dyDescent="0.35">
      <c r="B868" s="7" t="s">
        <v>175</v>
      </c>
      <c r="C868" s="16">
        <v>-1.2238129803767399</v>
      </c>
      <c r="D868" s="16">
        <v>-0.16736314403081246</v>
      </c>
      <c r="E868" s="16">
        <v>2.1714511254196567</v>
      </c>
      <c r="F868" s="16">
        <v>2.6936348163213388</v>
      </c>
    </row>
    <row r="869" spans="2:6" x14ac:dyDescent="0.35">
      <c r="B869" s="7" t="s">
        <v>176</v>
      </c>
      <c r="C869" s="16">
        <v>1.7498651328289132</v>
      </c>
      <c r="D869" s="16">
        <v>-1.3531527829657506</v>
      </c>
      <c r="E869" s="16">
        <v>-3.5333379285579425</v>
      </c>
      <c r="F869" s="16">
        <v>-5.6093747364893707</v>
      </c>
    </row>
    <row r="870" spans="2:6" x14ac:dyDescent="0.35">
      <c r="B870" s="7" t="s">
        <v>177</v>
      </c>
      <c r="C870" s="16">
        <v>-6.219273330396649</v>
      </c>
      <c r="D870" s="16">
        <v>-2.4269489695605939</v>
      </c>
      <c r="E870" s="16">
        <v>1.447293630222066</v>
      </c>
      <c r="F870" s="16">
        <v>1.884450034218436</v>
      </c>
    </row>
    <row r="871" spans="2:6" x14ac:dyDescent="0.35">
      <c r="B871" s="7" t="s">
        <v>178</v>
      </c>
      <c r="C871" s="16">
        <v>-0.84557806761664711</v>
      </c>
      <c r="D871" s="16">
        <v>-2.2496376429822611</v>
      </c>
      <c r="E871" s="16">
        <v>-4.2755371005113458</v>
      </c>
      <c r="F871" s="16">
        <v>-8.0905216486341889</v>
      </c>
    </row>
    <row r="872" spans="2:6" x14ac:dyDescent="0.35">
      <c r="B872" s="7" t="s">
        <v>179</v>
      </c>
      <c r="C872" s="16">
        <v>-2.9917639168648642</v>
      </c>
      <c r="D872" s="16">
        <v>-0.60689845945550935</v>
      </c>
      <c r="E872" s="16">
        <v>2.8920890000887485</v>
      </c>
      <c r="F872" s="16">
        <v>4.3324262387296599</v>
      </c>
    </row>
    <row r="873" spans="2:6" x14ac:dyDescent="0.35">
      <c r="B873" s="7" t="s">
        <v>180</v>
      </c>
      <c r="C873" s="16">
        <v>-2.1768888418896375</v>
      </c>
      <c r="D873" s="16">
        <v>-1.2702511152285196</v>
      </c>
      <c r="E873" s="16">
        <v>0.93084259471354125</v>
      </c>
      <c r="F873" s="16">
        <v>0.29268642882943935</v>
      </c>
    </row>
    <row r="874" spans="2:6" x14ac:dyDescent="0.35">
      <c r="B874" s="7" t="s">
        <v>181</v>
      </c>
      <c r="C874" s="16">
        <v>-2.1865062716233934E-2</v>
      </c>
      <c r="D874" s="16">
        <v>-0.67038480074688556</v>
      </c>
      <c r="E874" s="16">
        <v>3.3016579567707338</v>
      </c>
      <c r="F874" s="16">
        <v>11.038005721851933</v>
      </c>
    </row>
    <row r="875" spans="2:6" x14ac:dyDescent="0.35">
      <c r="B875" s="7" t="s">
        <v>182</v>
      </c>
      <c r="C875" s="16">
        <v>-0.28522591896118732</v>
      </c>
      <c r="D875" s="16">
        <v>-0.42354771474529884</v>
      </c>
      <c r="E875" s="16">
        <v>2.6234699882418062</v>
      </c>
      <c r="F875" s="16">
        <v>8.8224596012792791</v>
      </c>
    </row>
    <row r="876" spans="2:6" x14ac:dyDescent="0.35">
      <c r="B876" s="7" t="s">
        <v>183</v>
      </c>
      <c r="C876" s="16">
        <v>1.6045740941710118</v>
      </c>
      <c r="D876" s="16">
        <v>0.5047611361668245</v>
      </c>
      <c r="E876" s="16">
        <v>1.5600268876216272</v>
      </c>
      <c r="F876" s="16">
        <v>6.0485014358673777</v>
      </c>
    </row>
    <row r="877" spans="2:6" x14ac:dyDescent="0.35">
      <c r="B877" s="7" t="s">
        <v>184</v>
      </c>
      <c r="C877" s="16">
        <v>-5.4043982554214205</v>
      </c>
      <c r="D877" s="16">
        <v>-2.4056109645120904</v>
      </c>
      <c r="E877" s="16">
        <v>-0.67907333720947594</v>
      </c>
      <c r="F877" s="16">
        <v>-4.0375366296293702</v>
      </c>
    </row>
    <row r="878" spans="2:6" x14ac:dyDescent="0.35">
      <c r="B878" s="7" t="s">
        <v>185</v>
      </c>
      <c r="C878" s="16">
        <v>1.0278690096200926</v>
      </c>
      <c r="D878" s="16">
        <v>0.4153162783457755</v>
      </c>
      <c r="E878" s="16">
        <v>0.27838318261647566</v>
      </c>
      <c r="F878" s="16">
        <v>6.2475964736058271</v>
      </c>
    </row>
    <row r="879" spans="2:6" x14ac:dyDescent="0.35">
      <c r="B879" s="7" t="s">
        <v>186</v>
      </c>
      <c r="C879" s="16">
        <v>-3.3112632724041453</v>
      </c>
      <c r="D879" s="16">
        <v>-3.6323421148914696</v>
      </c>
      <c r="E879" s="16">
        <v>-6.6807800737738301</v>
      </c>
      <c r="F879" s="16">
        <v>-11.985249679647705</v>
      </c>
    </row>
    <row r="880" spans="2:6" x14ac:dyDescent="0.35">
      <c r="B880" s="7" t="s">
        <v>187</v>
      </c>
      <c r="C880" s="16">
        <v>-1.4337278313452357</v>
      </c>
      <c r="D880" s="16">
        <v>-1.2142173398641289</v>
      </c>
      <c r="E880" s="16">
        <v>-2.5007003499697502</v>
      </c>
      <c r="F880" s="16">
        <v>-6.3704725599993273</v>
      </c>
    </row>
    <row r="881" spans="2:6" x14ac:dyDescent="0.35">
      <c r="B881" s="7" t="s">
        <v>188</v>
      </c>
      <c r="C881" s="16">
        <v>-2.5069771975852806</v>
      </c>
      <c r="D881" s="16">
        <v>0.64494078679503897</v>
      </c>
      <c r="E881" s="16">
        <v>8.3363496066830898</v>
      </c>
      <c r="F881" s="16">
        <v>15.058574507752882</v>
      </c>
    </row>
    <row r="882" spans="2:6" x14ac:dyDescent="0.35">
      <c r="B882" s="7" t="s">
        <v>189</v>
      </c>
      <c r="C882" s="16">
        <v>1.8198082973940213</v>
      </c>
      <c r="D882" s="16">
        <v>-0.57335516894118421</v>
      </c>
      <c r="E882" s="16">
        <v>-2.1806549601674421</v>
      </c>
      <c r="F882" s="16">
        <v>-3.5004115679491892</v>
      </c>
    </row>
    <row r="883" spans="2:6" x14ac:dyDescent="0.35">
      <c r="B883" s="7" t="s">
        <v>190</v>
      </c>
      <c r="C883" s="16">
        <v>2.3932389627006074</v>
      </c>
      <c r="D883" s="16">
        <v>0.61186941004557693</v>
      </c>
      <c r="E883" s="16">
        <v>5.2854753097498692</v>
      </c>
      <c r="F883" s="16">
        <v>14.381376044259286</v>
      </c>
    </row>
    <row r="884" spans="2:6" x14ac:dyDescent="0.35">
      <c r="B884" s="7" t="s">
        <v>191</v>
      </c>
      <c r="C884" s="16">
        <v>-0.67385553785666696</v>
      </c>
      <c r="D884" s="16">
        <v>-2.3531693691700655</v>
      </c>
      <c r="E884" s="16">
        <v>-7.582874627400904</v>
      </c>
      <c r="F884" s="16">
        <v>-13.984649644623412</v>
      </c>
    </row>
    <row r="885" spans="2:6" x14ac:dyDescent="0.35">
      <c r="B885" s="7" t="s">
        <v>192</v>
      </c>
      <c r="C885" s="16">
        <v>-5.5872071173104283</v>
      </c>
      <c r="D885" s="16">
        <v>-2.7411552376238553</v>
      </c>
      <c r="E885" s="16">
        <v>-2.5694121251106194</v>
      </c>
      <c r="F885" s="16">
        <v>-7.5796363578730697</v>
      </c>
    </row>
    <row r="886" spans="2:6" x14ac:dyDescent="0.35">
      <c r="B886" s="7" t="s">
        <v>193</v>
      </c>
      <c r="C886" s="16">
        <v>0.4072014205400637</v>
      </c>
      <c r="D886" s="16">
        <v>-0.34259686198442435</v>
      </c>
      <c r="E886" s="16">
        <v>2.0712967224694894</v>
      </c>
      <c r="F886" s="16">
        <v>8.1366628674037926</v>
      </c>
    </row>
    <row r="887" spans="2:6" x14ac:dyDescent="0.35">
      <c r="B887" s="7" t="s">
        <v>194</v>
      </c>
      <c r="C887" s="16">
        <v>2.7629973975847153</v>
      </c>
      <c r="D887" s="16">
        <v>2.1607337658489367</v>
      </c>
      <c r="E887" s="16">
        <v>7.4587862356179997</v>
      </c>
      <c r="F887" s="16">
        <v>18.846039542983597</v>
      </c>
    </row>
    <row r="888" spans="2:6" x14ac:dyDescent="0.35">
      <c r="B888" s="7" t="s">
        <v>195</v>
      </c>
      <c r="C888" s="16">
        <v>-2.3521542792322698</v>
      </c>
      <c r="D888" s="16">
        <v>-2.0106042799238582</v>
      </c>
      <c r="E888" s="16">
        <v>-3.6129366365225293</v>
      </c>
      <c r="F888" s="16">
        <v>-5.9908872404735121</v>
      </c>
    </row>
    <row r="889" spans="2:6" x14ac:dyDescent="0.35">
      <c r="B889" s="7" t="s">
        <v>196</v>
      </c>
      <c r="C889" s="16">
        <v>-0.15741983855884001</v>
      </c>
      <c r="D889" s="16">
        <v>0.40463863660207111</v>
      </c>
      <c r="E889" s="16">
        <v>1.6620577643076371</v>
      </c>
      <c r="F889" s="16">
        <v>5.7677022627574468</v>
      </c>
    </row>
    <row r="890" spans="2:6" x14ac:dyDescent="0.35">
      <c r="B890" s="7" t="s">
        <v>197</v>
      </c>
      <c r="C890" s="16">
        <v>-0.67385553785666696</v>
      </c>
      <c r="D890" s="16">
        <v>-0.93194910543707377</v>
      </c>
      <c r="E890" s="16">
        <v>0.10075417991208963</v>
      </c>
      <c r="F890" s="16">
        <v>1.7046927008096888</v>
      </c>
    </row>
    <row r="891" spans="2:6" x14ac:dyDescent="0.35">
      <c r="B891" s="7" t="s">
        <v>198</v>
      </c>
      <c r="C891" s="16">
        <v>0.96317490973164921</v>
      </c>
      <c r="D891" s="16">
        <v>-1.3653946059179025</v>
      </c>
      <c r="E891" s="16">
        <v>-3.8858924110075863</v>
      </c>
      <c r="F891" s="16">
        <v>-7.1188927113286713</v>
      </c>
    </row>
    <row r="892" spans="2:6" x14ac:dyDescent="0.35">
      <c r="B892" s="7" t="s">
        <v>199</v>
      </c>
      <c r="C892" s="16">
        <v>2.443571951796188</v>
      </c>
      <c r="D892" s="16">
        <v>0.80410720423879256</v>
      </c>
      <c r="E892" s="16">
        <v>4.2877911573162661</v>
      </c>
      <c r="F892" s="16">
        <v>12.882006971860571</v>
      </c>
    </row>
    <row r="893" spans="2:6" x14ac:dyDescent="0.35">
      <c r="B893" s="7" t="s">
        <v>200</v>
      </c>
      <c r="C893" s="16">
        <v>-1.0095659018346264</v>
      </c>
      <c r="D893" s="16">
        <v>0.62986885632300182</v>
      </c>
      <c r="E893" s="16">
        <v>0.41349134761469875</v>
      </c>
      <c r="F893" s="16">
        <v>2.4073633381119213</v>
      </c>
    </row>
    <row r="894" spans="2:6" x14ac:dyDescent="0.35">
      <c r="B894" s="7" t="s">
        <v>201</v>
      </c>
      <c r="C894" s="16">
        <v>1.7567883773714706E-2</v>
      </c>
      <c r="D894" s="16">
        <v>1.3624212848996993</v>
      </c>
      <c r="E894" s="16">
        <v>2.0055983379801856</v>
      </c>
      <c r="F894" s="16">
        <v>5.5913614162281533</v>
      </c>
    </row>
    <row r="895" spans="2:6" x14ac:dyDescent="0.35">
      <c r="B895" s="7" t="s">
        <v>202</v>
      </c>
      <c r="C895" s="16">
        <v>0.89696862465724347</v>
      </c>
      <c r="D895" s="16">
        <v>-8.3273821492682754E-2</v>
      </c>
      <c r="E895" s="16">
        <v>1.6486287529910288</v>
      </c>
      <c r="F895" s="16">
        <v>7.001524337718557</v>
      </c>
    </row>
    <row r="896" spans="2:6" x14ac:dyDescent="0.35">
      <c r="B896" s="7" t="s">
        <v>203</v>
      </c>
      <c r="C896" s="16">
        <v>-2.1207968259181156</v>
      </c>
      <c r="D896" s="16">
        <v>-0.41947498331396094</v>
      </c>
      <c r="E896" s="16">
        <v>-2.5438445656103514</v>
      </c>
      <c r="F896" s="16">
        <v>-3.8174869035971986</v>
      </c>
    </row>
    <row r="897" spans="2:6" x14ac:dyDescent="0.35">
      <c r="B897" s="7" t="s">
        <v>204</v>
      </c>
      <c r="C897" s="16">
        <v>1.7213970113629138</v>
      </c>
      <c r="D897" s="16">
        <v>1.3227387673561259</v>
      </c>
      <c r="E897" s="16">
        <v>4.7042970544430132</v>
      </c>
      <c r="F897" s="16">
        <v>13.207673586031719</v>
      </c>
    </row>
    <row r="898" spans="2:6" x14ac:dyDescent="0.35">
      <c r="B898" s="7" t="s">
        <v>205</v>
      </c>
      <c r="C898" s="16">
        <v>0.83896207380850196</v>
      </c>
      <c r="D898" s="16">
        <v>-0.13924344398627245</v>
      </c>
      <c r="E898" s="16">
        <v>0.86313685403564266</v>
      </c>
      <c r="F898" s="16">
        <v>5.9594971116019968</v>
      </c>
    </row>
    <row r="899" spans="2:6" x14ac:dyDescent="0.35">
      <c r="B899" s="7" t="s">
        <v>206</v>
      </c>
      <c r="C899" s="16">
        <v>-8.8831638976866217E-2</v>
      </c>
      <c r="D899" s="16">
        <v>-0.46273000198550013</v>
      </c>
      <c r="E899" s="16">
        <v>-0.76486105726426379</v>
      </c>
      <c r="F899" s="16">
        <v>1.8737843507472176</v>
      </c>
    </row>
    <row r="900" spans="2:6" x14ac:dyDescent="0.35">
      <c r="B900" s="7" t="s">
        <v>207</v>
      </c>
      <c r="C900" s="16">
        <v>1.4827250175269373</v>
      </c>
      <c r="D900" s="16">
        <v>1.2620783154661734</v>
      </c>
      <c r="E900" s="16">
        <v>4.1306593026558156</v>
      </c>
      <c r="F900" s="16">
        <v>12.758234058246897</v>
      </c>
    </row>
    <row r="901" spans="2:6" x14ac:dyDescent="0.35">
      <c r="B901" s="7" t="s">
        <v>208</v>
      </c>
      <c r="C901" s="16">
        <v>5.4938102456585254</v>
      </c>
      <c r="D901" s="16">
        <v>4.252227621070011</v>
      </c>
      <c r="E901" s="16">
        <v>16.894019308601102</v>
      </c>
      <c r="F901" s="16">
        <v>34.87656475991129</v>
      </c>
    </row>
    <row r="902" spans="2:6" x14ac:dyDescent="0.35">
      <c r="B902" s="7" t="s">
        <v>209</v>
      </c>
      <c r="C902" s="16">
        <v>-3.1073944306533234</v>
      </c>
      <c r="D902" s="16">
        <v>0.42464808506644597</v>
      </c>
      <c r="E902" s="16">
        <v>1.3520328670000066</v>
      </c>
      <c r="F902" s="16">
        <v>3.6248286524314399</v>
      </c>
    </row>
    <row r="903" spans="2:6" x14ac:dyDescent="0.35">
      <c r="B903" s="7" t="s">
        <v>210</v>
      </c>
      <c r="C903" s="16">
        <v>-8.6596577121383633E-3</v>
      </c>
      <c r="D903" s="16">
        <v>1.025108279693997</v>
      </c>
      <c r="E903" s="16">
        <v>1.9251443236732149</v>
      </c>
      <c r="F903" s="16">
        <v>5.2270142385567206</v>
      </c>
    </row>
    <row r="904" spans="2:6" x14ac:dyDescent="0.35">
      <c r="B904" s="7" t="s">
        <v>211</v>
      </c>
      <c r="C904" s="16">
        <v>-4.8462011585395655E-2</v>
      </c>
      <c r="D904" s="16">
        <v>0.71798163812773319</v>
      </c>
      <c r="E904" s="16">
        <v>5.592574597563503E-2</v>
      </c>
      <c r="F904" s="16">
        <v>0.8534366233291576</v>
      </c>
    </row>
    <row r="905" spans="2:6" x14ac:dyDescent="0.35">
      <c r="B905" s="7" t="s">
        <v>212</v>
      </c>
      <c r="C905" s="16">
        <v>-1.4337278313452357</v>
      </c>
      <c r="D905" s="16">
        <v>-0.76696327222345051</v>
      </c>
      <c r="E905" s="16">
        <v>-2.7863329002131945</v>
      </c>
      <c r="F905" s="16">
        <v>-0.29033831016031181</v>
      </c>
    </row>
    <row r="906" spans="2:6" x14ac:dyDescent="0.35">
      <c r="B906" s="7" t="s">
        <v>213</v>
      </c>
      <c r="C906" s="16">
        <v>-0.77563490305153904</v>
      </c>
      <c r="D906" s="16">
        <v>2.9625414480883894</v>
      </c>
      <c r="E906" s="16">
        <v>5.7304074740513427</v>
      </c>
      <c r="F906" s="16">
        <v>11.544497053100542</v>
      </c>
    </row>
    <row r="907" spans="2:6" x14ac:dyDescent="0.35">
      <c r="B907" s="7" t="s">
        <v>214</v>
      </c>
      <c r="C907" s="16">
        <v>-0.60797921425301304</v>
      </c>
      <c r="D907" s="16">
        <v>0.43192398357394413</v>
      </c>
      <c r="E907" s="16">
        <v>-0.33807447976575955</v>
      </c>
      <c r="F907" s="16">
        <v>-0.3238796427817931</v>
      </c>
    </row>
    <row r="908" spans="2:6" x14ac:dyDescent="0.35">
      <c r="B908" s="7" t="s">
        <v>215</v>
      </c>
      <c r="C908" s="16">
        <v>-3.0297853500613088</v>
      </c>
      <c r="D908" s="16">
        <v>-1.221219759780356</v>
      </c>
      <c r="E908" s="16">
        <v>-4.1621833517475704</v>
      </c>
      <c r="F908" s="16">
        <v>-7.7887228572726173</v>
      </c>
    </row>
    <row r="909" spans="2:6" x14ac:dyDescent="0.35">
      <c r="B909" s="7" t="s">
        <v>216</v>
      </c>
      <c r="C909" s="16">
        <v>-1.9588925182692771</v>
      </c>
      <c r="D909" s="16">
        <v>1.2094653807506546</v>
      </c>
      <c r="E909" s="16">
        <v>0.75062327886492375</v>
      </c>
      <c r="F909" s="16">
        <v>1.3732683530199101</v>
      </c>
    </row>
    <row r="910" spans="2:6" x14ac:dyDescent="0.35">
      <c r="B910" s="7" t="s">
        <v>217</v>
      </c>
      <c r="C910" s="16">
        <v>-3.6714372042518111</v>
      </c>
      <c r="D910" s="16">
        <v>-3.3871104904162319</v>
      </c>
      <c r="E910" s="16">
        <v>-7.4041085164409823</v>
      </c>
      <c r="F910" s="16">
        <v>-12.559128621830313</v>
      </c>
    </row>
    <row r="911" spans="2:6" x14ac:dyDescent="0.35">
      <c r="B911" s="7" t="s">
        <v>218</v>
      </c>
      <c r="C911" s="16">
        <v>-6.219273330396649</v>
      </c>
      <c r="D911" s="16">
        <v>-1.3367869045247529</v>
      </c>
      <c r="E911" s="16">
        <v>-7.1945027075620152</v>
      </c>
      <c r="F911" s="16">
        <v>-17.264883763798018</v>
      </c>
    </row>
    <row r="912" spans="2:6" x14ac:dyDescent="0.35">
      <c r="B912" s="7" t="s">
        <v>219</v>
      </c>
      <c r="C912" s="16">
        <v>-3.1073944306533234</v>
      </c>
      <c r="D912" s="16">
        <v>-2.8132842786968779</v>
      </c>
      <c r="E912" s="16">
        <v>-5.5309632341154096</v>
      </c>
      <c r="F912" s="16">
        <v>-7.9618515512154362</v>
      </c>
    </row>
    <row r="913" spans="2:6" x14ac:dyDescent="0.35">
      <c r="B913" s="7" t="s">
        <v>220</v>
      </c>
      <c r="C913" s="16">
        <v>-1.028386929505589</v>
      </c>
      <c r="D913" s="16">
        <v>0.26460823606014244</v>
      </c>
      <c r="E913" s="16">
        <v>3.1044302040812588</v>
      </c>
      <c r="F913" s="16">
        <v>15.216426780994629</v>
      </c>
    </row>
    <row r="914" spans="2:6" x14ac:dyDescent="0.35">
      <c r="B914" s="7" t="s">
        <v>221</v>
      </c>
      <c r="C914" s="16">
        <v>-0.4651310858310822</v>
      </c>
      <c r="D914" s="16">
        <v>0.96292937294808045</v>
      </c>
      <c r="E914" s="16">
        <v>1.5206326582363627</v>
      </c>
      <c r="F914" s="16">
        <v>4.24430651436061</v>
      </c>
    </row>
    <row r="915" spans="2:6" x14ac:dyDescent="0.35">
      <c r="B915" s="7" t="s">
        <v>222</v>
      </c>
      <c r="C915" s="16">
        <v>1.9744107177324621</v>
      </c>
      <c r="D915" s="16">
        <v>2.093895065521918</v>
      </c>
      <c r="E915" s="16">
        <v>4.9727932886164892</v>
      </c>
      <c r="F915" s="16">
        <v>13.422019575734831</v>
      </c>
    </row>
    <row r="916" spans="2:6" x14ac:dyDescent="0.35">
      <c r="B916" s="7" t="s">
        <v>223</v>
      </c>
      <c r="C916" s="16">
        <v>0.31470163405672968</v>
      </c>
      <c r="D916" s="16">
        <v>9.5857851057640317E-2</v>
      </c>
      <c r="E916" s="16">
        <v>1.3139399765417821</v>
      </c>
      <c r="F916" s="16">
        <v>6.5296224453799931</v>
      </c>
    </row>
    <row r="917" spans="2:6" x14ac:dyDescent="0.35">
      <c r="B917" s="7" t="s">
        <v>224</v>
      </c>
      <c r="C917" s="16">
        <v>-1.2036523668482215</v>
      </c>
      <c r="D917" s="16">
        <v>-0.54899621568399826</v>
      </c>
      <c r="E917" s="16">
        <v>-0.39925811323588267</v>
      </c>
      <c r="F917" s="16">
        <v>2.1854147524085588</v>
      </c>
    </row>
    <row r="918" spans="2:6" x14ac:dyDescent="0.35">
      <c r="B918" s="7" t="s">
        <v>225</v>
      </c>
      <c r="C918" s="16">
        <v>-0.75841567529412501</v>
      </c>
      <c r="D918" s="16">
        <v>-1.6863499039734298</v>
      </c>
      <c r="E918" s="16">
        <v>-1.5374033972757186</v>
      </c>
      <c r="F918" s="16">
        <v>-0.29480991985946209</v>
      </c>
    </row>
    <row r="919" spans="2:6" x14ac:dyDescent="0.35">
      <c r="B919" s="7" t="s">
        <v>226</v>
      </c>
      <c r="C919" s="16">
        <v>-0.15741983855884001</v>
      </c>
      <c r="D919" s="16">
        <v>-1.1792357461890555</v>
      </c>
      <c r="E919" s="16">
        <v>-0.43632452825297391</v>
      </c>
      <c r="F919" s="16">
        <v>2.0000817470101078</v>
      </c>
    </row>
    <row r="920" spans="2:6" x14ac:dyDescent="0.35">
      <c r="B920" s="7" t="s">
        <v>227</v>
      </c>
      <c r="C920" s="16">
        <v>0.25531677046680479</v>
      </c>
      <c r="D920" s="16">
        <v>-0.46383001326332557</v>
      </c>
      <c r="E920" s="16">
        <v>0.91121746111031066</v>
      </c>
      <c r="F920" s="16">
        <v>4.8256195233250576</v>
      </c>
    </row>
    <row r="921" spans="2:6" x14ac:dyDescent="0.35">
      <c r="B921" s="7" t="s">
        <v>228</v>
      </c>
      <c r="C921" s="16">
        <v>0.79962041022543984</v>
      </c>
      <c r="D921" s="16">
        <v>0.24171472146794512</v>
      </c>
      <c r="E921" s="16">
        <v>1.8487977519961412</v>
      </c>
      <c r="F921" s="16">
        <v>6.781923162919071</v>
      </c>
    </row>
    <row r="922" spans="2:6" x14ac:dyDescent="0.35">
      <c r="B922" s="7" t="s">
        <v>229</v>
      </c>
      <c r="C922" s="16">
        <v>1.3144049557352766</v>
      </c>
      <c r="D922" s="16">
        <v>0.43153738783932671</v>
      </c>
      <c r="E922" s="16">
        <v>1.7617104100560419</v>
      </c>
      <c r="F922" s="16">
        <v>7.7883662549845729</v>
      </c>
    </row>
    <row r="923" spans="2:6" x14ac:dyDescent="0.35">
      <c r="B923" s="7" t="s">
        <v>230</v>
      </c>
      <c r="C923" s="16">
        <v>2.0897795516054218</v>
      </c>
      <c r="D923" s="16">
        <v>-0.17825669597860969</v>
      </c>
      <c r="E923" s="16">
        <v>-1.3055073237095269</v>
      </c>
      <c r="F923" s="16">
        <v>-0.81226829622339836</v>
      </c>
    </row>
    <row r="924" spans="2:6" x14ac:dyDescent="0.35">
      <c r="B924" s="7" t="s">
        <v>231</v>
      </c>
      <c r="C924" s="16">
        <v>4.0405673882726223</v>
      </c>
      <c r="D924" s="16">
        <v>1.4488522577076772</v>
      </c>
      <c r="E924" s="16">
        <v>2.5485810986622806</v>
      </c>
      <c r="F924" s="16">
        <v>7.3122932461288643</v>
      </c>
    </row>
    <row r="925" spans="2:6" x14ac:dyDescent="0.35">
      <c r="B925" s="7" t="s">
        <v>232</v>
      </c>
      <c r="C925" s="16">
        <v>2.2066659085725688</v>
      </c>
      <c r="D925" s="16">
        <v>-0.32695364913031</v>
      </c>
      <c r="E925" s="16">
        <v>-1.7701114122671811</v>
      </c>
      <c r="F925" s="16">
        <v>-2.7202162764293849</v>
      </c>
    </row>
    <row r="926" spans="2:6" x14ac:dyDescent="0.35">
      <c r="B926" s="7" t="s">
        <v>233</v>
      </c>
      <c r="C926" s="16">
        <v>1.8198082973940213</v>
      </c>
      <c r="D926" s="16">
        <v>-0.98812924383832568</v>
      </c>
      <c r="E926" s="16">
        <v>-3.4123848906163516</v>
      </c>
      <c r="F926" s="16">
        <v>-5.1195688737972018</v>
      </c>
    </row>
    <row r="927" spans="2:6" x14ac:dyDescent="0.35">
      <c r="B927" s="7" t="s">
        <v>234</v>
      </c>
      <c r="C927" s="16">
        <v>2.6519026001266015</v>
      </c>
      <c r="D927" s="16">
        <v>-0.61393638859924071</v>
      </c>
      <c r="E927" s="16">
        <v>-0.21808028566533488</v>
      </c>
      <c r="F927" s="16">
        <v>2.2903748975246896</v>
      </c>
    </row>
    <row r="928" spans="2:6" x14ac:dyDescent="0.35">
      <c r="B928" s="7" t="s">
        <v>235</v>
      </c>
      <c r="C928" s="16">
        <v>0.63655068217628652</v>
      </c>
      <c r="D928" s="16">
        <v>-2.1486866767324937</v>
      </c>
      <c r="E928" s="16">
        <v>-5.1550237258545764</v>
      </c>
      <c r="F928" s="16">
        <v>-7.3722813366715698</v>
      </c>
    </row>
    <row r="929" spans="2:6" x14ac:dyDescent="0.35">
      <c r="B929" s="7" t="s">
        <v>236</v>
      </c>
      <c r="C929" s="16">
        <v>3.9508409735518257</v>
      </c>
      <c r="D929" s="16">
        <v>0.88873014538028816</v>
      </c>
      <c r="E929" s="16">
        <v>3.2472022246215677</v>
      </c>
      <c r="F929" s="16">
        <v>6.6805772423750449</v>
      </c>
    </row>
    <row r="930" spans="2:6" x14ac:dyDescent="0.35">
      <c r="B930" s="7" t="s">
        <v>237</v>
      </c>
      <c r="C930" s="16">
        <v>4.615279587485877</v>
      </c>
      <c r="D930" s="16">
        <v>1.6489665438799559</v>
      </c>
      <c r="E930" s="16">
        <v>5.0975159073171863</v>
      </c>
      <c r="F930" s="16">
        <v>10.757664697688057</v>
      </c>
    </row>
    <row r="931" spans="2:6" x14ac:dyDescent="0.35">
      <c r="B931" s="7" t="s">
        <v>238</v>
      </c>
      <c r="C931" s="16">
        <v>0.63655068217628652</v>
      </c>
      <c r="D931" s="16">
        <v>-1.2474746038068933</v>
      </c>
      <c r="E931" s="16">
        <v>-3.4952524340523765</v>
      </c>
      <c r="F931" s="16">
        <v>-6.8120198123806155</v>
      </c>
    </row>
    <row r="932" spans="2:6" x14ac:dyDescent="0.35">
      <c r="B932" s="7" t="s">
        <v>239</v>
      </c>
      <c r="C932" s="16">
        <v>2.3819313459152012</v>
      </c>
      <c r="D932" s="16">
        <v>-0.31678304288217085</v>
      </c>
      <c r="E932" s="16">
        <v>0.81915818545914598</v>
      </c>
      <c r="F932" s="16">
        <v>1.7975643813206288</v>
      </c>
    </row>
    <row r="933" spans="2:6" x14ac:dyDescent="0.35">
      <c r="B933" s="7" t="s">
        <v>240</v>
      </c>
      <c r="C933" s="16">
        <v>0.18237142836251571</v>
      </c>
      <c r="D933" s="16">
        <v>-1.9424203480988782</v>
      </c>
      <c r="E933" s="16">
        <v>-4.5546476542188605</v>
      </c>
      <c r="F933" s="16">
        <v>-9.5231741492178656</v>
      </c>
    </row>
    <row r="934" spans="2:6" x14ac:dyDescent="0.35">
      <c r="B934" s="7" t="s">
        <v>241</v>
      </c>
      <c r="C934" s="16">
        <v>1.8198082973940213</v>
      </c>
      <c r="D934" s="16">
        <v>1.2585851506258457E-2</v>
      </c>
      <c r="E934" s="16">
        <v>0.13909750872528451</v>
      </c>
      <c r="F934" s="16">
        <v>0.94034713682327742</v>
      </c>
    </row>
    <row r="935" spans="2:6" x14ac:dyDescent="0.35">
      <c r="B935" s="7" t="s">
        <v>242</v>
      </c>
      <c r="C935" s="16">
        <v>3.2109339027599688</v>
      </c>
      <c r="D935" s="16">
        <v>1.1749878173505173</v>
      </c>
      <c r="E935" s="16">
        <v>3.0045333731720412</v>
      </c>
      <c r="F935" s="16">
        <v>7.1560259152269072</v>
      </c>
    </row>
    <row r="936" spans="2:6" x14ac:dyDescent="0.35">
      <c r="B936" s="7" t="s">
        <v>243</v>
      </c>
      <c r="C936" s="16">
        <v>3.2528984368619502</v>
      </c>
      <c r="D936" s="16">
        <v>2.8189152977655612</v>
      </c>
      <c r="E936" s="16">
        <v>7.5075187890828623</v>
      </c>
      <c r="F936" s="16">
        <v>15.034302964055378</v>
      </c>
    </row>
    <row r="937" spans="2:6" x14ac:dyDescent="0.35">
      <c r="B937" s="7" t="s">
        <v>244</v>
      </c>
      <c r="C937" s="16">
        <v>3.0365678317506326</v>
      </c>
      <c r="D937" s="16">
        <v>2.8369479224919929</v>
      </c>
      <c r="E937" s="16">
        <v>7.0162307094020688</v>
      </c>
      <c r="F937" s="16">
        <v>14.745442383349591</v>
      </c>
    </row>
    <row r="938" spans="2:6" x14ac:dyDescent="0.35">
      <c r="B938" s="7" t="s">
        <v>245</v>
      </c>
      <c r="C938" s="16">
        <v>-0.67385553785666696</v>
      </c>
      <c r="D938" s="16">
        <v>-0.34702656031858647</v>
      </c>
      <c r="E938" s="16">
        <v>-0.59608122844115341</v>
      </c>
      <c r="F938" s="16">
        <v>2.6526321271539337</v>
      </c>
    </row>
    <row r="939" spans="2:6" x14ac:dyDescent="0.35">
      <c r="B939" s="7" t="s">
        <v>246</v>
      </c>
      <c r="C939" s="16">
        <v>1.8880659193665839</v>
      </c>
      <c r="D939" s="16">
        <v>1.2276513704524534</v>
      </c>
      <c r="E939" s="16">
        <v>6.9842461411825276</v>
      </c>
      <c r="F939" s="16">
        <v>15.00709971445052</v>
      </c>
    </row>
    <row r="940" spans="2:6" x14ac:dyDescent="0.35">
      <c r="B940" s="7" t="s">
        <v>247</v>
      </c>
      <c r="C940" s="16">
        <v>1.4514257571515137</v>
      </c>
      <c r="D940" s="16">
        <v>1.5500954002900134</v>
      </c>
      <c r="E940" s="16">
        <v>4.2310073268476573</v>
      </c>
      <c r="F940" s="16">
        <v>9.7913686357106435</v>
      </c>
    </row>
    <row r="941" spans="2:6" x14ac:dyDescent="0.35">
      <c r="B941" s="7" t="s">
        <v>248</v>
      </c>
      <c r="C941" s="16">
        <v>-4.4387052049263795</v>
      </c>
      <c r="D941" s="16">
        <v>-1.5946571745125313</v>
      </c>
      <c r="E941" s="16">
        <v>-1.6516796094220294</v>
      </c>
      <c r="F941" s="16">
        <v>-4.7379965245796045</v>
      </c>
    </row>
    <row r="942" spans="2:6" x14ac:dyDescent="0.35">
      <c r="B942" s="7" t="s">
        <v>249</v>
      </c>
      <c r="C942" s="16">
        <v>-2.5713562016122884</v>
      </c>
      <c r="D942" s="16">
        <v>-0.42475355235010681</v>
      </c>
      <c r="E942" s="16">
        <v>2.8037090872411938</v>
      </c>
      <c r="F942" s="16">
        <v>3.0407499831122879</v>
      </c>
    </row>
    <row r="943" spans="2:6" x14ac:dyDescent="0.35">
      <c r="B943" s="7" t="s">
        <v>250</v>
      </c>
      <c r="C943" s="16">
        <v>-2.8089550549759239</v>
      </c>
      <c r="D943" s="16">
        <v>-0.73546802506260778</v>
      </c>
      <c r="E943" s="16">
        <v>0.96101943577262006</v>
      </c>
      <c r="F943" s="16">
        <v>-0.90011878891573516</v>
      </c>
    </row>
    <row r="944" spans="2:6" x14ac:dyDescent="0.35">
      <c r="B944" s="7" t="s">
        <v>251</v>
      </c>
      <c r="C944" s="16">
        <v>-2.3221798805475404</v>
      </c>
      <c r="D944" s="16">
        <v>-0.24855308876681093</v>
      </c>
      <c r="E944" s="16">
        <v>1.0865505358211833</v>
      </c>
      <c r="F944" s="16">
        <v>0.52422415735079841</v>
      </c>
    </row>
    <row r="945" spans="2:6" x14ac:dyDescent="0.35">
      <c r="B945" s="7" t="s">
        <v>252</v>
      </c>
      <c r="C945" s="16">
        <v>-3.1073944306533234</v>
      </c>
      <c r="D945" s="16">
        <v>-1.4352577547350722</v>
      </c>
      <c r="E945" s="16">
        <v>-2.5280417295329491</v>
      </c>
      <c r="F945" s="16">
        <v>-8.0615715300553639</v>
      </c>
    </row>
    <row r="946" spans="2:6" x14ac:dyDescent="0.35">
      <c r="B946" s="7" t="s">
        <v>253</v>
      </c>
      <c r="C946" s="16">
        <v>-3.6714372042518111</v>
      </c>
      <c r="D946" s="16">
        <v>-1.7082152175872858</v>
      </c>
      <c r="E946" s="16">
        <v>-3.4484185550117128</v>
      </c>
      <c r="F946" s="16">
        <v>-9.7238009432092323</v>
      </c>
    </row>
    <row r="947" spans="2:6" x14ac:dyDescent="0.35">
      <c r="B947" s="7" t="s">
        <v>254</v>
      </c>
      <c r="C947" s="16">
        <v>-1.028386929505589</v>
      </c>
      <c r="D947" s="16">
        <v>0.20588969242190205</v>
      </c>
      <c r="E947" s="16">
        <v>1.0995608884103623</v>
      </c>
      <c r="F947" s="16">
        <v>-0.37004778130539495</v>
      </c>
    </row>
    <row r="948" spans="2:6" x14ac:dyDescent="0.35">
      <c r="B948" s="7" t="s">
        <v>255</v>
      </c>
      <c r="C948" s="16">
        <v>-2.1768888418896375</v>
      </c>
      <c r="D948" s="16">
        <v>-3.3564025733794009E-2</v>
      </c>
      <c r="E948" s="16">
        <v>4.1522026289607483</v>
      </c>
      <c r="F948" s="16">
        <v>7.0004582806966731</v>
      </c>
    </row>
    <row r="949" spans="2:6" x14ac:dyDescent="0.35">
      <c r="B949" s="7" t="s">
        <v>256</v>
      </c>
      <c r="C949" s="16">
        <v>-0.21351185453036203</v>
      </c>
      <c r="D949" s="16">
        <v>1.8304443754827258</v>
      </c>
      <c r="E949" s="16">
        <v>6.633139034101295</v>
      </c>
      <c r="F949" s="16">
        <v>12.33596533208431</v>
      </c>
    </row>
    <row r="950" spans="2:6" x14ac:dyDescent="0.35">
      <c r="B950" s="7" t="s">
        <v>257</v>
      </c>
      <c r="C950" s="16">
        <v>-1.028386929505589</v>
      </c>
      <c r="D950" s="16">
        <v>0.99703551601090679</v>
      </c>
      <c r="E950" s="16">
        <v>2.137728719042121</v>
      </c>
      <c r="F950" s="16">
        <v>2.9751145590109371</v>
      </c>
    </row>
    <row r="951" spans="2:6" x14ac:dyDescent="0.35">
      <c r="B951" s="7" t="s">
        <v>258</v>
      </c>
      <c r="C951" s="16">
        <v>-1.1244149135508401</v>
      </c>
      <c r="D951" s="16">
        <v>0.63604474521396381</v>
      </c>
      <c r="E951" s="16">
        <v>-0.31303937785782171</v>
      </c>
      <c r="F951" s="16">
        <v>-2.6227334471794652</v>
      </c>
    </row>
    <row r="952" spans="2:6" x14ac:dyDescent="0.35">
      <c r="B952" s="7" t="s">
        <v>259</v>
      </c>
      <c r="C952" s="16">
        <v>4.0152199775788349</v>
      </c>
      <c r="D952" s="16">
        <v>3.7703153460163779</v>
      </c>
      <c r="E952" s="16">
        <v>5.0660390871326264</v>
      </c>
      <c r="F952" s="16">
        <v>7.548174239188107</v>
      </c>
    </row>
    <row r="953" spans="2:6" x14ac:dyDescent="0.35">
      <c r="B953" s="7" t="s">
        <v>260</v>
      </c>
      <c r="C953" s="16">
        <v>5.4938102456585254</v>
      </c>
      <c r="D953" s="16">
        <v>3.3961880756932525</v>
      </c>
      <c r="E953" s="16">
        <v>9.1065439667246508</v>
      </c>
      <c r="F953" s="16">
        <v>15.606166164457193</v>
      </c>
    </row>
    <row r="954" spans="2:6" x14ac:dyDescent="0.35">
      <c r="B954" s="7" t="s">
        <v>261</v>
      </c>
      <c r="C954" s="16">
        <v>5.7706399880707915</v>
      </c>
      <c r="D954" s="16">
        <v>3.6026413061811788</v>
      </c>
      <c r="E954" s="16">
        <v>8.5005915669666514</v>
      </c>
      <c r="F954" s="16">
        <v>12.196114717557963</v>
      </c>
    </row>
    <row r="955" spans="2:6" x14ac:dyDescent="0.35">
      <c r="B955" s="7" t="s">
        <v>262</v>
      </c>
      <c r="C955" s="16">
        <v>4.6940019840962277</v>
      </c>
      <c r="D955" s="16">
        <v>1.9197253954566427</v>
      </c>
      <c r="E955" s="16">
        <v>4.634521474819147</v>
      </c>
      <c r="F955" s="16">
        <v>6.5000333007331532</v>
      </c>
    </row>
    <row r="956" spans="2:6" x14ac:dyDescent="0.35">
      <c r="B956" s="7" t="s">
        <v>263</v>
      </c>
      <c r="C956" s="16">
        <v>6.2629979714103357</v>
      </c>
      <c r="D956" s="16">
        <v>3.2637992895368764</v>
      </c>
      <c r="E956" s="16">
        <v>6.421331891951481</v>
      </c>
      <c r="F956" s="16">
        <v>9.2167688480387646</v>
      </c>
    </row>
    <row r="957" spans="2:6" x14ac:dyDescent="0.35">
      <c r="B957" s="7" t="s">
        <v>264</v>
      </c>
      <c r="C957" s="16">
        <v>6.9576960762325673</v>
      </c>
      <c r="D957" s="16">
        <v>3.8084803057930201</v>
      </c>
      <c r="E957" s="16">
        <v>7.1677787358849887</v>
      </c>
      <c r="F957" s="16">
        <v>10.818681493149185</v>
      </c>
    </row>
    <row r="958" spans="2:6" x14ac:dyDescent="0.35">
      <c r="B958" s="7" t="s">
        <v>265</v>
      </c>
      <c r="C958" s="16">
        <v>2.8072185701144123</v>
      </c>
      <c r="D958" s="16">
        <v>2.3488440663413912</v>
      </c>
      <c r="E958" s="16">
        <v>3.4017452214719559</v>
      </c>
      <c r="F958" s="16">
        <v>2.7664505245039508</v>
      </c>
    </row>
    <row r="959" spans="2:6" x14ac:dyDescent="0.35">
      <c r="B959" s="7" t="s">
        <v>266</v>
      </c>
      <c r="C959" s="16">
        <v>2.8459549583214661</v>
      </c>
      <c r="D959" s="16">
        <v>1.4923289998913432</v>
      </c>
      <c r="E959" s="16">
        <v>0.87658000930319402</v>
      </c>
      <c r="F959" s="16">
        <v>-0.45989113562677103</v>
      </c>
    </row>
    <row r="960" spans="2:6" x14ac:dyDescent="0.35">
      <c r="B960" s="7" t="s">
        <v>267</v>
      </c>
      <c r="C960" s="16">
        <v>4.6434644393639068</v>
      </c>
      <c r="D960" s="16">
        <v>2.4129358692023954</v>
      </c>
      <c r="E960" s="16">
        <v>4.1495091478653681</v>
      </c>
      <c r="F960" s="16">
        <v>6.3587920510256044</v>
      </c>
    </row>
    <row r="961" spans="2:6" x14ac:dyDescent="0.35">
      <c r="B961" s="7" t="s">
        <v>268</v>
      </c>
      <c r="C961" s="16">
        <v>5.2902795991493319</v>
      </c>
      <c r="D961" s="16">
        <v>3.1041141777714407</v>
      </c>
      <c r="E961" s="16">
        <v>5.2796180814516287</v>
      </c>
      <c r="F961" s="16">
        <v>8.3972536209309983</v>
      </c>
    </row>
    <row r="962" spans="2:6" x14ac:dyDescent="0.35">
      <c r="B962" s="7" t="s">
        <v>269</v>
      </c>
      <c r="C962" s="16">
        <v>4.2880830689409324</v>
      </c>
      <c r="D962" s="16">
        <v>2.2184911137345811</v>
      </c>
      <c r="E962" s="16">
        <v>2.6102843781912624</v>
      </c>
      <c r="F962" s="16">
        <v>3.0755310886921108</v>
      </c>
    </row>
    <row r="963" spans="2:6" x14ac:dyDescent="0.35">
      <c r="B963" s="7" t="s">
        <v>270</v>
      </c>
      <c r="C963" s="16">
        <v>1.847309040044391</v>
      </c>
      <c r="D963" s="16">
        <v>0.27289052216422161</v>
      </c>
      <c r="E963" s="16">
        <v>-3.3751511672903285</v>
      </c>
      <c r="F963" s="16">
        <v>-9.1482871131727475</v>
      </c>
    </row>
    <row r="964" spans="2:6" x14ac:dyDescent="0.35">
      <c r="B964" s="7" t="s">
        <v>271</v>
      </c>
      <c r="C964" s="16">
        <v>2.0960532069785831</v>
      </c>
      <c r="D964" s="16">
        <v>2.5130173628729104</v>
      </c>
      <c r="E964" s="16">
        <v>-0.23069925034618732</v>
      </c>
      <c r="F964" s="16">
        <v>-1.5719452635428259</v>
      </c>
    </row>
    <row r="965" spans="2:6" x14ac:dyDescent="0.35">
      <c r="B965" s="7" t="s">
        <v>272</v>
      </c>
      <c r="C965" s="16">
        <v>-0.34393380789963457</v>
      </c>
      <c r="D965" s="16">
        <v>2.5166160557507675</v>
      </c>
      <c r="E965" s="16">
        <v>5.8964571688350622</v>
      </c>
      <c r="F965" s="16">
        <v>12.610433038968999</v>
      </c>
    </row>
    <row r="966" spans="2:6" x14ac:dyDescent="0.35">
      <c r="B966" s="7" t="s">
        <v>273</v>
      </c>
      <c r="C966" s="16">
        <v>-2.3221798805475404</v>
      </c>
      <c r="D966" s="16">
        <v>1.0409777050441948</v>
      </c>
      <c r="E966" s="16">
        <v>1.5638882403915724</v>
      </c>
      <c r="F966" s="16">
        <v>4.6567640507838597</v>
      </c>
    </row>
    <row r="967" spans="2:6" x14ac:dyDescent="0.35">
      <c r="B967" s="7" t="s">
        <v>274</v>
      </c>
      <c r="C967" s="16">
        <v>-0.4651310858310822</v>
      </c>
      <c r="D967" s="16">
        <v>-1.0439198995577588</v>
      </c>
      <c r="E967" s="16">
        <v>-3.0405072102700057</v>
      </c>
      <c r="F967" s="16">
        <v>-5.0888226769537752</v>
      </c>
    </row>
    <row r="968" spans="2:6" x14ac:dyDescent="0.35">
      <c r="B968" s="7" t="s">
        <v>275</v>
      </c>
      <c r="C968" s="16">
        <v>-2.7390118904108158</v>
      </c>
      <c r="D968" s="16">
        <v>-2.1225713760989073</v>
      </c>
      <c r="E968" s="16">
        <v>-7.1752855571430656</v>
      </c>
      <c r="F968" s="16">
        <v>-13.070624848799477</v>
      </c>
    </row>
    <row r="969" spans="2:6" x14ac:dyDescent="0.35">
      <c r="B969" s="7" t="s">
        <v>276</v>
      </c>
      <c r="C969" s="16">
        <v>-2.093161931180632</v>
      </c>
      <c r="D969" s="16">
        <v>-0.13631561180625115</v>
      </c>
      <c r="E969" s="16">
        <v>-4.8582790491632188</v>
      </c>
      <c r="F969" s="16">
        <v>-6.2079909565762961</v>
      </c>
    </row>
    <row r="970" spans="2:6" x14ac:dyDescent="0.35">
      <c r="B970" s="7" t="s">
        <v>277</v>
      </c>
      <c r="C970" s="16">
        <v>-1.9852420500755095</v>
      </c>
      <c r="D970" s="16">
        <v>-2.5846659042124029</v>
      </c>
      <c r="E970" s="16">
        <v>-5.2988166079251844</v>
      </c>
      <c r="F970" s="16">
        <v>-10.02059532313443</v>
      </c>
    </row>
    <row r="971" spans="2:6" x14ac:dyDescent="0.35">
      <c r="B971" s="7" t="s">
        <v>278</v>
      </c>
      <c r="C971" s="16">
        <v>-1.412022328635804</v>
      </c>
      <c r="D971" s="16">
        <v>-1.3849904191216613</v>
      </c>
      <c r="E971" s="16">
        <v>-2.5243616518928094</v>
      </c>
      <c r="F971" s="16">
        <v>-4.0117022300128733</v>
      </c>
    </row>
    <row r="972" spans="2:6" x14ac:dyDescent="0.35">
      <c r="B972" s="7" t="s">
        <v>279</v>
      </c>
      <c r="C972" s="16">
        <v>0.30292384476746503</v>
      </c>
      <c r="D972" s="16">
        <v>-2.4070910273991739</v>
      </c>
      <c r="E972" s="16">
        <v>-3.6840415621332614</v>
      </c>
      <c r="F972" s="16">
        <v>-6.0794060618874131</v>
      </c>
    </row>
    <row r="973" spans="2:6" x14ac:dyDescent="0.35">
      <c r="B973" s="7" t="s">
        <v>280</v>
      </c>
      <c r="C973" s="16">
        <v>-2.2341141062231831</v>
      </c>
      <c r="D973" s="16">
        <v>-3.0047396875111825</v>
      </c>
      <c r="E973" s="16">
        <v>-6.8731210799799953</v>
      </c>
      <c r="F973" s="16">
        <v>-13.126895337082198</v>
      </c>
    </row>
    <row r="974" spans="2:6" x14ac:dyDescent="0.35">
      <c r="B974" s="7" t="s">
        <v>281</v>
      </c>
      <c r="C974" s="16">
        <v>-1.4337278313452357</v>
      </c>
      <c r="D974" s="16">
        <v>-2.483667564929311</v>
      </c>
      <c r="E974" s="16">
        <v>-5.7542369653242833</v>
      </c>
      <c r="F974" s="16">
        <v>-9.8032307104812677</v>
      </c>
    </row>
    <row r="975" spans="2:6" x14ac:dyDescent="0.35">
      <c r="B975" s="7" t="s">
        <v>282</v>
      </c>
      <c r="C975" s="16">
        <v>-0.55955830450842203</v>
      </c>
      <c r="D975" s="16">
        <v>-1.5758980821772899</v>
      </c>
      <c r="E975" s="16">
        <v>-3.7555831328808571</v>
      </c>
      <c r="F975" s="16">
        <v>-5.6226723422157843</v>
      </c>
    </row>
    <row r="976" spans="2:6" x14ac:dyDescent="0.35">
      <c r="B976" s="7" t="s">
        <v>283</v>
      </c>
      <c r="C976" s="16">
        <v>-1.7321672070227023</v>
      </c>
      <c r="D976" s="16">
        <v>-1.5319020688932978</v>
      </c>
      <c r="E976" s="16">
        <v>-3.0134605977660707</v>
      </c>
      <c r="F976" s="16">
        <v>-5.1260660916586787</v>
      </c>
    </row>
    <row r="977" spans="2:6" x14ac:dyDescent="0.35">
      <c r="B977" s="7" t="s">
        <v>284</v>
      </c>
      <c r="C977" s="16">
        <v>-0.67385553785666696</v>
      </c>
      <c r="D977" s="16">
        <v>-0.48730600109261091</v>
      </c>
      <c r="E977" s="16">
        <v>-2.6223434461801745</v>
      </c>
      <c r="F977" s="16">
        <v>-2.1355099837399565</v>
      </c>
    </row>
    <row r="978" spans="2:6" x14ac:dyDescent="0.35">
      <c r="B978" s="7" t="s">
        <v>285</v>
      </c>
      <c r="C978" s="16">
        <v>-0.91729213204747528</v>
      </c>
      <c r="D978" s="16">
        <v>0.78510367265429781</v>
      </c>
      <c r="E978" s="16">
        <v>2.2923296689401895</v>
      </c>
      <c r="F978" s="16">
        <v>5.9631469391294525</v>
      </c>
    </row>
    <row r="979" spans="2:6" x14ac:dyDescent="0.35">
      <c r="B979" s="7" t="s">
        <v>286</v>
      </c>
      <c r="C979" s="16">
        <v>0.92553243890691739</v>
      </c>
      <c r="D979" s="16">
        <v>2.4502227624498678</v>
      </c>
      <c r="E979" s="16">
        <v>5.8023207288575334</v>
      </c>
      <c r="F979" s="16">
        <v>13.301723512200322</v>
      </c>
    </row>
    <row r="980" spans="2:6" x14ac:dyDescent="0.35">
      <c r="B980" s="7" t="s">
        <v>287</v>
      </c>
      <c r="C980" s="16">
        <v>-0.43434214961581047</v>
      </c>
      <c r="D980" s="16">
        <v>0.68757700130872612</v>
      </c>
      <c r="E980" s="16">
        <v>-1.4823183402641915</v>
      </c>
      <c r="F980" s="16">
        <v>2.7968976658062732</v>
      </c>
    </row>
    <row r="981" spans="2:6" x14ac:dyDescent="0.35">
      <c r="B981" s="7" t="s">
        <v>288</v>
      </c>
      <c r="C981" s="16">
        <v>-2.011838998944671</v>
      </c>
      <c r="D981" s="16">
        <v>-0.28945758745795103</v>
      </c>
      <c r="E981" s="16">
        <v>-5.0550417013063713</v>
      </c>
      <c r="F981" s="16">
        <v>-4.0608891173056891</v>
      </c>
    </row>
    <row r="982" spans="2:6" x14ac:dyDescent="0.35">
      <c r="B982" s="7" t="s">
        <v>289</v>
      </c>
      <c r="C982" s="16">
        <v>-2.6372325252159441</v>
      </c>
      <c r="D982" s="16">
        <v>-0.68985489553147172</v>
      </c>
      <c r="E982" s="16">
        <v>-6.6085017548311198</v>
      </c>
      <c r="F982" s="16">
        <v>-7.0379871728023025</v>
      </c>
    </row>
    <row r="983" spans="2:6" x14ac:dyDescent="0.35">
      <c r="B983" s="7" t="s">
        <v>290</v>
      </c>
      <c r="C983" s="16">
        <v>-0.99086910627455171</v>
      </c>
      <c r="D983" s="16">
        <v>0.77952155961660741</v>
      </c>
      <c r="E983" s="16">
        <v>-3.9126395909137384</v>
      </c>
      <c r="F983" s="16">
        <v>1.3502966972817532</v>
      </c>
    </row>
    <row r="984" spans="2:6" x14ac:dyDescent="0.35">
      <c r="B984" s="7" t="s">
        <v>291</v>
      </c>
      <c r="C984" s="16">
        <v>-1.4556009457736503</v>
      </c>
      <c r="D984" s="16">
        <v>1.1106474059914178</v>
      </c>
      <c r="E984" s="16">
        <v>3.3511655642788627</v>
      </c>
      <c r="F984" s="16">
        <v>7.0313870406981902</v>
      </c>
    </row>
    <row r="985" spans="2:6" x14ac:dyDescent="0.35">
      <c r="B985" s="7" t="s">
        <v>292</v>
      </c>
      <c r="C985" s="16">
        <v>-1.5222523560542065</v>
      </c>
      <c r="D985" s="16">
        <v>-0.69086943032182946</v>
      </c>
      <c r="E985" s="16">
        <v>-0.65946294772570402</v>
      </c>
      <c r="F985" s="16">
        <v>-0.58373611282404847</v>
      </c>
    </row>
    <row r="986" spans="2:6" x14ac:dyDescent="0.35">
      <c r="B986" s="7" t="s">
        <v>293</v>
      </c>
      <c r="C986" s="16">
        <v>1.0369915754539896</v>
      </c>
      <c r="D986" s="16">
        <v>-0.43422893667703222</v>
      </c>
      <c r="E986" s="16">
        <v>-1.775076734967544</v>
      </c>
      <c r="F986" s="16">
        <v>-2.3970510547065356</v>
      </c>
    </row>
    <row r="987" spans="2:6" x14ac:dyDescent="0.35">
      <c r="B987" s="7" t="s">
        <v>294</v>
      </c>
      <c r="C987" s="16">
        <v>1.5213689217165578</v>
      </c>
      <c r="D987" s="16">
        <v>2.7241704885646034E-2</v>
      </c>
      <c r="E987" s="16">
        <v>-0.77846557205509292</v>
      </c>
      <c r="F987" s="16">
        <v>-0.39381054967504026</v>
      </c>
    </row>
    <row r="988" spans="2:6" x14ac:dyDescent="0.35">
      <c r="B988" s="7" t="s">
        <v>295</v>
      </c>
      <c r="C988" s="16">
        <v>0.25531677046680479</v>
      </c>
      <c r="D988" s="16">
        <v>1.0971702091250792</v>
      </c>
      <c r="E988" s="16">
        <v>2.3307639345363276</v>
      </c>
      <c r="F988" s="16">
        <v>5.429881585416755</v>
      </c>
    </row>
    <row r="989" spans="2:6" x14ac:dyDescent="0.35">
      <c r="B989" s="7" t="s">
        <v>296</v>
      </c>
      <c r="C989" s="16">
        <v>-4.0291710317907992</v>
      </c>
      <c r="D989" s="16">
        <v>-0.33403510933642139</v>
      </c>
      <c r="E989" s="16">
        <v>-2.720325542961143</v>
      </c>
      <c r="F989" s="16">
        <v>-3.8504236760235275</v>
      </c>
    </row>
    <row r="990" spans="2:6" x14ac:dyDescent="0.35">
      <c r="B990" s="7" t="s">
        <v>297</v>
      </c>
      <c r="C990" s="16">
        <v>-1.9852420500755095</v>
      </c>
      <c r="D990" s="16">
        <v>1.1057374829200608</v>
      </c>
      <c r="E990" s="16">
        <v>0.64850784623787172</v>
      </c>
      <c r="F990" s="16">
        <v>3.2744823725118142</v>
      </c>
    </row>
    <row r="991" spans="2:6" x14ac:dyDescent="0.35">
      <c r="B991" s="7" t="s">
        <v>298</v>
      </c>
      <c r="C991" s="16">
        <v>0.47464637452744507</v>
      </c>
      <c r="D991" s="16">
        <v>-1.2856600358035712</v>
      </c>
      <c r="E991" s="16">
        <v>-4.1078544300523143</v>
      </c>
      <c r="F991" s="16">
        <v>-8.567672697445273</v>
      </c>
    </row>
    <row r="992" spans="2:6" x14ac:dyDescent="0.35">
      <c r="B992" s="7" t="s">
        <v>299</v>
      </c>
      <c r="C992" s="16">
        <v>2.2306707492142031</v>
      </c>
      <c r="D992" s="16">
        <v>-0.59799524050292352</v>
      </c>
      <c r="E992" s="16">
        <v>-2.4789955712940599</v>
      </c>
      <c r="F992" s="16">
        <v>-3.6039146246916265</v>
      </c>
    </row>
    <row r="993" spans="2:6" x14ac:dyDescent="0.35">
      <c r="B993" s="7" t="s">
        <v>300</v>
      </c>
      <c r="C993" s="16">
        <v>1.2978402638315594</v>
      </c>
      <c r="D993" s="16">
        <v>0.53745083632976132</v>
      </c>
      <c r="E993" s="16">
        <v>-2.6529349287611756</v>
      </c>
      <c r="F993" s="16">
        <v>-0.78107167091243557</v>
      </c>
    </row>
    <row r="994" spans="2:6" x14ac:dyDescent="0.35">
      <c r="B994" s="7" t="s">
        <v>301</v>
      </c>
      <c r="C994" s="16">
        <v>2.145748415721791</v>
      </c>
      <c r="D994" s="16">
        <v>1.6292334100855195</v>
      </c>
      <c r="E994" s="16">
        <v>0.44462216027174001</v>
      </c>
      <c r="F994" s="16">
        <v>6.9636418777798896</v>
      </c>
    </row>
    <row r="995" spans="2:6" x14ac:dyDescent="0.35">
      <c r="B995" s="7" t="s">
        <v>302</v>
      </c>
      <c r="C995" s="16">
        <v>0.6988071276603427</v>
      </c>
      <c r="D995" s="16">
        <v>-1.4290446455117596</v>
      </c>
      <c r="E995" s="16">
        <v>-3.1953809641521533</v>
      </c>
      <c r="F995" s="16">
        <v>-7.133643014132657</v>
      </c>
    </row>
    <row r="996" spans="2:6" x14ac:dyDescent="0.35">
      <c r="B996" s="7" t="s">
        <v>303</v>
      </c>
      <c r="C996" s="16">
        <v>3.0275612923880919</v>
      </c>
      <c r="D996" s="16">
        <v>0.44837030015884494</v>
      </c>
      <c r="E996" s="16">
        <v>0.62472607011905246</v>
      </c>
      <c r="F996" s="16">
        <v>0.56699855685596956</v>
      </c>
    </row>
    <row r="997" spans="2:6" x14ac:dyDescent="0.35">
      <c r="B997" s="7" t="s">
        <v>304</v>
      </c>
      <c r="C997" s="16">
        <v>0.60490170215810846</v>
      </c>
      <c r="D997" s="16">
        <v>-1.4555058950252457</v>
      </c>
      <c r="E997" s="16">
        <v>-5.6547782565817366</v>
      </c>
      <c r="F997" s="16">
        <v>-13.156190366040933</v>
      </c>
    </row>
    <row r="998" spans="2:6" x14ac:dyDescent="0.35">
      <c r="B998" s="7" t="s">
        <v>305</v>
      </c>
      <c r="C998" s="16">
        <v>0.24328892121329065</v>
      </c>
      <c r="D998" s="16">
        <v>-1.6912945207671617</v>
      </c>
      <c r="E998" s="16">
        <v>-6.5146541897068548</v>
      </c>
      <c r="F998" s="16">
        <v>-14.965492379945374</v>
      </c>
    </row>
    <row r="999" spans="2:6" x14ac:dyDescent="0.35">
      <c r="B999" s="7" t="s">
        <v>306</v>
      </c>
      <c r="C999" s="16">
        <v>0.58360420150089243</v>
      </c>
      <c r="D999" s="16">
        <v>-1.2901320785356967</v>
      </c>
      <c r="E999" s="16">
        <v>-3.7670595406606564</v>
      </c>
      <c r="F999" s="16">
        <v>-8.1929996140918178</v>
      </c>
    </row>
    <row r="1000" spans="2:6" x14ac:dyDescent="0.35">
      <c r="B1000" s="7" t="s">
        <v>307</v>
      </c>
      <c r="C1000" s="16">
        <v>9.4824151978996837E-2</v>
      </c>
      <c r="D1000" s="16">
        <v>-1.5223655045858746</v>
      </c>
      <c r="E1000" s="16">
        <v>-7.1333798312057546</v>
      </c>
      <c r="F1000" s="16">
        <v>-15.863640157866614</v>
      </c>
    </row>
    <row r="1001" spans="2:6" x14ac:dyDescent="0.35">
      <c r="B1001" s="7" t="s">
        <v>308</v>
      </c>
      <c r="C1001" s="16">
        <v>4.622994220243049</v>
      </c>
      <c r="D1001" s="16">
        <v>1.1539263875271693</v>
      </c>
      <c r="E1001" s="16">
        <v>2.7817744530191306</v>
      </c>
      <c r="F1001" s="16">
        <v>5.1852765837407295</v>
      </c>
    </row>
    <row r="1002" spans="2:6" x14ac:dyDescent="0.35">
      <c r="B1002" s="7" t="s">
        <v>309</v>
      </c>
      <c r="C1002" s="16">
        <v>5.5665155306209853</v>
      </c>
      <c r="D1002" s="16">
        <v>2.14249604160507</v>
      </c>
      <c r="E1002" s="16">
        <v>3.5117594241933272</v>
      </c>
      <c r="F1002" s="16">
        <v>6.3005043574656563</v>
      </c>
    </row>
    <row r="1003" spans="2:6" x14ac:dyDescent="0.35">
      <c r="B1003" s="7" t="s">
        <v>310</v>
      </c>
      <c r="C1003" s="16">
        <v>1.1442304108447039</v>
      </c>
      <c r="D1003" s="16">
        <v>0.46157475754878585</v>
      </c>
      <c r="E1003" s="16">
        <v>-3.6137759184719518</v>
      </c>
      <c r="F1003" s="16">
        <v>-6.3388707700513978</v>
      </c>
    </row>
    <row r="1004" spans="2:6" x14ac:dyDescent="0.35">
      <c r="B1004" s="7" t="s">
        <v>311</v>
      </c>
      <c r="C1004" s="16">
        <v>2.404501618664411</v>
      </c>
      <c r="D1004" s="16">
        <v>1.5227290311938058</v>
      </c>
      <c r="E1004" s="16">
        <v>-1.2309879860945894</v>
      </c>
      <c r="F1004" s="16">
        <v>0.21912197858795374</v>
      </c>
    </row>
    <row r="1005" spans="2:6" x14ac:dyDescent="0.35">
      <c r="B1005" s="7" t="s">
        <v>312</v>
      </c>
      <c r="C1005" s="16">
        <v>1.2305954620660651</v>
      </c>
      <c r="D1005" s="16">
        <v>0.68673954655202729</v>
      </c>
      <c r="E1005" s="16">
        <v>-4.013746553989594</v>
      </c>
      <c r="F1005" s="16">
        <v>1.7170547300172689</v>
      </c>
    </row>
    <row r="1006" spans="2:6" x14ac:dyDescent="0.35">
      <c r="B1006" s="7" t="s">
        <v>313</v>
      </c>
      <c r="C1006" s="16">
        <v>1.6854047323955499</v>
      </c>
      <c r="D1006" s="16">
        <v>1.1407452291329276</v>
      </c>
      <c r="E1006" s="16">
        <v>-3.1569779463281722</v>
      </c>
      <c r="F1006" s="16">
        <v>3.712002895629662</v>
      </c>
    </row>
    <row r="1007" spans="2:6" x14ac:dyDescent="0.35">
      <c r="B1007" s="7" t="s">
        <v>314</v>
      </c>
      <c r="C1007" s="16">
        <v>3.399022457217701</v>
      </c>
      <c r="D1007" s="16">
        <v>3.3016805572278032</v>
      </c>
      <c r="E1007" s="16">
        <v>1.0979464046311909</v>
      </c>
      <c r="F1007" s="16">
        <v>2.5879718364242961</v>
      </c>
    </row>
    <row r="1008" spans="2:6" x14ac:dyDescent="0.35">
      <c r="B1008" s="7" t="s">
        <v>315</v>
      </c>
      <c r="C1008" s="16">
        <v>-8.9975253927311858</v>
      </c>
      <c r="D1008" s="16">
        <v>-4.190249508754869</v>
      </c>
      <c r="E1008" s="16">
        <v>-14.763678035366631</v>
      </c>
      <c r="F1008" s="16">
        <v>-27.957525909788991</v>
      </c>
    </row>
    <row r="1009" spans="2:6" x14ac:dyDescent="0.35">
      <c r="B1009" s="7" t="s">
        <v>316</v>
      </c>
      <c r="C1009" s="16">
        <v>-2.9542460936338273</v>
      </c>
      <c r="D1009" s="16">
        <v>0.461856597600727</v>
      </c>
      <c r="E1009" s="16">
        <v>-2.2781400199691895</v>
      </c>
      <c r="F1009" s="16">
        <v>-1.8825157028847892</v>
      </c>
    </row>
    <row r="1010" spans="2:6" x14ac:dyDescent="0.35">
      <c r="B1010" s="7" t="s">
        <v>317</v>
      </c>
      <c r="C1010" s="16">
        <v>-5.2326757256614407</v>
      </c>
      <c r="D1010" s="16">
        <v>-1.2318366855689336</v>
      </c>
      <c r="E1010" s="16">
        <v>-7.8255435919547702</v>
      </c>
      <c r="F1010" s="16">
        <v>-12.496857627236736</v>
      </c>
    </row>
    <row r="1011" spans="2:6" x14ac:dyDescent="0.35">
      <c r="B1011" s="7" t="s">
        <v>318</v>
      </c>
      <c r="C1011" s="16">
        <v>-7.3677752427807643</v>
      </c>
      <c r="D1011" s="16">
        <v>-2.7457141937922644</v>
      </c>
      <c r="E1011" s="16">
        <v>-12.294183217280491</v>
      </c>
      <c r="F1011" s="16">
        <v>-20.422626663261124</v>
      </c>
    </row>
    <row r="1012" spans="2:6" x14ac:dyDescent="0.35">
      <c r="B1012" s="7" t="s">
        <v>319</v>
      </c>
      <c r="C1012" s="16">
        <v>-1.0473338512739159</v>
      </c>
      <c r="D1012" s="16">
        <v>0.63092238283643254</v>
      </c>
      <c r="E1012" s="16">
        <v>2.2134764695358995</v>
      </c>
      <c r="F1012" s="16">
        <v>6.2865162896662401</v>
      </c>
    </row>
    <row r="1013" spans="2:6" x14ac:dyDescent="0.35">
      <c r="B1013" s="7" t="s">
        <v>320</v>
      </c>
      <c r="C1013" s="16">
        <v>0.38435811735613518</v>
      </c>
      <c r="D1013" s="16">
        <v>1.3882207472507366</v>
      </c>
      <c r="E1013" s="16">
        <v>2.7474231259032509</v>
      </c>
      <c r="F1013" s="16">
        <v>7.1900922961215237</v>
      </c>
    </row>
    <row r="1014" spans="2:6" x14ac:dyDescent="0.35">
      <c r="B1014" s="7" t="s">
        <v>321</v>
      </c>
      <c r="C1014" s="16">
        <v>5.2983841947873742</v>
      </c>
      <c r="D1014" s="16">
        <v>3.286587748786209</v>
      </c>
      <c r="E1014" s="16">
        <v>6.1688642127536584</v>
      </c>
      <c r="F1014" s="16">
        <v>7.2494263514603015</v>
      </c>
    </row>
    <row r="1015" spans="2:6" ht="15" thickBot="1" x14ac:dyDescent="0.4">
      <c r="B1015" s="11" t="s">
        <v>322</v>
      </c>
      <c r="C1015" s="17">
        <v>0.63655068217628652</v>
      </c>
      <c r="D1015" s="17">
        <v>2.4877952236227503</v>
      </c>
      <c r="E1015" s="17">
        <v>12.038931589230589</v>
      </c>
      <c r="F1015" s="17">
        <v>23.292066506613363</v>
      </c>
    </row>
    <row r="1018" spans="2:6" x14ac:dyDescent="0.35">
      <c r="B1018" s="6" t="s">
        <v>329</v>
      </c>
    </row>
    <row r="1019" spans="2:6" ht="15" thickBot="1" x14ac:dyDescent="0.4"/>
    <row r="1020" spans="2:6" ht="29" x14ac:dyDescent="0.35">
      <c r="B1020" s="8" t="s">
        <v>80</v>
      </c>
      <c r="C1020" s="9" t="s">
        <v>55</v>
      </c>
      <c r="D1020" s="9" t="s">
        <v>56</v>
      </c>
      <c r="E1020" s="9" t="s">
        <v>57</v>
      </c>
      <c r="F1020" s="9" t="s">
        <v>58</v>
      </c>
    </row>
    <row r="1021" spans="2:6" x14ac:dyDescent="0.35">
      <c r="B1021" s="19" t="s">
        <v>81</v>
      </c>
      <c r="C1021" s="21">
        <v>3.597611606399731</v>
      </c>
      <c r="D1021" s="21">
        <v>3.0456566753448389</v>
      </c>
      <c r="E1021" s="21">
        <v>5.3150843054115322</v>
      </c>
      <c r="F1021" s="21">
        <v>6.7626456479679842</v>
      </c>
    </row>
    <row r="1022" spans="2:6" x14ac:dyDescent="0.35">
      <c r="B1022" s="7" t="s">
        <v>82</v>
      </c>
      <c r="C1022" s="16">
        <v>-0.9082279507348836</v>
      </c>
      <c r="D1022" s="16">
        <v>-0.24559832827604902</v>
      </c>
      <c r="E1022" s="16">
        <v>-1.1800186415514056</v>
      </c>
      <c r="F1022" s="16">
        <v>-6.4763647464911598</v>
      </c>
    </row>
    <row r="1023" spans="2:6" x14ac:dyDescent="0.35">
      <c r="B1023" s="7" t="s">
        <v>83</v>
      </c>
      <c r="C1023" s="16">
        <v>-0.21351185453036203</v>
      </c>
      <c r="D1023" s="16">
        <v>2.2958392815751272</v>
      </c>
      <c r="E1023" s="16">
        <v>3.585503643962598</v>
      </c>
      <c r="F1023" s="16">
        <v>5.9174595261785123</v>
      </c>
    </row>
    <row r="1024" spans="2:6" x14ac:dyDescent="0.35">
      <c r="B1024" s="7" t="s">
        <v>84</v>
      </c>
      <c r="C1024" s="16">
        <v>4.232626861129889</v>
      </c>
      <c r="D1024" s="16">
        <v>3.8041656082299808</v>
      </c>
      <c r="E1024" s="16">
        <v>6.0916779961042566</v>
      </c>
      <c r="F1024" s="16">
        <v>7.9690417410969419</v>
      </c>
    </row>
    <row r="1025" spans="2:6" x14ac:dyDescent="0.35">
      <c r="B1025" s="7" t="s">
        <v>85</v>
      </c>
      <c r="C1025" s="16">
        <v>5.5683554489987745</v>
      </c>
      <c r="D1025" s="16">
        <v>5.3509186694276236</v>
      </c>
      <c r="E1025" s="16">
        <v>9.2672064606834343</v>
      </c>
      <c r="F1025" s="16">
        <v>15.902077527828469</v>
      </c>
    </row>
    <row r="1026" spans="2:6" x14ac:dyDescent="0.35">
      <c r="B1026" s="7" t="s">
        <v>86</v>
      </c>
      <c r="C1026" s="16">
        <v>4.5050086859740102</v>
      </c>
      <c r="D1026" s="16">
        <v>3.1138618051676201</v>
      </c>
      <c r="E1026" s="16">
        <v>5.0258357886593483</v>
      </c>
      <c r="F1026" s="16">
        <v>4.9432698406823663</v>
      </c>
    </row>
    <row r="1027" spans="2:6" x14ac:dyDescent="0.35">
      <c r="B1027" s="7" t="s">
        <v>87</v>
      </c>
      <c r="C1027" s="16">
        <v>3.5492542859702096</v>
      </c>
      <c r="D1027" s="16">
        <v>1.6889267742827405</v>
      </c>
      <c r="E1027" s="16">
        <v>3.5641253687847607</v>
      </c>
      <c r="F1027" s="16">
        <v>1.8236891118191996</v>
      </c>
    </row>
    <row r="1028" spans="2:6" x14ac:dyDescent="0.35">
      <c r="B1028" s="7" t="s">
        <v>88</v>
      </c>
      <c r="C1028" s="16">
        <v>5.8333059262802056</v>
      </c>
      <c r="D1028" s="16">
        <v>4.6970560177281886</v>
      </c>
      <c r="E1028" s="16">
        <v>8.331946753352403</v>
      </c>
      <c r="F1028" s="16">
        <v>13.240418437561623</v>
      </c>
    </row>
    <row r="1029" spans="2:6" x14ac:dyDescent="0.35">
      <c r="B1029" s="7" t="s">
        <v>89</v>
      </c>
      <c r="C1029" s="16">
        <v>4.1367005134341541</v>
      </c>
      <c r="D1029" s="16">
        <v>3.1148818428822875</v>
      </c>
      <c r="E1029" s="16">
        <v>8.7109886489651007</v>
      </c>
      <c r="F1029" s="16">
        <v>13.830613988487142</v>
      </c>
    </row>
    <row r="1030" spans="2:6" x14ac:dyDescent="0.35">
      <c r="B1030" s="7" t="s">
        <v>90</v>
      </c>
      <c r="C1030" s="16">
        <v>-2.093161931180632</v>
      </c>
      <c r="D1030" s="16">
        <v>-1.5930739286200712</v>
      </c>
      <c r="E1030" s="16">
        <v>-6.2387640295095474</v>
      </c>
      <c r="F1030" s="16">
        <v>-17.241074818252319</v>
      </c>
    </row>
    <row r="1031" spans="2:6" x14ac:dyDescent="0.35">
      <c r="B1031" s="7" t="s">
        <v>91</v>
      </c>
      <c r="C1031" s="16">
        <v>3.5828201668189195</v>
      </c>
      <c r="D1031" s="16">
        <v>1.2977794918249084</v>
      </c>
      <c r="E1031" s="16">
        <v>3.2166247643652359</v>
      </c>
      <c r="F1031" s="16">
        <v>1.5417847824321085</v>
      </c>
    </row>
    <row r="1032" spans="2:6" x14ac:dyDescent="0.35">
      <c r="B1032" s="7" t="s">
        <v>92</v>
      </c>
      <c r="C1032" s="16">
        <v>8.342005472558137</v>
      </c>
      <c r="D1032" s="16">
        <v>5.8501227417758077</v>
      </c>
      <c r="E1032" s="16">
        <v>14.626294586176583</v>
      </c>
      <c r="F1032" s="16">
        <v>25.741806275176906</v>
      </c>
    </row>
    <row r="1033" spans="2:6" x14ac:dyDescent="0.35">
      <c r="B1033" s="7" t="s">
        <v>93</v>
      </c>
      <c r="C1033" s="16">
        <v>5.0884693438188782</v>
      </c>
      <c r="D1033" s="16">
        <v>2.8175154601247692</v>
      </c>
      <c r="E1033" s="16">
        <v>4.6032175259037151</v>
      </c>
      <c r="F1033" s="16">
        <v>4.7089678243678783</v>
      </c>
    </row>
    <row r="1034" spans="2:6" x14ac:dyDescent="0.35">
      <c r="B1034" s="7" t="s">
        <v>94</v>
      </c>
      <c r="C1034" s="16">
        <v>7.1650354387080215</v>
      </c>
      <c r="D1034" s="16">
        <v>3.2695815130915911</v>
      </c>
      <c r="E1034" s="16">
        <v>4.1869515756855957</v>
      </c>
      <c r="F1034" s="16">
        <v>2.430246574263228</v>
      </c>
    </row>
    <row r="1035" spans="2:6" x14ac:dyDescent="0.35">
      <c r="B1035" s="7" t="s">
        <v>95</v>
      </c>
      <c r="C1035" s="16">
        <v>3.4148027445107889</v>
      </c>
      <c r="D1035" s="16">
        <v>2.6673596093657612</v>
      </c>
      <c r="E1035" s="16">
        <v>5.0879519941625801</v>
      </c>
      <c r="F1035" s="16">
        <v>6.3657926498740505</v>
      </c>
    </row>
    <row r="1036" spans="2:6" x14ac:dyDescent="0.35">
      <c r="B1036" s="7" t="s">
        <v>96</v>
      </c>
      <c r="C1036" s="16">
        <v>-4.1402658292489125</v>
      </c>
      <c r="D1036" s="16">
        <v>-1.5004169948448616</v>
      </c>
      <c r="E1036" s="16">
        <v>-4.7813740264362252</v>
      </c>
      <c r="F1036" s="16">
        <v>-13.349072615611361</v>
      </c>
    </row>
    <row r="1037" spans="2:6" x14ac:dyDescent="0.35">
      <c r="B1037" s="7" t="s">
        <v>97</v>
      </c>
      <c r="C1037" s="16">
        <v>4.2089481088769185</v>
      </c>
      <c r="D1037" s="16">
        <v>4.1426475771911182</v>
      </c>
      <c r="E1037" s="16">
        <v>3.2711746366261774</v>
      </c>
      <c r="F1037" s="16">
        <v>3.7426252346996818</v>
      </c>
    </row>
    <row r="1038" spans="2:6" x14ac:dyDescent="0.35">
      <c r="B1038" s="7" t="s">
        <v>98</v>
      </c>
      <c r="C1038" s="16">
        <v>3.4304956059410614</v>
      </c>
      <c r="D1038" s="16">
        <v>1.4321265893269526</v>
      </c>
      <c r="E1038" s="16">
        <v>3.9313189210981641</v>
      </c>
      <c r="F1038" s="16">
        <v>5.1322826723898505</v>
      </c>
    </row>
    <row r="1039" spans="2:6" x14ac:dyDescent="0.35">
      <c r="B1039" s="7" t="s">
        <v>99</v>
      </c>
      <c r="C1039" s="16">
        <v>3.1726268002330889</v>
      </c>
      <c r="D1039" s="16">
        <v>1.4693476830092698</v>
      </c>
      <c r="E1039" s="16">
        <v>2.3873786539836312</v>
      </c>
      <c r="F1039" s="16">
        <v>1.7949672818068712</v>
      </c>
    </row>
    <row r="1040" spans="2:6" x14ac:dyDescent="0.35">
      <c r="B1040" s="7" t="s">
        <v>100</v>
      </c>
      <c r="C1040" s="16">
        <v>7.9019088678847362</v>
      </c>
      <c r="D1040" s="16">
        <v>4.1017323967588517</v>
      </c>
      <c r="E1040" s="16">
        <v>7.4749992505112761</v>
      </c>
      <c r="F1040" s="16">
        <v>9.7052065754062227</v>
      </c>
    </row>
    <row r="1041" spans="2:6" x14ac:dyDescent="0.35">
      <c r="B1041" s="7" t="s">
        <v>101</v>
      </c>
      <c r="C1041" s="16">
        <v>5.0884693438188782</v>
      </c>
      <c r="D1041" s="16">
        <v>2.962751528721387</v>
      </c>
      <c r="E1041" s="16">
        <v>6.8139266894021935</v>
      </c>
      <c r="F1041" s="16">
        <v>8.3815422491865199</v>
      </c>
    </row>
    <row r="1042" spans="2:6" x14ac:dyDescent="0.35">
      <c r="B1042" s="7" t="s">
        <v>102</v>
      </c>
      <c r="C1042" s="16">
        <v>3.6776120372756513</v>
      </c>
      <c r="D1042" s="16">
        <v>1.1368371245815103</v>
      </c>
      <c r="E1042" s="16">
        <v>3.2612841386781883</v>
      </c>
      <c r="F1042" s="16">
        <v>3.9978267439451116</v>
      </c>
    </row>
    <row r="1043" spans="2:6" x14ac:dyDescent="0.35">
      <c r="B1043" s="7" t="s">
        <v>103</v>
      </c>
      <c r="C1043" s="16">
        <v>6.0817239533644267</v>
      </c>
      <c r="D1043" s="16">
        <v>3.639149229889298</v>
      </c>
      <c r="E1043" s="16">
        <v>10.095146708230875</v>
      </c>
      <c r="F1043" s="16">
        <v>17.90101739875761</v>
      </c>
    </row>
    <row r="1044" spans="2:6" x14ac:dyDescent="0.35">
      <c r="B1044" s="7" t="s">
        <v>104</v>
      </c>
      <c r="C1044" s="16">
        <v>4.3453083332744766</v>
      </c>
      <c r="D1044" s="16">
        <v>4.2710525830651918</v>
      </c>
      <c r="E1044" s="16">
        <v>6.3199307662040738</v>
      </c>
      <c r="F1044" s="16">
        <v>10.283342428445543</v>
      </c>
    </row>
    <row r="1045" spans="2:6" x14ac:dyDescent="0.35">
      <c r="B1045" s="7" t="s">
        <v>105</v>
      </c>
      <c r="C1045" s="16">
        <v>7.2617611821466506</v>
      </c>
      <c r="D1045" s="16">
        <v>4.048574221286656</v>
      </c>
      <c r="E1045" s="16">
        <v>7.0539923950231289</v>
      </c>
      <c r="F1045" s="16">
        <v>11.453106425598712</v>
      </c>
    </row>
    <row r="1046" spans="2:6" x14ac:dyDescent="0.35">
      <c r="B1046" s="7" t="s">
        <v>106</v>
      </c>
      <c r="C1046" s="16">
        <v>2.3247060815816547</v>
      </c>
      <c r="D1046" s="16">
        <v>9.2726125733078785E-2</v>
      </c>
      <c r="E1046" s="16">
        <v>-2.8305291432184281</v>
      </c>
      <c r="F1046" s="16">
        <v>-8.3795807807120539</v>
      </c>
    </row>
    <row r="1047" spans="2:6" x14ac:dyDescent="0.35">
      <c r="B1047" s="7" t="s">
        <v>107</v>
      </c>
      <c r="C1047" s="16">
        <v>-5.7826331681815768</v>
      </c>
      <c r="D1047" s="16">
        <v>-1.6169822935159506</v>
      </c>
      <c r="E1047" s="16">
        <v>-5.3717110385108304</v>
      </c>
      <c r="F1047" s="16">
        <v>-10.568975747797403</v>
      </c>
    </row>
    <row r="1048" spans="2:6" x14ac:dyDescent="0.35">
      <c r="B1048" s="7" t="s">
        <v>108</v>
      </c>
      <c r="C1048" s="16">
        <v>3.2695117058528873</v>
      </c>
      <c r="D1048" s="16">
        <v>1.202712884562839</v>
      </c>
      <c r="E1048" s="16">
        <v>1.0056733536140388</v>
      </c>
      <c r="F1048" s="16">
        <v>-0.39517345965401818</v>
      </c>
    </row>
    <row r="1049" spans="2:6" x14ac:dyDescent="0.35">
      <c r="B1049" s="7" t="s">
        <v>109</v>
      </c>
      <c r="C1049" s="16">
        <v>3.9508409735518257</v>
      </c>
      <c r="D1049" s="16">
        <v>3.0619192077108197</v>
      </c>
      <c r="E1049" s="16">
        <v>4.2311672546772288</v>
      </c>
      <c r="F1049" s="16">
        <v>6.3599613572360871</v>
      </c>
    </row>
    <row r="1050" spans="2:6" x14ac:dyDescent="0.35">
      <c r="B1050" s="7" t="s">
        <v>110</v>
      </c>
      <c r="C1050" s="16">
        <v>-1.1836342323440248</v>
      </c>
      <c r="D1050" s="16">
        <v>0.92025064291031866</v>
      </c>
      <c r="E1050" s="16">
        <v>-2.0898991805107494</v>
      </c>
      <c r="F1050" s="16">
        <v>-7.2209428382081837</v>
      </c>
    </row>
    <row r="1051" spans="2:6" x14ac:dyDescent="0.35">
      <c r="B1051" s="7" t="s">
        <v>111</v>
      </c>
      <c r="C1051" s="16">
        <v>5.2141918976520207</v>
      </c>
      <c r="D1051" s="16">
        <v>2.3401121387415631</v>
      </c>
      <c r="E1051" s="16">
        <v>4.8144138951553934</v>
      </c>
      <c r="F1051" s="16">
        <v>8.2106341125799744</v>
      </c>
    </row>
    <row r="1052" spans="2:6" x14ac:dyDescent="0.35">
      <c r="B1052" s="7" t="s">
        <v>112</v>
      </c>
      <c r="C1052" s="16">
        <v>-6.1036428166081897</v>
      </c>
      <c r="D1052" s="16">
        <v>-1.6528774267298345</v>
      </c>
      <c r="E1052" s="16">
        <v>-5.1505052510601566</v>
      </c>
      <c r="F1052" s="16">
        <v>-9.6153518969141611</v>
      </c>
    </row>
    <row r="1053" spans="2:6" x14ac:dyDescent="0.35">
      <c r="B1053" s="7" t="s">
        <v>113</v>
      </c>
      <c r="C1053" s="16">
        <v>-2.9542460936338273</v>
      </c>
      <c r="D1053" s="16">
        <v>-1.1387431668402552</v>
      </c>
      <c r="E1053" s="16">
        <v>-7.1180084066882134</v>
      </c>
      <c r="F1053" s="16">
        <v>-16.72969498449925</v>
      </c>
    </row>
    <row r="1054" spans="2:6" x14ac:dyDescent="0.35">
      <c r="B1054" s="7" t="s">
        <v>114</v>
      </c>
      <c r="C1054" s="16">
        <v>5.4900309866015018</v>
      </c>
      <c r="D1054" s="16">
        <v>2.8271449743230956</v>
      </c>
      <c r="E1054" s="16">
        <v>5.1363400333456459</v>
      </c>
      <c r="F1054" s="16">
        <v>8.4279830348351297</v>
      </c>
    </row>
    <row r="1055" spans="2:6" x14ac:dyDescent="0.35">
      <c r="B1055" s="7" t="s">
        <v>115</v>
      </c>
      <c r="C1055" s="16">
        <v>1.8609599302870299</v>
      </c>
      <c r="D1055" s="16">
        <v>4.165021358707107</v>
      </c>
      <c r="E1055" s="16">
        <v>10.122463506390639</v>
      </c>
      <c r="F1055" s="16">
        <v>21.262679516540498</v>
      </c>
    </row>
    <row r="1056" spans="2:6" x14ac:dyDescent="0.35">
      <c r="B1056" s="7" t="s">
        <v>116</v>
      </c>
      <c r="C1056" s="16">
        <v>-0.4651310858310822</v>
      </c>
      <c r="D1056" s="16">
        <v>-1.9227013456443418</v>
      </c>
      <c r="E1056" s="16">
        <v>-7.9861514333972341</v>
      </c>
      <c r="F1056" s="16">
        <v>-18.623875948568571</v>
      </c>
    </row>
    <row r="1057" spans="2:6" x14ac:dyDescent="0.35">
      <c r="B1057" s="7" t="s">
        <v>117</v>
      </c>
      <c r="C1057" s="16">
        <v>5.6459399681104847E-2</v>
      </c>
      <c r="D1057" s="16">
        <v>2.7831012985045418</v>
      </c>
      <c r="E1057" s="16">
        <v>7.0253176019214489</v>
      </c>
      <c r="F1057" s="16">
        <v>15.495943850736813</v>
      </c>
    </row>
    <row r="1058" spans="2:6" x14ac:dyDescent="0.35">
      <c r="B1058" s="7" t="s">
        <v>118</v>
      </c>
      <c r="C1058" s="16">
        <v>5.8946154311678276</v>
      </c>
      <c r="D1058" s="16">
        <v>0.94754314768975478</v>
      </c>
      <c r="E1058" s="16">
        <v>2.2094340460656592</v>
      </c>
      <c r="F1058" s="16">
        <v>3.9570368831859675</v>
      </c>
    </row>
    <row r="1059" spans="2:6" x14ac:dyDescent="0.35">
      <c r="B1059" s="7" t="s">
        <v>119</v>
      </c>
      <c r="C1059" s="16">
        <v>1.9082265328951025</v>
      </c>
      <c r="D1059" s="16">
        <v>-0.78537859982380154</v>
      </c>
      <c r="E1059" s="16">
        <v>-2.3076762733351153</v>
      </c>
      <c r="F1059" s="16">
        <v>-5.0919080301785353</v>
      </c>
    </row>
    <row r="1060" spans="2:6" x14ac:dyDescent="0.35">
      <c r="B1060" s="7" t="s">
        <v>120</v>
      </c>
      <c r="C1060" s="16">
        <v>-10.662463004413034</v>
      </c>
      <c r="D1060" s="16">
        <v>-5.4045975643965356</v>
      </c>
      <c r="E1060" s="16">
        <v>-15.366189933690702</v>
      </c>
      <c r="F1060" s="16">
        <v>-31.748857867088777</v>
      </c>
    </row>
    <row r="1061" spans="2:6" x14ac:dyDescent="0.35">
      <c r="B1061" s="7" t="s">
        <v>121</v>
      </c>
      <c r="C1061" s="16">
        <v>-6.1036428166081897</v>
      </c>
      <c r="D1061" s="16">
        <v>-3.6124705678656963</v>
      </c>
      <c r="E1061" s="16">
        <v>-15.053678477088711</v>
      </c>
      <c r="F1061" s="16">
        <v>-32.876017841038554</v>
      </c>
    </row>
    <row r="1062" spans="2:6" x14ac:dyDescent="0.35">
      <c r="B1062" s="7" t="s">
        <v>122</v>
      </c>
      <c r="C1062" s="16">
        <v>6.9305472687734598E-2</v>
      </c>
      <c r="D1062" s="16">
        <v>-0.53176821002904573</v>
      </c>
      <c r="E1062" s="16">
        <v>-2.9704488951139973</v>
      </c>
      <c r="F1062" s="16">
        <v>-8.3139706875609658</v>
      </c>
    </row>
    <row r="1063" spans="2:6" x14ac:dyDescent="0.35">
      <c r="B1063" s="7" t="s">
        <v>123</v>
      </c>
      <c r="C1063" s="16">
        <v>-1.3478862850448698</v>
      </c>
      <c r="D1063" s="16">
        <v>-3.8007079225252625</v>
      </c>
      <c r="E1063" s="16">
        <v>-11.607894058803208</v>
      </c>
      <c r="F1063" s="16">
        <v>-25.71965210755112</v>
      </c>
    </row>
    <row r="1064" spans="2:6" x14ac:dyDescent="0.35">
      <c r="B1064" s="7" t="s">
        <v>124</v>
      </c>
      <c r="C1064" s="16">
        <v>5.0709843855633219</v>
      </c>
      <c r="D1064" s="16">
        <v>1.912039581359251</v>
      </c>
      <c r="E1064" s="16">
        <v>7.011838486984348</v>
      </c>
      <c r="F1064" s="16">
        <v>14.357150543079149</v>
      </c>
    </row>
    <row r="1065" spans="2:6" x14ac:dyDescent="0.35">
      <c r="B1065" s="7" t="s">
        <v>125</v>
      </c>
      <c r="C1065" s="16">
        <v>-1.9069175876782374</v>
      </c>
      <c r="D1065" s="16">
        <v>6.7515478961417671E-2</v>
      </c>
      <c r="E1065" s="16">
        <v>-1.1632089068169997</v>
      </c>
      <c r="F1065" s="16">
        <v>-4.4851511159488435</v>
      </c>
    </row>
    <row r="1066" spans="2:6" x14ac:dyDescent="0.35">
      <c r="B1066" s="7" t="s">
        <v>126</v>
      </c>
      <c r="C1066" s="16">
        <v>5.0555960049127417</v>
      </c>
      <c r="D1066" s="16">
        <v>3.8673885600408728</v>
      </c>
      <c r="E1066" s="16">
        <v>10.788307020287014</v>
      </c>
      <c r="F1066" s="16">
        <v>20.910638775613684</v>
      </c>
    </row>
    <row r="1067" spans="2:6" x14ac:dyDescent="0.35">
      <c r="B1067" s="7" t="s">
        <v>127</v>
      </c>
      <c r="C1067" s="16">
        <v>-6.3092032405192482</v>
      </c>
      <c r="D1067" s="16">
        <v>-2.8737540317134602</v>
      </c>
      <c r="E1067" s="16">
        <v>-4.8995989579513388</v>
      </c>
      <c r="F1067" s="16">
        <v>-11.761845709969878</v>
      </c>
    </row>
    <row r="1068" spans="2:6" x14ac:dyDescent="0.35">
      <c r="B1068" s="7" t="s">
        <v>128</v>
      </c>
      <c r="C1068" s="16">
        <v>-4.9176230809931036</v>
      </c>
      <c r="D1068" s="16">
        <v>-2.1179236649933202</v>
      </c>
      <c r="E1068" s="16">
        <v>-3.330885984215973</v>
      </c>
      <c r="F1068" s="16">
        <v>-6.9875328536753267</v>
      </c>
    </row>
    <row r="1069" spans="2:6" x14ac:dyDescent="0.35">
      <c r="B1069" s="7" t="s">
        <v>129</v>
      </c>
      <c r="C1069" s="16">
        <v>-8.9975253927311858</v>
      </c>
      <c r="D1069" s="16">
        <v>-6.5707197075858739</v>
      </c>
      <c r="E1069" s="16">
        <v>-15.717908621212537</v>
      </c>
      <c r="F1069" s="16">
        <v>-34.548265749114513</v>
      </c>
    </row>
    <row r="1070" spans="2:6" x14ac:dyDescent="0.35">
      <c r="B1070" s="7" t="s">
        <v>130</v>
      </c>
      <c r="C1070" s="16">
        <v>1.4118089681014749</v>
      </c>
      <c r="D1070" s="16">
        <v>-0.87717873412007874</v>
      </c>
      <c r="E1070" s="16">
        <v>-3.4746524831603178</v>
      </c>
      <c r="F1070" s="16">
        <v>-7.1487816164552678</v>
      </c>
    </row>
    <row r="1071" spans="2:6" x14ac:dyDescent="0.35">
      <c r="B1071" s="7" t="s">
        <v>131</v>
      </c>
      <c r="C1071" s="16">
        <v>-0.43434214961581047</v>
      </c>
      <c r="D1071" s="16">
        <v>-1.9210108754177537</v>
      </c>
      <c r="E1071" s="16">
        <v>-2.4931599548967158</v>
      </c>
      <c r="F1071" s="16">
        <v>-5.531650470131579</v>
      </c>
    </row>
    <row r="1072" spans="2:6" x14ac:dyDescent="0.35">
      <c r="B1072" s="7" t="s">
        <v>132</v>
      </c>
      <c r="C1072" s="16">
        <v>-4.1974910935824585</v>
      </c>
      <c r="D1072" s="16">
        <v>-1.5146380004808702</v>
      </c>
      <c r="E1072" s="16">
        <v>-0.55980644064575624</v>
      </c>
      <c r="F1072" s="16">
        <v>-0.78943866560189169</v>
      </c>
    </row>
    <row r="1073" spans="2:6" x14ac:dyDescent="0.35">
      <c r="B1073" s="7" t="s">
        <v>133</v>
      </c>
      <c r="C1073" s="16">
        <v>-2.8089550549759239</v>
      </c>
      <c r="D1073" s="16">
        <v>-0.78791376558985804</v>
      </c>
      <c r="E1073" s="16">
        <v>-0.95509453007938494</v>
      </c>
      <c r="F1073" s="16">
        <v>-3.9973694165786449</v>
      </c>
    </row>
    <row r="1074" spans="2:6" x14ac:dyDescent="0.35">
      <c r="B1074" s="7" t="s">
        <v>134</v>
      </c>
      <c r="C1074" s="16">
        <v>3.3910992233995541</v>
      </c>
      <c r="D1074" s="16">
        <v>0.16626015802893521</v>
      </c>
      <c r="E1074" s="16">
        <v>8.0916738814003339E-2</v>
      </c>
      <c r="F1074" s="16">
        <v>0.9127895457380667</v>
      </c>
    </row>
    <row r="1075" spans="2:6" x14ac:dyDescent="0.35">
      <c r="B1075" s="7" t="s">
        <v>135</v>
      </c>
      <c r="C1075" s="16">
        <v>-3.3538588757396854</v>
      </c>
      <c r="D1075" s="16">
        <v>-0.57861056016805612</v>
      </c>
      <c r="E1075" s="16">
        <v>1.1489692413224277</v>
      </c>
      <c r="F1075" s="16">
        <v>2.1920497288836605</v>
      </c>
    </row>
    <row r="1076" spans="2:6" x14ac:dyDescent="0.35">
      <c r="B1076" s="7" t="s">
        <v>136</v>
      </c>
      <c r="C1076" s="16">
        <v>-0.79295944784128958</v>
      </c>
      <c r="D1076" s="16">
        <v>-3.3534537333500083</v>
      </c>
      <c r="E1076" s="16">
        <v>-7.4046577347595495</v>
      </c>
      <c r="F1076" s="16">
        <v>-14.483532493966765</v>
      </c>
    </row>
    <row r="1077" spans="2:6" x14ac:dyDescent="0.35">
      <c r="B1077" s="7" t="s">
        <v>137</v>
      </c>
      <c r="C1077" s="16">
        <v>2.0198363870403804</v>
      </c>
      <c r="D1077" s="16">
        <v>-0.48110411263797959</v>
      </c>
      <c r="E1077" s="16">
        <v>1.8004525023937523</v>
      </c>
      <c r="F1077" s="16">
        <v>3.5839629807713473</v>
      </c>
    </row>
    <row r="1078" spans="2:6" x14ac:dyDescent="0.35">
      <c r="B1078" s="7" t="s">
        <v>138</v>
      </c>
      <c r="C1078" s="16">
        <v>-5.5872071173104283</v>
      </c>
      <c r="D1078" s="16">
        <v>-2.6748468456854666</v>
      </c>
      <c r="E1078" s="16">
        <v>-3.467465088626843</v>
      </c>
      <c r="F1078" s="16">
        <v>-8.9795192376353263</v>
      </c>
    </row>
    <row r="1079" spans="2:6" x14ac:dyDescent="0.35">
      <c r="B1079" s="7" t="s">
        <v>139</v>
      </c>
      <c r="C1079" s="16">
        <v>-5.8856464929878278</v>
      </c>
      <c r="D1079" s="16">
        <v>-3.4865086336847027</v>
      </c>
      <c r="E1079" s="16">
        <v>-7.2732575143599751</v>
      </c>
      <c r="F1079" s="16">
        <v>-15.95893905854961</v>
      </c>
    </row>
    <row r="1080" spans="2:6" x14ac:dyDescent="0.35">
      <c r="B1080" s="7" t="s">
        <v>140</v>
      </c>
      <c r="C1080" s="16">
        <v>-5.5872071173104283</v>
      </c>
      <c r="D1080" s="16">
        <v>-2.5942957929916561</v>
      </c>
      <c r="E1080" s="16">
        <v>-4.6659215012556521</v>
      </c>
      <c r="F1080" s="16">
        <v>-10.764654778264758</v>
      </c>
    </row>
    <row r="1081" spans="2:6" x14ac:dyDescent="0.35">
      <c r="B1081" s="7" t="s">
        <v>141</v>
      </c>
      <c r="C1081" s="16">
        <v>-3.4901290333876154</v>
      </c>
      <c r="D1081" s="16">
        <v>-1.909225722888211</v>
      </c>
      <c r="E1081" s="16">
        <v>-3.4386841632788703</v>
      </c>
      <c r="F1081" s="16">
        <v>-9.5638500083621789</v>
      </c>
    </row>
    <row r="1082" spans="2:6" x14ac:dyDescent="0.35">
      <c r="B1082" s="7" t="s">
        <v>142</v>
      </c>
      <c r="C1082" s="16">
        <v>-1.0473338512739159</v>
      </c>
      <c r="D1082" s="16">
        <v>-0.82394396554761262</v>
      </c>
      <c r="E1082" s="16">
        <v>-0.63097779444665525</v>
      </c>
      <c r="F1082" s="16">
        <v>-0.51971694661921908</v>
      </c>
    </row>
    <row r="1083" spans="2:6" x14ac:dyDescent="0.35">
      <c r="B1083" s="7" t="s">
        <v>143</v>
      </c>
      <c r="C1083" s="16">
        <v>-9.3667823130525711</v>
      </c>
      <c r="D1083" s="16">
        <v>-5.595409071150149</v>
      </c>
      <c r="E1083" s="16">
        <v>-13.222007913228445</v>
      </c>
      <c r="F1083" s="16">
        <v>-28.752213542267793</v>
      </c>
    </row>
    <row r="1084" spans="2:6" x14ac:dyDescent="0.35">
      <c r="B1084" s="7" t="s">
        <v>144</v>
      </c>
      <c r="C1084" s="16">
        <v>-2.7390118904108158</v>
      </c>
      <c r="D1084" s="16">
        <v>-2.4641491626581415</v>
      </c>
      <c r="E1084" s="16">
        <v>-3.6595507686299484</v>
      </c>
      <c r="F1084" s="16">
        <v>-7.5924240912980148</v>
      </c>
    </row>
    <row r="1085" spans="2:6" x14ac:dyDescent="0.35">
      <c r="B1085" s="7" t="s">
        <v>145</v>
      </c>
      <c r="C1085" s="16">
        <v>2.3247060815816547</v>
      </c>
      <c r="D1085" s="16">
        <v>2.4801654877968682</v>
      </c>
      <c r="E1085" s="16">
        <v>9.8490779978702641</v>
      </c>
      <c r="F1085" s="16">
        <v>17.314874417772643</v>
      </c>
    </row>
    <row r="1086" spans="2:6" x14ac:dyDescent="0.35">
      <c r="B1086" s="7" t="s">
        <v>146</v>
      </c>
      <c r="C1086" s="16">
        <v>0.55135465872353806</v>
      </c>
      <c r="D1086" s="16">
        <v>-2.3851219787524869</v>
      </c>
      <c r="E1086" s="16">
        <v>-5.2214813862009795</v>
      </c>
      <c r="F1086" s="16">
        <v>-9.1361550900053086</v>
      </c>
    </row>
    <row r="1087" spans="2:6" x14ac:dyDescent="0.35">
      <c r="B1087" s="7" t="s">
        <v>147</v>
      </c>
      <c r="C1087" s="16">
        <v>-4.7723320423351989</v>
      </c>
      <c r="D1087" s="16">
        <v>-3.1879452091157536</v>
      </c>
      <c r="E1087" s="16">
        <v>-6.4203351384943117</v>
      </c>
      <c r="F1087" s="16">
        <v>-14.427215611027629</v>
      </c>
    </row>
    <row r="1088" spans="2:6" x14ac:dyDescent="0.35">
      <c r="B1088" s="7" t="s">
        <v>148</v>
      </c>
      <c r="C1088" s="16">
        <v>-2.2984266659382051</v>
      </c>
      <c r="D1088" s="16">
        <v>-0.87253956850344505</v>
      </c>
      <c r="E1088" s="16">
        <v>-1.1071028532781753</v>
      </c>
      <c r="F1088" s="16">
        <v>-5.191564392322606</v>
      </c>
    </row>
    <row r="1089" spans="2:6" x14ac:dyDescent="0.35">
      <c r="B1089" s="7" t="s">
        <v>149</v>
      </c>
      <c r="C1089" s="16">
        <v>1.1177989197426921</v>
      </c>
      <c r="D1089" s="16">
        <v>-1.7336022232975252</v>
      </c>
      <c r="E1089" s="16">
        <v>-1.4711879751975472</v>
      </c>
      <c r="F1089" s="16">
        <v>-1.8200699222970305</v>
      </c>
    </row>
    <row r="1090" spans="2:6" x14ac:dyDescent="0.35">
      <c r="B1090" s="7" t="s">
        <v>150</v>
      </c>
      <c r="C1090" s="16">
        <v>1.7498651328289132</v>
      </c>
      <c r="D1090" s="16">
        <v>-0.73201976503432997</v>
      </c>
      <c r="E1090" s="16">
        <v>0.20738606000329785</v>
      </c>
      <c r="F1090" s="16">
        <v>0.13868254116890866</v>
      </c>
    </row>
    <row r="1091" spans="2:6" x14ac:dyDescent="0.35">
      <c r="B1091" s="7" t="s">
        <v>151</v>
      </c>
      <c r="C1091" s="16">
        <v>-3.0297853500613088</v>
      </c>
      <c r="D1091" s="16">
        <v>0.13263983526311388</v>
      </c>
      <c r="E1091" s="16">
        <v>1.4441385350203246</v>
      </c>
      <c r="F1091" s="16">
        <v>3.7680748359174663</v>
      </c>
    </row>
    <row r="1092" spans="2:6" x14ac:dyDescent="0.35">
      <c r="B1092" s="7" t="s">
        <v>152</v>
      </c>
      <c r="C1092" s="16">
        <v>1.2895214495026084</v>
      </c>
      <c r="D1092" s="16">
        <v>2.6387763003982347</v>
      </c>
      <c r="E1092" s="16">
        <v>8.0953353632245371</v>
      </c>
      <c r="F1092" s="16">
        <v>14.327953870712236</v>
      </c>
    </row>
    <row r="1093" spans="2:6" x14ac:dyDescent="0.35">
      <c r="B1093" s="7" t="s">
        <v>153</v>
      </c>
      <c r="C1093" s="16">
        <v>-5.0707714180126011</v>
      </c>
      <c r="D1093" s="16">
        <v>-3.2104314599233157</v>
      </c>
      <c r="E1093" s="16">
        <v>-6.7005800899930046</v>
      </c>
      <c r="F1093" s="16">
        <v>-14.945141403564604</v>
      </c>
    </row>
    <row r="1094" spans="2:6" x14ac:dyDescent="0.35">
      <c r="B1094" s="7" t="s">
        <v>154</v>
      </c>
      <c r="C1094" s="16">
        <v>-3.7198581139963367</v>
      </c>
      <c r="D1094" s="16">
        <v>-1.4741154913159018</v>
      </c>
      <c r="E1094" s="16">
        <v>-0.13996517265313568</v>
      </c>
      <c r="F1094" s="16">
        <v>-3.3168166073030183</v>
      </c>
    </row>
    <row r="1095" spans="2:6" x14ac:dyDescent="0.35">
      <c r="B1095" s="7" t="s">
        <v>155</v>
      </c>
      <c r="C1095" s="16">
        <v>-5.7826331681815768</v>
      </c>
      <c r="D1095" s="16">
        <v>-3.1030818217619038</v>
      </c>
      <c r="E1095" s="16">
        <v>-4.7999083561427769</v>
      </c>
      <c r="F1095" s="16">
        <v>-12.691806907677917</v>
      </c>
    </row>
    <row r="1096" spans="2:6" x14ac:dyDescent="0.35">
      <c r="B1096" s="7" t="s">
        <v>156</v>
      </c>
      <c r="C1096" s="16">
        <v>-1.4337278313452357</v>
      </c>
      <c r="D1096" s="16">
        <v>-2.7562067318186712</v>
      </c>
      <c r="E1096" s="16">
        <v>-6.1663325726668274</v>
      </c>
      <c r="F1096" s="16">
        <v>-12.864489588936593</v>
      </c>
    </row>
    <row r="1097" spans="2:6" x14ac:dyDescent="0.35">
      <c r="B1097" s="7" t="s">
        <v>157</v>
      </c>
      <c r="C1097" s="16">
        <v>-0.28522591896118732</v>
      </c>
      <c r="D1097" s="16">
        <v>-2.8670642127213513</v>
      </c>
      <c r="E1097" s="16">
        <v>-5.7512453345096803</v>
      </c>
      <c r="F1097" s="16">
        <v>-11.521435529678124</v>
      </c>
    </row>
    <row r="1098" spans="2:6" x14ac:dyDescent="0.35">
      <c r="B1098" s="7" t="s">
        <v>158</v>
      </c>
      <c r="C1098" s="16">
        <v>-2.7046774792033257</v>
      </c>
      <c r="D1098" s="16">
        <v>-0.55901444739572526</v>
      </c>
      <c r="E1098" s="16">
        <v>-0.63550059635917577</v>
      </c>
      <c r="F1098" s="16">
        <v>-3.7376867440154782</v>
      </c>
    </row>
    <row r="1099" spans="2:6" x14ac:dyDescent="0.35">
      <c r="B1099" s="7" t="s">
        <v>159</v>
      </c>
      <c r="C1099" s="16">
        <v>-2.5389838007644587</v>
      </c>
      <c r="D1099" s="16">
        <v>-2.4699401246664365</v>
      </c>
      <c r="E1099" s="16">
        <v>-2.7079186205663812</v>
      </c>
      <c r="F1099" s="16">
        <v>-4.9941701217169392</v>
      </c>
    </row>
    <row r="1100" spans="2:6" x14ac:dyDescent="0.35">
      <c r="B1100" s="7" t="s">
        <v>160</v>
      </c>
      <c r="C1100" s="16">
        <v>3.0723103153791778</v>
      </c>
      <c r="D1100" s="16">
        <v>-0.1654545491988586</v>
      </c>
      <c r="E1100" s="16">
        <v>3.4030274302638208</v>
      </c>
      <c r="F1100" s="16">
        <v>8.4723119449117217</v>
      </c>
    </row>
    <row r="1101" spans="2:6" x14ac:dyDescent="0.35">
      <c r="B1101" s="7" t="s">
        <v>161</v>
      </c>
      <c r="C1101" s="16">
        <v>-3.975215986303946</v>
      </c>
      <c r="D1101" s="16">
        <v>-2.0371665505334162</v>
      </c>
      <c r="E1101" s="16">
        <v>-2.7021929584323838</v>
      </c>
      <c r="F1101" s="16">
        <v>-8.3370275437262418</v>
      </c>
    </row>
    <row r="1102" spans="2:6" x14ac:dyDescent="0.35">
      <c r="B1102" s="7" t="s">
        <v>162</v>
      </c>
      <c r="C1102" s="16">
        <v>-7.3677752427807643</v>
      </c>
      <c r="D1102" s="16">
        <v>-4.4123648092390422</v>
      </c>
      <c r="E1102" s="16">
        <v>-5.1949498280642086</v>
      </c>
      <c r="F1102" s="16">
        <v>-12.874255519436197</v>
      </c>
    </row>
    <row r="1103" spans="2:6" x14ac:dyDescent="0.35">
      <c r="B1103" s="7" t="s">
        <v>163</v>
      </c>
      <c r="C1103" s="16">
        <v>-1.0095659018346264</v>
      </c>
      <c r="D1103" s="16">
        <v>-1.716934422513116</v>
      </c>
      <c r="E1103" s="16">
        <v>-1.5762679391632448</v>
      </c>
      <c r="F1103" s="16">
        <v>-2.4585547717430578</v>
      </c>
    </row>
    <row r="1104" spans="2:6" x14ac:dyDescent="0.35">
      <c r="B1104" s="7" t="s">
        <v>164</v>
      </c>
      <c r="C1104" s="16">
        <v>-0.84557806761664711</v>
      </c>
      <c r="D1104" s="16">
        <v>-2.2979006601034011</v>
      </c>
      <c r="E1104" s="16">
        <v>-3.7879668108829843</v>
      </c>
      <c r="F1104" s="16">
        <v>-6.5989174862764299</v>
      </c>
    </row>
    <row r="1105" spans="2:6" x14ac:dyDescent="0.35">
      <c r="B1105" s="7" t="s">
        <v>165</v>
      </c>
      <c r="C1105" s="16">
        <v>0.60490170215810846</v>
      </c>
      <c r="D1105" s="16">
        <v>1.1784639305182325</v>
      </c>
      <c r="E1105" s="16">
        <v>4.6007217810055216</v>
      </c>
      <c r="F1105" s="16">
        <v>10.405176624133786</v>
      </c>
    </row>
    <row r="1106" spans="2:6" x14ac:dyDescent="0.35">
      <c r="B1106" s="7" t="s">
        <v>166</v>
      </c>
      <c r="C1106" s="16">
        <v>-3.7691211686090553</v>
      </c>
      <c r="D1106" s="16">
        <v>-1.3036104440095029</v>
      </c>
      <c r="E1106" s="16">
        <v>3.3721435276799472</v>
      </c>
      <c r="F1106" s="16">
        <v>5.0930125515821567</v>
      </c>
    </row>
    <row r="1107" spans="2:6" x14ac:dyDescent="0.35">
      <c r="B1107" s="7" t="s">
        <v>167</v>
      </c>
      <c r="C1107" s="16">
        <v>-0.60797921425301304</v>
      </c>
      <c r="D1107" s="16">
        <v>-2.4988596965234562</v>
      </c>
      <c r="E1107" s="16">
        <v>-3.7072489981338697</v>
      </c>
      <c r="F1107" s="16">
        <v>-6.6901434623251541</v>
      </c>
    </row>
    <row r="1108" spans="2:6" x14ac:dyDescent="0.35">
      <c r="B1108" s="7" t="s">
        <v>168</v>
      </c>
      <c r="C1108" s="16">
        <v>-0.84557806761664711</v>
      </c>
      <c r="D1108" s="16">
        <v>-0.3413597805768569</v>
      </c>
      <c r="E1108" s="16">
        <v>-0.3655615259280755</v>
      </c>
      <c r="F1108" s="16">
        <v>-1.9933037940216194</v>
      </c>
    </row>
    <row r="1109" spans="2:6" x14ac:dyDescent="0.35">
      <c r="B1109" s="7" t="s">
        <v>169</v>
      </c>
      <c r="C1109" s="16">
        <v>-0.4651310858310822</v>
      </c>
      <c r="D1109" s="16">
        <v>-7.8612126057789347E-2</v>
      </c>
      <c r="E1109" s="16">
        <v>3.2936650819836877</v>
      </c>
      <c r="F1109" s="16">
        <v>9.0768825083186808</v>
      </c>
    </row>
    <row r="1110" spans="2:6" x14ac:dyDescent="0.35">
      <c r="B1110" s="7" t="s">
        <v>170</v>
      </c>
      <c r="C1110" s="16">
        <v>1.9744107177324621</v>
      </c>
      <c r="D1110" s="16">
        <v>-0.28070558235002346</v>
      </c>
      <c r="E1110" s="16">
        <v>2.3654728273456236</v>
      </c>
      <c r="F1110" s="16">
        <v>5.97880916406959</v>
      </c>
    </row>
    <row r="1111" spans="2:6" x14ac:dyDescent="0.35">
      <c r="B1111" s="7" t="s">
        <v>171</v>
      </c>
      <c r="C1111" s="16">
        <v>-7.1960527130207819</v>
      </c>
      <c r="D1111" s="16">
        <v>-4.7150473113627545</v>
      </c>
      <c r="E1111" s="16">
        <v>-7.774341191094277</v>
      </c>
      <c r="F1111" s="16">
        <v>-17.989514516593704</v>
      </c>
    </row>
    <row r="1112" spans="2:6" x14ac:dyDescent="0.35">
      <c r="B1112" s="7" t="s">
        <v>172</v>
      </c>
      <c r="C1112" s="16">
        <v>-4.1402658292489125</v>
      </c>
      <c r="D1112" s="16">
        <v>-1.4039710160450594</v>
      </c>
      <c r="E1112" s="16">
        <v>-0.43533482314004729</v>
      </c>
      <c r="F1112" s="16">
        <v>-2.1938820225390003</v>
      </c>
    </row>
    <row r="1113" spans="2:6" x14ac:dyDescent="0.35">
      <c r="B1113" s="7" t="s">
        <v>173</v>
      </c>
      <c r="C1113" s="16">
        <v>-7.6859537522979497</v>
      </c>
      <c r="D1113" s="16">
        <v>-4.5828118723698212</v>
      </c>
      <c r="E1113" s="16">
        <v>-5.9903834092581203</v>
      </c>
      <c r="F1113" s="16">
        <v>-13.938002715021488</v>
      </c>
    </row>
    <row r="1114" spans="2:6" x14ac:dyDescent="0.35">
      <c r="B1114" s="7" t="s">
        <v>174</v>
      </c>
      <c r="C1114" s="16">
        <v>-2.5069771975852806</v>
      </c>
      <c r="D1114" s="16">
        <v>-0.72723111548831409</v>
      </c>
      <c r="E1114" s="16">
        <v>3.2500699852566131</v>
      </c>
      <c r="F1114" s="16">
        <v>4.9828020625547547</v>
      </c>
    </row>
    <row r="1115" spans="2:6" x14ac:dyDescent="0.35">
      <c r="B1115" s="7" t="s">
        <v>175</v>
      </c>
      <c r="C1115" s="16">
        <v>-1.2238129803767399</v>
      </c>
      <c r="D1115" s="16">
        <v>-0.16736314403081246</v>
      </c>
      <c r="E1115" s="16">
        <v>2.1714511254196567</v>
      </c>
      <c r="F1115" s="16">
        <v>2.6936348163213388</v>
      </c>
    </row>
    <row r="1116" spans="2:6" x14ac:dyDescent="0.35">
      <c r="B1116" s="7" t="s">
        <v>176</v>
      </c>
      <c r="C1116" s="16">
        <v>1.7498651328289132</v>
      </c>
      <c r="D1116" s="16">
        <v>-1.3531527829657506</v>
      </c>
      <c r="E1116" s="16">
        <v>-3.5333379285579425</v>
      </c>
      <c r="F1116" s="16">
        <v>-5.6093747364893707</v>
      </c>
    </row>
    <row r="1117" spans="2:6" x14ac:dyDescent="0.35">
      <c r="B1117" s="7" t="s">
        <v>177</v>
      </c>
      <c r="C1117" s="16">
        <v>-6.219273330396649</v>
      </c>
      <c r="D1117" s="16">
        <v>-2.4269489695605939</v>
      </c>
      <c r="E1117" s="16">
        <v>1.447293630222066</v>
      </c>
      <c r="F1117" s="16">
        <v>1.884450034218436</v>
      </c>
    </row>
    <row r="1118" spans="2:6" x14ac:dyDescent="0.35">
      <c r="B1118" s="7" t="s">
        <v>178</v>
      </c>
      <c r="C1118" s="16">
        <v>-0.84557806761664711</v>
      </c>
      <c r="D1118" s="16">
        <v>-2.2496376429822611</v>
      </c>
      <c r="E1118" s="16">
        <v>-4.2755371005113458</v>
      </c>
      <c r="F1118" s="16">
        <v>-8.0905216486341889</v>
      </c>
    </row>
    <row r="1119" spans="2:6" x14ac:dyDescent="0.35">
      <c r="B1119" s="7" t="s">
        <v>179</v>
      </c>
      <c r="C1119" s="16">
        <v>-2.9917639168648642</v>
      </c>
      <c r="D1119" s="16">
        <v>-0.60689845945550935</v>
      </c>
      <c r="E1119" s="16">
        <v>2.8920890000887485</v>
      </c>
      <c r="F1119" s="16">
        <v>4.3324262387296599</v>
      </c>
    </row>
    <row r="1120" spans="2:6" x14ac:dyDescent="0.35">
      <c r="B1120" s="7" t="s">
        <v>180</v>
      </c>
      <c r="C1120" s="16">
        <v>-2.1768888418896375</v>
      </c>
      <c r="D1120" s="16">
        <v>-1.2702511152285196</v>
      </c>
      <c r="E1120" s="16">
        <v>0.93084259471354125</v>
      </c>
      <c r="F1120" s="16">
        <v>0.29268642882943935</v>
      </c>
    </row>
    <row r="1121" spans="2:6" x14ac:dyDescent="0.35">
      <c r="B1121" s="7" t="s">
        <v>181</v>
      </c>
      <c r="C1121" s="16">
        <v>-2.1865062716233934E-2</v>
      </c>
      <c r="D1121" s="16">
        <v>-0.67038480074688556</v>
      </c>
      <c r="E1121" s="16">
        <v>3.3016579567707338</v>
      </c>
      <c r="F1121" s="16">
        <v>11.038005721851933</v>
      </c>
    </row>
    <row r="1122" spans="2:6" x14ac:dyDescent="0.35">
      <c r="B1122" s="7" t="s">
        <v>182</v>
      </c>
      <c r="C1122" s="16">
        <v>-0.28522591896118732</v>
      </c>
      <c r="D1122" s="16">
        <v>-0.42354771474529884</v>
      </c>
      <c r="E1122" s="16">
        <v>2.6234699882418062</v>
      </c>
      <c r="F1122" s="16">
        <v>8.8224596012792791</v>
      </c>
    </row>
    <row r="1123" spans="2:6" x14ac:dyDescent="0.35">
      <c r="B1123" s="7" t="s">
        <v>183</v>
      </c>
      <c r="C1123" s="16">
        <v>1.6045740941710118</v>
      </c>
      <c r="D1123" s="16">
        <v>0.5047611361668245</v>
      </c>
      <c r="E1123" s="16">
        <v>1.5600268876216272</v>
      </c>
      <c r="F1123" s="16">
        <v>6.0485014358673777</v>
      </c>
    </row>
    <row r="1124" spans="2:6" x14ac:dyDescent="0.35">
      <c r="B1124" s="7" t="s">
        <v>184</v>
      </c>
      <c r="C1124" s="16">
        <v>-5.4043982554214205</v>
      </c>
      <c r="D1124" s="16">
        <v>-2.4056109645120904</v>
      </c>
      <c r="E1124" s="16">
        <v>-0.67907333720947594</v>
      </c>
      <c r="F1124" s="16">
        <v>-4.0375366296293702</v>
      </c>
    </row>
    <row r="1125" spans="2:6" x14ac:dyDescent="0.35">
      <c r="B1125" s="7" t="s">
        <v>185</v>
      </c>
      <c r="C1125" s="16">
        <v>1.0278690096200926</v>
      </c>
      <c r="D1125" s="16">
        <v>0.4153162783457755</v>
      </c>
      <c r="E1125" s="16">
        <v>0.27838318261647566</v>
      </c>
      <c r="F1125" s="16">
        <v>6.2475964736058271</v>
      </c>
    </row>
    <row r="1126" spans="2:6" x14ac:dyDescent="0.35">
      <c r="B1126" s="7" t="s">
        <v>186</v>
      </c>
      <c r="C1126" s="16">
        <v>-3.3112632724041453</v>
      </c>
      <c r="D1126" s="16">
        <v>-3.6323421148914696</v>
      </c>
      <c r="E1126" s="16">
        <v>-6.6807800737738301</v>
      </c>
      <c r="F1126" s="16">
        <v>-11.985249679647705</v>
      </c>
    </row>
    <row r="1127" spans="2:6" x14ac:dyDescent="0.35">
      <c r="B1127" s="7" t="s">
        <v>187</v>
      </c>
      <c r="C1127" s="16">
        <v>-1.4337278313452357</v>
      </c>
      <c r="D1127" s="16">
        <v>-1.2142173398641289</v>
      </c>
      <c r="E1127" s="16">
        <v>-2.5007003499697502</v>
      </c>
      <c r="F1127" s="16">
        <v>-6.3704725599993273</v>
      </c>
    </row>
    <row r="1128" spans="2:6" x14ac:dyDescent="0.35">
      <c r="B1128" s="7" t="s">
        <v>188</v>
      </c>
      <c r="C1128" s="16">
        <v>-2.5069771975852806</v>
      </c>
      <c r="D1128" s="16">
        <v>0.64494078679503897</v>
      </c>
      <c r="E1128" s="16">
        <v>8.3363496066830898</v>
      </c>
      <c r="F1128" s="16">
        <v>15.058574507752882</v>
      </c>
    </row>
    <row r="1129" spans="2:6" x14ac:dyDescent="0.35">
      <c r="B1129" s="7" t="s">
        <v>189</v>
      </c>
      <c r="C1129" s="16">
        <v>1.8198082973940213</v>
      </c>
      <c r="D1129" s="16">
        <v>-0.57335516894118421</v>
      </c>
      <c r="E1129" s="16">
        <v>-2.1806549601674421</v>
      </c>
      <c r="F1129" s="16">
        <v>-3.5004115679491892</v>
      </c>
    </row>
    <row r="1130" spans="2:6" x14ac:dyDescent="0.35">
      <c r="B1130" s="7" t="s">
        <v>190</v>
      </c>
      <c r="C1130" s="16">
        <v>2.3932389627006074</v>
      </c>
      <c r="D1130" s="16">
        <v>0.61186941004557693</v>
      </c>
      <c r="E1130" s="16">
        <v>5.2854753097498692</v>
      </c>
      <c r="F1130" s="16">
        <v>14.381376044259286</v>
      </c>
    </row>
    <row r="1131" spans="2:6" x14ac:dyDescent="0.35">
      <c r="B1131" s="7" t="s">
        <v>191</v>
      </c>
      <c r="C1131" s="16">
        <v>-0.67385553785666696</v>
      </c>
      <c r="D1131" s="16">
        <v>-2.3531693691700655</v>
      </c>
      <c r="E1131" s="16">
        <v>-7.582874627400904</v>
      </c>
      <c r="F1131" s="16">
        <v>-13.984649644623412</v>
      </c>
    </row>
    <row r="1132" spans="2:6" x14ac:dyDescent="0.35">
      <c r="B1132" s="7" t="s">
        <v>192</v>
      </c>
      <c r="C1132" s="16">
        <v>-5.5872071173104283</v>
      </c>
      <c r="D1132" s="16">
        <v>-2.7411552376238553</v>
      </c>
      <c r="E1132" s="16">
        <v>-2.5694121251106194</v>
      </c>
      <c r="F1132" s="16">
        <v>-7.5796363578730697</v>
      </c>
    </row>
    <row r="1133" spans="2:6" x14ac:dyDescent="0.35">
      <c r="B1133" s="7" t="s">
        <v>193</v>
      </c>
      <c r="C1133" s="16">
        <v>0.4072014205400637</v>
      </c>
      <c r="D1133" s="16">
        <v>-0.34259686198442435</v>
      </c>
      <c r="E1133" s="16">
        <v>2.0712967224694894</v>
      </c>
      <c r="F1133" s="16">
        <v>8.1366628674037926</v>
      </c>
    </row>
    <row r="1134" spans="2:6" x14ac:dyDescent="0.35">
      <c r="B1134" s="7" t="s">
        <v>194</v>
      </c>
      <c r="C1134" s="16">
        <v>2.7629973975847153</v>
      </c>
      <c r="D1134" s="16">
        <v>2.1607337658489367</v>
      </c>
      <c r="E1134" s="16">
        <v>7.4587862356179997</v>
      </c>
      <c r="F1134" s="16">
        <v>18.846039542983597</v>
      </c>
    </row>
    <row r="1135" spans="2:6" x14ac:dyDescent="0.35">
      <c r="B1135" s="7" t="s">
        <v>195</v>
      </c>
      <c r="C1135" s="16">
        <v>-2.3521542792322698</v>
      </c>
      <c r="D1135" s="16">
        <v>-2.0106042799238582</v>
      </c>
      <c r="E1135" s="16">
        <v>-3.6129366365225293</v>
      </c>
      <c r="F1135" s="16">
        <v>-5.9908872404735121</v>
      </c>
    </row>
    <row r="1136" spans="2:6" x14ac:dyDescent="0.35">
      <c r="B1136" s="7" t="s">
        <v>196</v>
      </c>
      <c r="C1136" s="16">
        <v>-0.15741983855884001</v>
      </c>
      <c r="D1136" s="16">
        <v>0.40463863660207111</v>
      </c>
      <c r="E1136" s="16">
        <v>1.6620577643076371</v>
      </c>
      <c r="F1136" s="16">
        <v>5.7677022627574468</v>
      </c>
    </row>
    <row r="1137" spans="2:6" x14ac:dyDescent="0.35">
      <c r="B1137" s="7" t="s">
        <v>197</v>
      </c>
      <c r="C1137" s="16">
        <v>-0.67385553785666696</v>
      </c>
      <c r="D1137" s="16">
        <v>-0.93194910543707377</v>
      </c>
      <c r="E1137" s="16">
        <v>0.10075417991208963</v>
      </c>
      <c r="F1137" s="16">
        <v>1.7046927008096888</v>
      </c>
    </row>
    <row r="1138" spans="2:6" x14ac:dyDescent="0.35">
      <c r="B1138" s="7" t="s">
        <v>198</v>
      </c>
      <c r="C1138" s="16">
        <v>0.96317490973164921</v>
      </c>
      <c r="D1138" s="16">
        <v>-1.3653946059179025</v>
      </c>
      <c r="E1138" s="16">
        <v>-3.8858924110075863</v>
      </c>
      <c r="F1138" s="16">
        <v>-7.1188927113286713</v>
      </c>
    </row>
    <row r="1139" spans="2:6" x14ac:dyDescent="0.35">
      <c r="B1139" s="7" t="s">
        <v>199</v>
      </c>
      <c r="C1139" s="16">
        <v>2.443571951796188</v>
      </c>
      <c r="D1139" s="16">
        <v>0.80410720423879256</v>
      </c>
      <c r="E1139" s="16">
        <v>4.2877911573162661</v>
      </c>
      <c r="F1139" s="16">
        <v>12.882006971860571</v>
      </c>
    </row>
    <row r="1140" spans="2:6" x14ac:dyDescent="0.35">
      <c r="B1140" s="7" t="s">
        <v>200</v>
      </c>
      <c r="C1140" s="16">
        <v>-1.0095659018346264</v>
      </c>
      <c r="D1140" s="16">
        <v>0.62986885632300182</v>
      </c>
      <c r="E1140" s="16">
        <v>0.41349134761469875</v>
      </c>
      <c r="F1140" s="16">
        <v>2.4073633381119213</v>
      </c>
    </row>
    <row r="1141" spans="2:6" x14ac:dyDescent="0.35">
      <c r="B1141" s="7" t="s">
        <v>201</v>
      </c>
      <c r="C1141" s="16">
        <v>1.7567883773714706E-2</v>
      </c>
      <c r="D1141" s="16">
        <v>1.3624212848996993</v>
      </c>
      <c r="E1141" s="16">
        <v>2.0055983379801856</v>
      </c>
      <c r="F1141" s="16">
        <v>5.5913614162281533</v>
      </c>
    </row>
    <row r="1142" spans="2:6" x14ac:dyDescent="0.35">
      <c r="B1142" s="7" t="s">
        <v>202</v>
      </c>
      <c r="C1142" s="16">
        <v>0.89696862465724347</v>
      </c>
      <c r="D1142" s="16">
        <v>-8.3273821492682754E-2</v>
      </c>
      <c r="E1142" s="16">
        <v>1.6486287529910288</v>
      </c>
      <c r="F1142" s="16">
        <v>7.001524337718557</v>
      </c>
    </row>
    <row r="1143" spans="2:6" x14ac:dyDescent="0.35">
      <c r="B1143" s="7" t="s">
        <v>203</v>
      </c>
      <c r="C1143" s="16">
        <v>-2.1207968259181156</v>
      </c>
      <c r="D1143" s="16">
        <v>-0.41947498331396094</v>
      </c>
      <c r="E1143" s="16">
        <v>-2.5438445656103514</v>
      </c>
      <c r="F1143" s="16">
        <v>-3.8174869035971986</v>
      </c>
    </row>
    <row r="1144" spans="2:6" x14ac:dyDescent="0.35">
      <c r="B1144" s="7" t="s">
        <v>204</v>
      </c>
      <c r="C1144" s="16">
        <v>1.7213970113629138</v>
      </c>
      <c r="D1144" s="16">
        <v>1.3227387673561259</v>
      </c>
      <c r="E1144" s="16">
        <v>4.7042970544430132</v>
      </c>
      <c r="F1144" s="16">
        <v>13.207673586031719</v>
      </c>
    </row>
    <row r="1145" spans="2:6" x14ac:dyDescent="0.35">
      <c r="B1145" s="7" t="s">
        <v>205</v>
      </c>
      <c r="C1145" s="16">
        <v>0.83896207380850196</v>
      </c>
      <c r="D1145" s="16">
        <v>-0.13924344398627245</v>
      </c>
      <c r="E1145" s="16">
        <v>0.86313685403564266</v>
      </c>
      <c r="F1145" s="16">
        <v>5.9594971116019968</v>
      </c>
    </row>
    <row r="1146" spans="2:6" x14ac:dyDescent="0.35">
      <c r="B1146" s="7" t="s">
        <v>206</v>
      </c>
      <c r="C1146" s="16">
        <v>-8.8831638976866217E-2</v>
      </c>
      <c r="D1146" s="16">
        <v>-0.46273000198550013</v>
      </c>
      <c r="E1146" s="16">
        <v>-0.76486105726426379</v>
      </c>
      <c r="F1146" s="16">
        <v>1.8737843507472176</v>
      </c>
    </row>
    <row r="1147" spans="2:6" x14ac:dyDescent="0.35">
      <c r="B1147" s="7" t="s">
        <v>207</v>
      </c>
      <c r="C1147" s="16">
        <v>1.4827250175269373</v>
      </c>
      <c r="D1147" s="16">
        <v>1.2620783154661734</v>
      </c>
      <c r="E1147" s="16">
        <v>4.1306593026558156</v>
      </c>
      <c r="F1147" s="16">
        <v>12.758234058246897</v>
      </c>
    </row>
    <row r="1148" spans="2:6" x14ac:dyDescent="0.35">
      <c r="B1148" s="7" t="s">
        <v>208</v>
      </c>
      <c r="C1148" s="16">
        <v>5.4938102456585254</v>
      </c>
      <c r="D1148" s="16">
        <v>4.252227621070011</v>
      </c>
      <c r="E1148" s="16">
        <v>16.894019308601102</v>
      </c>
      <c r="F1148" s="16">
        <v>34.87656475991129</v>
      </c>
    </row>
    <row r="1149" spans="2:6" x14ac:dyDescent="0.35">
      <c r="B1149" s="7" t="s">
        <v>209</v>
      </c>
      <c r="C1149" s="16">
        <v>-3.1073944306533234</v>
      </c>
      <c r="D1149" s="16">
        <v>0.42464808506644597</v>
      </c>
      <c r="E1149" s="16">
        <v>1.3520328670000066</v>
      </c>
      <c r="F1149" s="16">
        <v>3.6248286524314399</v>
      </c>
    </row>
    <row r="1150" spans="2:6" x14ac:dyDescent="0.35">
      <c r="B1150" s="7" t="s">
        <v>210</v>
      </c>
      <c r="C1150" s="16">
        <v>-8.6596577121383633E-3</v>
      </c>
      <c r="D1150" s="16">
        <v>1.025108279693997</v>
      </c>
      <c r="E1150" s="16">
        <v>1.9251443236732149</v>
      </c>
      <c r="F1150" s="16">
        <v>5.2270142385567206</v>
      </c>
    </row>
    <row r="1151" spans="2:6" x14ac:dyDescent="0.35">
      <c r="B1151" s="7" t="s">
        <v>211</v>
      </c>
      <c r="C1151" s="16">
        <v>-4.8462011585395655E-2</v>
      </c>
      <c r="D1151" s="16">
        <v>0.71798163812773319</v>
      </c>
      <c r="E1151" s="16">
        <v>5.592574597563503E-2</v>
      </c>
      <c r="F1151" s="16">
        <v>0.8534366233291576</v>
      </c>
    </row>
    <row r="1152" spans="2:6" x14ac:dyDescent="0.35">
      <c r="B1152" s="7" t="s">
        <v>212</v>
      </c>
      <c r="C1152" s="16">
        <v>-1.4337278313452357</v>
      </c>
      <c r="D1152" s="16">
        <v>-0.76696327222345051</v>
      </c>
      <c r="E1152" s="16">
        <v>-2.7863329002131945</v>
      </c>
      <c r="F1152" s="16">
        <v>-0.29033831016031181</v>
      </c>
    </row>
    <row r="1153" spans="2:6" x14ac:dyDescent="0.35">
      <c r="B1153" s="7" t="s">
        <v>213</v>
      </c>
      <c r="C1153" s="16">
        <v>-0.77563490305153904</v>
      </c>
      <c r="D1153" s="16">
        <v>2.9625414480883894</v>
      </c>
      <c r="E1153" s="16">
        <v>5.7304074740513427</v>
      </c>
      <c r="F1153" s="16">
        <v>11.544497053100542</v>
      </c>
    </row>
    <row r="1154" spans="2:6" x14ac:dyDescent="0.35">
      <c r="B1154" s="7" t="s">
        <v>214</v>
      </c>
      <c r="C1154" s="16">
        <v>-0.60797921425301304</v>
      </c>
      <c r="D1154" s="16">
        <v>0.43192398357394413</v>
      </c>
      <c r="E1154" s="16">
        <v>-0.33807447976575955</v>
      </c>
      <c r="F1154" s="16">
        <v>-0.3238796427817931</v>
      </c>
    </row>
    <row r="1155" spans="2:6" x14ac:dyDescent="0.35">
      <c r="B1155" s="7" t="s">
        <v>215</v>
      </c>
      <c r="C1155" s="16">
        <v>-3.0297853500613088</v>
      </c>
      <c r="D1155" s="16">
        <v>-1.221219759780356</v>
      </c>
      <c r="E1155" s="16">
        <v>-4.1621833517475704</v>
      </c>
      <c r="F1155" s="16">
        <v>-7.7887228572726173</v>
      </c>
    </row>
    <row r="1156" spans="2:6" x14ac:dyDescent="0.35">
      <c r="B1156" s="7" t="s">
        <v>216</v>
      </c>
      <c r="C1156" s="16">
        <v>-1.9588925182692771</v>
      </c>
      <c r="D1156" s="16">
        <v>1.2094653807506546</v>
      </c>
      <c r="E1156" s="16">
        <v>0.75062327886492375</v>
      </c>
      <c r="F1156" s="16">
        <v>1.3732683530199101</v>
      </c>
    </row>
    <row r="1157" spans="2:6" x14ac:dyDescent="0.35">
      <c r="B1157" s="7" t="s">
        <v>217</v>
      </c>
      <c r="C1157" s="16">
        <v>-3.6714372042518111</v>
      </c>
      <c r="D1157" s="16">
        <v>-3.3871104904162319</v>
      </c>
      <c r="E1157" s="16">
        <v>-7.4041085164409823</v>
      </c>
      <c r="F1157" s="16">
        <v>-12.559128621830313</v>
      </c>
    </row>
    <row r="1158" spans="2:6" x14ac:dyDescent="0.35">
      <c r="B1158" s="7" t="s">
        <v>218</v>
      </c>
      <c r="C1158" s="16">
        <v>-6.219273330396649</v>
      </c>
      <c r="D1158" s="16">
        <v>-1.3367869045247529</v>
      </c>
      <c r="E1158" s="16">
        <v>-7.1945027075620152</v>
      </c>
      <c r="F1158" s="16">
        <v>-17.264883763798018</v>
      </c>
    </row>
    <row r="1159" spans="2:6" x14ac:dyDescent="0.35">
      <c r="B1159" s="7" t="s">
        <v>219</v>
      </c>
      <c r="C1159" s="16">
        <v>-3.1073944306533234</v>
      </c>
      <c r="D1159" s="16">
        <v>-2.8132842786968779</v>
      </c>
      <c r="E1159" s="16">
        <v>-5.5309632341154096</v>
      </c>
      <c r="F1159" s="16">
        <v>-7.9618515512154362</v>
      </c>
    </row>
    <row r="1160" spans="2:6" x14ac:dyDescent="0.35">
      <c r="B1160" s="7" t="s">
        <v>220</v>
      </c>
      <c r="C1160" s="16">
        <v>-1.028386929505589</v>
      </c>
      <c r="D1160" s="16">
        <v>0.26460823606014244</v>
      </c>
      <c r="E1160" s="16">
        <v>3.1044302040812588</v>
      </c>
      <c r="F1160" s="16">
        <v>15.216426780994629</v>
      </c>
    </row>
    <row r="1161" spans="2:6" x14ac:dyDescent="0.35">
      <c r="B1161" s="7" t="s">
        <v>221</v>
      </c>
      <c r="C1161" s="16">
        <v>-0.4651310858310822</v>
      </c>
      <c r="D1161" s="16">
        <v>0.96292937294808045</v>
      </c>
      <c r="E1161" s="16">
        <v>1.5206326582363627</v>
      </c>
      <c r="F1161" s="16">
        <v>4.24430651436061</v>
      </c>
    </row>
    <row r="1162" spans="2:6" x14ac:dyDescent="0.35">
      <c r="B1162" s="7" t="s">
        <v>222</v>
      </c>
      <c r="C1162" s="16">
        <v>1.9744107177324621</v>
      </c>
      <c r="D1162" s="16">
        <v>2.093895065521918</v>
      </c>
      <c r="E1162" s="16">
        <v>4.9727932886164892</v>
      </c>
      <c r="F1162" s="16">
        <v>13.422019575734831</v>
      </c>
    </row>
    <row r="1163" spans="2:6" x14ac:dyDescent="0.35">
      <c r="B1163" s="7" t="s">
        <v>223</v>
      </c>
      <c r="C1163" s="16">
        <v>0.31470163405672968</v>
      </c>
      <c r="D1163" s="16">
        <v>9.5857851057640317E-2</v>
      </c>
      <c r="E1163" s="16">
        <v>1.3139399765417821</v>
      </c>
      <c r="F1163" s="16">
        <v>6.5296224453799931</v>
      </c>
    </row>
    <row r="1164" spans="2:6" x14ac:dyDescent="0.35">
      <c r="B1164" s="7" t="s">
        <v>224</v>
      </c>
      <c r="C1164" s="16">
        <v>-1.2036523668482215</v>
      </c>
      <c r="D1164" s="16">
        <v>-0.54899621568399826</v>
      </c>
      <c r="E1164" s="16">
        <v>-0.39925811323588267</v>
      </c>
      <c r="F1164" s="16">
        <v>2.1854147524085588</v>
      </c>
    </row>
    <row r="1165" spans="2:6" x14ac:dyDescent="0.35">
      <c r="B1165" s="7" t="s">
        <v>225</v>
      </c>
      <c r="C1165" s="16">
        <v>-0.75841567529412501</v>
      </c>
      <c r="D1165" s="16">
        <v>-1.6863499039734298</v>
      </c>
      <c r="E1165" s="16">
        <v>-1.5374033972757186</v>
      </c>
      <c r="F1165" s="16">
        <v>-0.29480991985946209</v>
      </c>
    </row>
    <row r="1166" spans="2:6" x14ac:dyDescent="0.35">
      <c r="B1166" s="7" t="s">
        <v>226</v>
      </c>
      <c r="C1166" s="16">
        <v>-0.15741983855884001</v>
      </c>
      <c r="D1166" s="16">
        <v>-1.1792357461890555</v>
      </c>
      <c r="E1166" s="16">
        <v>-0.43632452825297391</v>
      </c>
      <c r="F1166" s="16">
        <v>2.0000817470101078</v>
      </c>
    </row>
    <row r="1167" spans="2:6" x14ac:dyDescent="0.35">
      <c r="B1167" s="7" t="s">
        <v>227</v>
      </c>
      <c r="C1167" s="16">
        <v>0.25531677046680479</v>
      </c>
      <c r="D1167" s="16">
        <v>-0.46383001326332557</v>
      </c>
      <c r="E1167" s="16">
        <v>0.91121746111031066</v>
      </c>
      <c r="F1167" s="16">
        <v>4.8256195233250576</v>
      </c>
    </row>
    <row r="1168" spans="2:6" x14ac:dyDescent="0.35">
      <c r="B1168" s="7" t="s">
        <v>228</v>
      </c>
      <c r="C1168" s="16">
        <v>0.79962041022543984</v>
      </c>
      <c r="D1168" s="16">
        <v>0.24171472146794512</v>
      </c>
      <c r="E1168" s="16">
        <v>1.8487977519961412</v>
      </c>
      <c r="F1168" s="16">
        <v>6.781923162919071</v>
      </c>
    </row>
    <row r="1169" spans="2:6" x14ac:dyDescent="0.35">
      <c r="B1169" s="7" t="s">
        <v>229</v>
      </c>
      <c r="C1169" s="16">
        <v>1.3144049557352766</v>
      </c>
      <c r="D1169" s="16">
        <v>0.43153738783932671</v>
      </c>
      <c r="E1169" s="16">
        <v>1.7617104100560419</v>
      </c>
      <c r="F1169" s="16">
        <v>7.7883662549845729</v>
      </c>
    </row>
    <row r="1170" spans="2:6" x14ac:dyDescent="0.35">
      <c r="B1170" s="7" t="s">
        <v>230</v>
      </c>
      <c r="C1170" s="16">
        <v>2.0897795516054218</v>
      </c>
      <c r="D1170" s="16">
        <v>-0.17825669597860969</v>
      </c>
      <c r="E1170" s="16">
        <v>-1.3055073237095269</v>
      </c>
      <c r="F1170" s="16">
        <v>-0.81226829622339836</v>
      </c>
    </row>
    <row r="1171" spans="2:6" x14ac:dyDescent="0.35">
      <c r="B1171" s="7" t="s">
        <v>231</v>
      </c>
      <c r="C1171" s="16">
        <v>4.0405673882726223</v>
      </c>
      <c r="D1171" s="16">
        <v>1.4488522577076772</v>
      </c>
      <c r="E1171" s="16">
        <v>2.5485810986622806</v>
      </c>
      <c r="F1171" s="16">
        <v>7.3122932461288643</v>
      </c>
    </row>
    <row r="1172" spans="2:6" x14ac:dyDescent="0.35">
      <c r="B1172" s="7" t="s">
        <v>232</v>
      </c>
      <c r="C1172" s="16">
        <v>2.2066659085725688</v>
      </c>
      <c r="D1172" s="16">
        <v>-0.32695364913031</v>
      </c>
      <c r="E1172" s="16">
        <v>-1.7701114122671811</v>
      </c>
      <c r="F1172" s="16">
        <v>-2.7202162764293849</v>
      </c>
    </row>
    <row r="1173" spans="2:6" x14ac:dyDescent="0.35">
      <c r="B1173" s="7" t="s">
        <v>233</v>
      </c>
      <c r="C1173" s="16">
        <v>1.8198082973940213</v>
      </c>
      <c r="D1173" s="16">
        <v>-0.98812924383832568</v>
      </c>
      <c r="E1173" s="16">
        <v>-3.4123848906163516</v>
      </c>
      <c r="F1173" s="16">
        <v>-5.1195688737972018</v>
      </c>
    </row>
    <row r="1174" spans="2:6" x14ac:dyDescent="0.35">
      <c r="B1174" s="7" t="s">
        <v>234</v>
      </c>
      <c r="C1174" s="16">
        <v>2.6519026001266015</v>
      </c>
      <c r="D1174" s="16">
        <v>-0.61393638859924071</v>
      </c>
      <c r="E1174" s="16">
        <v>-0.21808028566533488</v>
      </c>
      <c r="F1174" s="16">
        <v>2.2903748975246896</v>
      </c>
    </row>
    <row r="1175" spans="2:6" x14ac:dyDescent="0.35">
      <c r="B1175" s="7" t="s">
        <v>235</v>
      </c>
      <c r="C1175" s="16">
        <v>0.63655068217628652</v>
      </c>
      <c r="D1175" s="16">
        <v>-2.1486866767324937</v>
      </c>
      <c r="E1175" s="16">
        <v>-5.1550237258545764</v>
      </c>
      <c r="F1175" s="16">
        <v>-7.3722813366715698</v>
      </c>
    </row>
    <row r="1176" spans="2:6" x14ac:dyDescent="0.35">
      <c r="B1176" s="7" t="s">
        <v>236</v>
      </c>
      <c r="C1176" s="16">
        <v>3.9508409735518257</v>
      </c>
      <c r="D1176" s="16">
        <v>0.88873014538028816</v>
      </c>
      <c r="E1176" s="16">
        <v>3.2472022246215677</v>
      </c>
      <c r="F1176" s="16">
        <v>6.6805772423750449</v>
      </c>
    </row>
    <row r="1177" spans="2:6" x14ac:dyDescent="0.35">
      <c r="B1177" s="7" t="s">
        <v>237</v>
      </c>
      <c r="C1177" s="16">
        <v>4.615279587485877</v>
      </c>
      <c r="D1177" s="16">
        <v>1.6489665438799559</v>
      </c>
      <c r="E1177" s="16">
        <v>5.0975159073171863</v>
      </c>
      <c r="F1177" s="16">
        <v>10.757664697688057</v>
      </c>
    </row>
    <row r="1178" spans="2:6" x14ac:dyDescent="0.35">
      <c r="B1178" s="7" t="s">
        <v>238</v>
      </c>
      <c r="C1178" s="16">
        <v>0.63655068217628652</v>
      </c>
      <c r="D1178" s="16">
        <v>-1.2474746038068933</v>
      </c>
      <c r="E1178" s="16">
        <v>-3.4952524340523765</v>
      </c>
      <c r="F1178" s="16">
        <v>-6.8120198123806155</v>
      </c>
    </row>
    <row r="1179" spans="2:6" x14ac:dyDescent="0.35">
      <c r="B1179" s="7" t="s">
        <v>239</v>
      </c>
      <c r="C1179" s="16">
        <v>2.3819313459152012</v>
      </c>
      <c r="D1179" s="16">
        <v>-0.31678304288217085</v>
      </c>
      <c r="E1179" s="16">
        <v>0.81915818545914598</v>
      </c>
      <c r="F1179" s="16">
        <v>1.7975643813206288</v>
      </c>
    </row>
    <row r="1180" spans="2:6" x14ac:dyDescent="0.35">
      <c r="B1180" s="7" t="s">
        <v>240</v>
      </c>
      <c r="C1180" s="16">
        <v>0.18237142836251571</v>
      </c>
      <c r="D1180" s="16">
        <v>-1.9424203480988782</v>
      </c>
      <c r="E1180" s="16">
        <v>-4.5546476542188605</v>
      </c>
      <c r="F1180" s="16">
        <v>-9.5231741492178656</v>
      </c>
    </row>
    <row r="1181" spans="2:6" x14ac:dyDescent="0.35">
      <c r="B1181" s="7" t="s">
        <v>241</v>
      </c>
      <c r="C1181" s="16">
        <v>1.8198082973940213</v>
      </c>
      <c r="D1181" s="16">
        <v>1.2585851506258457E-2</v>
      </c>
      <c r="E1181" s="16">
        <v>0.13909750872528451</v>
      </c>
      <c r="F1181" s="16">
        <v>0.94034713682327742</v>
      </c>
    </row>
    <row r="1182" spans="2:6" x14ac:dyDescent="0.35">
      <c r="B1182" s="7" t="s">
        <v>242</v>
      </c>
      <c r="C1182" s="16">
        <v>3.2109339027599688</v>
      </c>
      <c r="D1182" s="16">
        <v>1.1749878173505173</v>
      </c>
      <c r="E1182" s="16">
        <v>3.0045333731720412</v>
      </c>
      <c r="F1182" s="16">
        <v>7.1560259152269072</v>
      </c>
    </row>
    <row r="1183" spans="2:6" x14ac:dyDescent="0.35">
      <c r="B1183" s="7" t="s">
        <v>243</v>
      </c>
      <c r="C1183" s="16">
        <v>3.2528984368619502</v>
      </c>
      <c r="D1183" s="16">
        <v>2.8189152977655612</v>
      </c>
      <c r="E1183" s="16">
        <v>7.5075187890828623</v>
      </c>
      <c r="F1183" s="16">
        <v>15.034302964055378</v>
      </c>
    </row>
    <row r="1184" spans="2:6" x14ac:dyDescent="0.35">
      <c r="B1184" s="7" t="s">
        <v>244</v>
      </c>
      <c r="C1184" s="16">
        <v>3.0365678317506326</v>
      </c>
      <c r="D1184" s="16">
        <v>2.8369479224919929</v>
      </c>
      <c r="E1184" s="16">
        <v>7.0162307094020688</v>
      </c>
      <c r="F1184" s="16">
        <v>14.745442383349591</v>
      </c>
    </row>
    <row r="1185" spans="2:6" x14ac:dyDescent="0.35">
      <c r="B1185" s="7" t="s">
        <v>245</v>
      </c>
      <c r="C1185" s="16">
        <v>-0.67385553785666696</v>
      </c>
      <c r="D1185" s="16">
        <v>-0.34702656031858647</v>
      </c>
      <c r="E1185" s="16">
        <v>-0.59608122844115341</v>
      </c>
      <c r="F1185" s="16">
        <v>2.6526321271539337</v>
      </c>
    </row>
    <row r="1186" spans="2:6" x14ac:dyDescent="0.35">
      <c r="B1186" s="7" t="s">
        <v>246</v>
      </c>
      <c r="C1186" s="16">
        <v>1.8880659193665839</v>
      </c>
      <c r="D1186" s="16">
        <v>1.2276513704524534</v>
      </c>
      <c r="E1186" s="16">
        <v>6.9842461411825276</v>
      </c>
      <c r="F1186" s="16">
        <v>15.00709971445052</v>
      </c>
    </row>
    <row r="1187" spans="2:6" x14ac:dyDescent="0.35">
      <c r="B1187" s="7" t="s">
        <v>247</v>
      </c>
      <c r="C1187" s="16">
        <v>1.4514257571515137</v>
      </c>
      <c r="D1187" s="16">
        <v>1.5500954002900134</v>
      </c>
      <c r="E1187" s="16">
        <v>4.2310073268476573</v>
      </c>
      <c r="F1187" s="16">
        <v>9.7913686357106435</v>
      </c>
    </row>
    <row r="1188" spans="2:6" x14ac:dyDescent="0.35">
      <c r="B1188" s="7" t="s">
        <v>248</v>
      </c>
      <c r="C1188" s="16">
        <v>-4.4387052049263795</v>
      </c>
      <c r="D1188" s="16">
        <v>-1.5946571745125313</v>
      </c>
      <c r="E1188" s="16">
        <v>-1.6516796094220294</v>
      </c>
      <c r="F1188" s="16">
        <v>-4.7379965245796045</v>
      </c>
    </row>
    <row r="1189" spans="2:6" x14ac:dyDescent="0.35">
      <c r="B1189" s="7" t="s">
        <v>249</v>
      </c>
      <c r="C1189" s="16">
        <v>-2.5713562016122884</v>
      </c>
      <c r="D1189" s="16">
        <v>-0.42475355235010681</v>
      </c>
      <c r="E1189" s="16">
        <v>2.8037090872411938</v>
      </c>
      <c r="F1189" s="16">
        <v>3.0407499831122879</v>
      </c>
    </row>
    <row r="1190" spans="2:6" x14ac:dyDescent="0.35">
      <c r="B1190" s="7" t="s">
        <v>250</v>
      </c>
      <c r="C1190" s="16">
        <v>-2.8089550549759239</v>
      </c>
      <c r="D1190" s="16">
        <v>-0.73546802506260778</v>
      </c>
      <c r="E1190" s="16">
        <v>0.96101943577262006</v>
      </c>
      <c r="F1190" s="16">
        <v>-0.90011878891573516</v>
      </c>
    </row>
    <row r="1191" spans="2:6" x14ac:dyDescent="0.35">
      <c r="B1191" s="7" t="s">
        <v>251</v>
      </c>
      <c r="C1191" s="16">
        <v>-2.3221798805475404</v>
      </c>
      <c r="D1191" s="16">
        <v>-0.24855308876681093</v>
      </c>
      <c r="E1191" s="16">
        <v>1.0865505358211833</v>
      </c>
      <c r="F1191" s="16">
        <v>0.52422415735079841</v>
      </c>
    </row>
    <row r="1192" spans="2:6" x14ac:dyDescent="0.35">
      <c r="B1192" s="7" t="s">
        <v>252</v>
      </c>
      <c r="C1192" s="16">
        <v>-3.1073944306533234</v>
      </c>
      <c r="D1192" s="16">
        <v>-1.4352577547350722</v>
      </c>
      <c r="E1192" s="16">
        <v>-2.5280417295329491</v>
      </c>
      <c r="F1192" s="16">
        <v>-8.0615715300553639</v>
      </c>
    </row>
    <row r="1193" spans="2:6" x14ac:dyDescent="0.35">
      <c r="B1193" s="7" t="s">
        <v>253</v>
      </c>
      <c r="C1193" s="16">
        <v>-3.6714372042518111</v>
      </c>
      <c r="D1193" s="16">
        <v>-1.7082152175872858</v>
      </c>
      <c r="E1193" s="16">
        <v>-3.4484185550117128</v>
      </c>
      <c r="F1193" s="16">
        <v>-9.7238009432092323</v>
      </c>
    </row>
    <row r="1194" spans="2:6" x14ac:dyDescent="0.35">
      <c r="B1194" s="7" t="s">
        <v>254</v>
      </c>
      <c r="C1194" s="16">
        <v>-1.028386929505589</v>
      </c>
      <c r="D1194" s="16">
        <v>0.20588969242190205</v>
      </c>
      <c r="E1194" s="16">
        <v>1.0995608884103623</v>
      </c>
      <c r="F1194" s="16">
        <v>-0.37004778130539495</v>
      </c>
    </row>
    <row r="1195" spans="2:6" x14ac:dyDescent="0.35">
      <c r="B1195" s="7" t="s">
        <v>255</v>
      </c>
      <c r="C1195" s="16">
        <v>-2.1768888418896375</v>
      </c>
      <c r="D1195" s="16">
        <v>-3.3564025733794009E-2</v>
      </c>
      <c r="E1195" s="16">
        <v>4.1522026289607483</v>
      </c>
      <c r="F1195" s="16">
        <v>7.0004582806966731</v>
      </c>
    </row>
    <row r="1196" spans="2:6" x14ac:dyDescent="0.35">
      <c r="B1196" s="7" t="s">
        <v>256</v>
      </c>
      <c r="C1196" s="16">
        <v>-0.21351185453036203</v>
      </c>
      <c r="D1196" s="16">
        <v>1.8304443754827258</v>
      </c>
      <c r="E1196" s="16">
        <v>6.633139034101295</v>
      </c>
      <c r="F1196" s="16">
        <v>12.33596533208431</v>
      </c>
    </row>
    <row r="1197" spans="2:6" x14ac:dyDescent="0.35">
      <c r="B1197" s="7" t="s">
        <v>257</v>
      </c>
      <c r="C1197" s="16">
        <v>-1.028386929505589</v>
      </c>
      <c r="D1197" s="16">
        <v>0.99703551601090679</v>
      </c>
      <c r="E1197" s="16">
        <v>2.137728719042121</v>
      </c>
      <c r="F1197" s="16">
        <v>2.9751145590109371</v>
      </c>
    </row>
    <row r="1198" spans="2:6" x14ac:dyDescent="0.35">
      <c r="B1198" s="7" t="s">
        <v>258</v>
      </c>
      <c r="C1198" s="16">
        <v>-1.1244149135508401</v>
      </c>
      <c r="D1198" s="16">
        <v>0.63604474521396381</v>
      </c>
      <c r="E1198" s="16">
        <v>-0.31303937785782171</v>
      </c>
      <c r="F1198" s="16">
        <v>-2.6227334471794652</v>
      </c>
    </row>
    <row r="1199" spans="2:6" x14ac:dyDescent="0.35">
      <c r="B1199" s="7" t="s">
        <v>259</v>
      </c>
      <c r="C1199" s="16">
        <v>4.0152199775788349</v>
      </c>
      <c r="D1199" s="16">
        <v>3.7703153460163779</v>
      </c>
      <c r="E1199" s="16">
        <v>5.0660390871326264</v>
      </c>
      <c r="F1199" s="16">
        <v>7.548174239188107</v>
      </c>
    </row>
    <row r="1200" spans="2:6" x14ac:dyDescent="0.35">
      <c r="B1200" s="7" t="s">
        <v>260</v>
      </c>
      <c r="C1200" s="16">
        <v>5.4938102456585254</v>
      </c>
      <c r="D1200" s="16">
        <v>3.3961880756932525</v>
      </c>
      <c r="E1200" s="16">
        <v>9.1065439667246508</v>
      </c>
      <c r="F1200" s="16">
        <v>15.606166164457193</v>
      </c>
    </row>
    <row r="1201" spans="2:6" x14ac:dyDescent="0.35">
      <c r="B1201" s="7" t="s">
        <v>261</v>
      </c>
      <c r="C1201" s="16">
        <v>5.7706399880707915</v>
      </c>
      <c r="D1201" s="16">
        <v>3.6026413061811788</v>
      </c>
      <c r="E1201" s="16">
        <v>8.5005915669666514</v>
      </c>
      <c r="F1201" s="16">
        <v>12.196114717557963</v>
      </c>
    </row>
    <row r="1202" spans="2:6" x14ac:dyDescent="0.35">
      <c r="B1202" s="7" t="s">
        <v>262</v>
      </c>
      <c r="C1202" s="16">
        <v>4.6940019840962277</v>
      </c>
      <c r="D1202" s="16">
        <v>1.9197253954566427</v>
      </c>
      <c r="E1202" s="16">
        <v>4.634521474819147</v>
      </c>
      <c r="F1202" s="16">
        <v>6.5000333007331532</v>
      </c>
    </row>
    <row r="1203" spans="2:6" x14ac:dyDescent="0.35">
      <c r="B1203" s="7" t="s">
        <v>263</v>
      </c>
      <c r="C1203" s="16">
        <v>6.2629979714103357</v>
      </c>
      <c r="D1203" s="16">
        <v>3.2637992895368764</v>
      </c>
      <c r="E1203" s="16">
        <v>6.421331891951481</v>
      </c>
      <c r="F1203" s="16">
        <v>9.2167688480387646</v>
      </c>
    </row>
    <row r="1204" spans="2:6" x14ac:dyDescent="0.35">
      <c r="B1204" s="7" t="s">
        <v>264</v>
      </c>
      <c r="C1204" s="16">
        <v>6.9576960762325673</v>
      </c>
      <c r="D1204" s="16">
        <v>3.8084803057930201</v>
      </c>
      <c r="E1204" s="16">
        <v>7.1677787358849887</v>
      </c>
      <c r="F1204" s="16">
        <v>10.818681493149185</v>
      </c>
    </row>
    <row r="1205" spans="2:6" x14ac:dyDescent="0.35">
      <c r="B1205" s="7" t="s">
        <v>265</v>
      </c>
      <c r="C1205" s="16">
        <v>2.8072185701144123</v>
      </c>
      <c r="D1205" s="16">
        <v>2.3488440663413912</v>
      </c>
      <c r="E1205" s="16">
        <v>3.4017452214719559</v>
      </c>
      <c r="F1205" s="16">
        <v>2.7664505245039508</v>
      </c>
    </row>
    <row r="1206" spans="2:6" x14ac:dyDescent="0.35">
      <c r="B1206" s="7" t="s">
        <v>266</v>
      </c>
      <c r="C1206" s="16">
        <v>2.8459549583214661</v>
      </c>
      <c r="D1206" s="16">
        <v>1.4923289998913432</v>
      </c>
      <c r="E1206" s="16">
        <v>0.87658000930319402</v>
      </c>
      <c r="F1206" s="16">
        <v>-0.45989113562677103</v>
      </c>
    </row>
    <row r="1207" spans="2:6" x14ac:dyDescent="0.35">
      <c r="B1207" s="7" t="s">
        <v>267</v>
      </c>
      <c r="C1207" s="16">
        <v>4.6434644393639068</v>
      </c>
      <c r="D1207" s="16">
        <v>2.4129358692023954</v>
      </c>
      <c r="E1207" s="16">
        <v>4.1495091478653681</v>
      </c>
      <c r="F1207" s="16">
        <v>6.3587920510256044</v>
      </c>
    </row>
    <row r="1208" spans="2:6" x14ac:dyDescent="0.35">
      <c r="B1208" s="7" t="s">
        <v>268</v>
      </c>
      <c r="C1208" s="16">
        <v>5.2902795991493319</v>
      </c>
      <c r="D1208" s="16">
        <v>3.1041141777714407</v>
      </c>
      <c r="E1208" s="16">
        <v>5.2796180814516287</v>
      </c>
      <c r="F1208" s="16">
        <v>8.3972536209309983</v>
      </c>
    </row>
    <row r="1209" spans="2:6" x14ac:dyDescent="0.35">
      <c r="B1209" s="7" t="s">
        <v>269</v>
      </c>
      <c r="C1209" s="16">
        <v>4.2880830689409324</v>
      </c>
      <c r="D1209" s="16">
        <v>2.2184911137345811</v>
      </c>
      <c r="E1209" s="16">
        <v>2.6102843781912624</v>
      </c>
      <c r="F1209" s="16">
        <v>3.0755310886921108</v>
      </c>
    </row>
    <row r="1210" spans="2:6" x14ac:dyDescent="0.35">
      <c r="B1210" s="7" t="s">
        <v>270</v>
      </c>
      <c r="C1210" s="16">
        <v>1.847309040044391</v>
      </c>
      <c r="D1210" s="16">
        <v>0.27289052216422161</v>
      </c>
      <c r="E1210" s="16">
        <v>-3.3751511672903285</v>
      </c>
      <c r="F1210" s="16">
        <v>-9.1482871131727475</v>
      </c>
    </row>
    <row r="1211" spans="2:6" x14ac:dyDescent="0.35">
      <c r="B1211" s="7" t="s">
        <v>271</v>
      </c>
      <c r="C1211" s="16">
        <v>2.0960532069785831</v>
      </c>
      <c r="D1211" s="16">
        <v>2.5130173628729104</v>
      </c>
      <c r="E1211" s="16">
        <v>-0.23069925034618732</v>
      </c>
      <c r="F1211" s="16">
        <v>-1.5719452635428259</v>
      </c>
    </row>
    <row r="1212" spans="2:6" x14ac:dyDescent="0.35">
      <c r="B1212" s="7" t="s">
        <v>272</v>
      </c>
      <c r="C1212" s="16">
        <v>-0.34393380789963457</v>
      </c>
      <c r="D1212" s="16">
        <v>2.5166160557507675</v>
      </c>
      <c r="E1212" s="16">
        <v>5.8964571688350622</v>
      </c>
      <c r="F1212" s="16">
        <v>12.610433038968999</v>
      </c>
    </row>
    <row r="1213" spans="2:6" x14ac:dyDescent="0.35">
      <c r="B1213" s="7" t="s">
        <v>273</v>
      </c>
      <c r="C1213" s="16">
        <v>-2.3221798805475404</v>
      </c>
      <c r="D1213" s="16">
        <v>1.0409777050441948</v>
      </c>
      <c r="E1213" s="16">
        <v>1.5638882403915724</v>
      </c>
      <c r="F1213" s="16">
        <v>4.6567640507838597</v>
      </c>
    </row>
    <row r="1214" spans="2:6" x14ac:dyDescent="0.35">
      <c r="B1214" s="7" t="s">
        <v>274</v>
      </c>
      <c r="C1214" s="16">
        <v>-0.4651310858310822</v>
      </c>
      <c r="D1214" s="16">
        <v>-1.0439198995577588</v>
      </c>
      <c r="E1214" s="16">
        <v>-3.0405072102700057</v>
      </c>
      <c r="F1214" s="16">
        <v>-5.0888226769537752</v>
      </c>
    </row>
    <row r="1215" spans="2:6" x14ac:dyDescent="0.35">
      <c r="B1215" s="7" t="s">
        <v>275</v>
      </c>
      <c r="C1215" s="16">
        <v>-2.7390118904108158</v>
      </c>
      <c r="D1215" s="16">
        <v>-2.1225713760989073</v>
      </c>
      <c r="E1215" s="16">
        <v>-7.1752855571430656</v>
      </c>
      <c r="F1215" s="16">
        <v>-13.070624848799477</v>
      </c>
    </row>
    <row r="1216" spans="2:6" x14ac:dyDescent="0.35">
      <c r="B1216" s="7" t="s">
        <v>276</v>
      </c>
      <c r="C1216" s="16">
        <v>-2.093161931180632</v>
      </c>
      <c r="D1216" s="16">
        <v>-0.13631561180625115</v>
      </c>
      <c r="E1216" s="16">
        <v>-4.8582790491632188</v>
      </c>
      <c r="F1216" s="16">
        <v>-6.2079909565762961</v>
      </c>
    </row>
    <row r="1217" spans="2:6" x14ac:dyDescent="0.35">
      <c r="B1217" s="7" t="s">
        <v>277</v>
      </c>
      <c r="C1217" s="16">
        <v>-1.9852420500755095</v>
      </c>
      <c r="D1217" s="16">
        <v>-2.5846659042124029</v>
      </c>
      <c r="E1217" s="16">
        <v>-5.2988166079251844</v>
      </c>
      <c r="F1217" s="16">
        <v>-10.02059532313443</v>
      </c>
    </row>
    <row r="1218" spans="2:6" x14ac:dyDescent="0.35">
      <c r="B1218" s="7" t="s">
        <v>278</v>
      </c>
      <c r="C1218" s="16">
        <v>-1.412022328635804</v>
      </c>
      <c r="D1218" s="16">
        <v>-1.3849904191216613</v>
      </c>
      <c r="E1218" s="16">
        <v>-2.5243616518928094</v>
      </c>
      <c r="F1218" s="16">
        <v>-4.0117022300128733</v>
      </c>
    </row>
    <row r="1219" spans="2:6" x14ac:dyDescent="0.35">
      <c r="B1219" s="7" t="s">
        <v>279</v>
      </c>
      <c r="C1219" s="16">
        <v>0.30292384476746503</v>
      </c>
      <c r="D1219" s="16">
        <v>-2.4070910273991739</v>
      </c>
      <c r="E1219" s="16">
        <v>-3.6840415621332614</v>
      </c>
      <c r="F1219" s="16">
        <v>-6.0794060618874131</v>
      </c>
    </row>
    <row r="1220" spans="2:6" x14ac:dyDescent="0.35">
      <c r="B1220" s="7" t="s">
        <v>280</v>
      </c>
      <c r="C1220" s="16">
        <v>-2.2341141062231831</v>
      </c>
      <c r="D1220" s="16">
        <v>-3.0047396875111825</v>
      </c>
      <c r="E1220" s="16">
        <v>-6.8731210799799953</v>
      </c>
      <c r="F1220" s="16">
        <v>-13.126895337082198</v>
      </c>
    </row>
    <row r="1221" spans="2:6" x14ac:dyDescent="0.35">
      <c r="B1221" s="7" t="s">
        <v>281</v>
      </c>
      <c r="C1221" s="16">
        <v>-1.4337278313452357</v>
      </c>
      <c r="D1221" s="16">
        <v>-2.483667564929311</v>
      </c>
      <c r="E1221" s="16">
        <v>-5.7542369653242833</v>
      </c>
      <c r="F1221" s="16">
        <v>-9.8032307104812677</v>
      </c>
    </row>
    <row r="1222" spans="2:6" x14ac:dyDescent="0.35">
      <c r="B1222" s="7" t="s">
        <v>282</v>
      </c>
      <c r="C1222" s="16">
        <v>-0.55955830450842203</v>
      </c>
      <c r="D1222" s="16">
        <v>-1.5758980821772899</v>
      </c>
      <c r="E1222" s="16">
        <v>-3.7555831328808571</v>
      </c>
      <c r="F1222" s="16">
        <v>-5.6226723422157843</v>
      </c>
    </row>
    <row r="1223" spans="2:6" x14ac:dyDescent="0.35">
      <c r="B1223" s="7" t="s">
        <v>283</v>
      </c>
      <c r="C1223" s="16">
        <v>-1.7321672070227023</v>
      </c>
      <c r="D1223" s="16">
        <v>-1.5319020688932978</v>
      </c>
      <c r="E1223" s="16">
        <v>-3.0134605977660707</v>
      </c>
      <c r="F1223" s="16">
        <v>-5.1260660916586787</v>
      </c>
    </row>
    <row r="1224" spans="2:6" x14ac:dyDescent="0.35">
      <c r="B1224" s="7" t="s">
        <v>284</v>
      </c>
      <c r="C1224" s="16">
        <v>-0.67385553785666696</v>
      </c>
      <c r="D1224" s="16">
        <v>-0.48730600109261091</v>
      </c>
      <c r="E1224" s="16">
        <v>-2.6223434461801745</v>
      </c>
      <c r="F1224" s="16">
        <v>-2.1355099837399565</v>
      </c>
    </row>
    <row r="1225" spans="2:6" x14ac:dyDescent="0.35">
      <c r="B1225" s="7" t="s">
        <v>285</v>
      </c>
      <c r="C1225" s="16">
        <v>-0.91729213204747528</v>
      </c>
      <c r="D1225" s="16">
        <v>0.78510367265429781</v>
      </c>
      <c r="E1225" s="16">
        <v>2.2923296689401895</v>
      </c>
      <c r="F1225" s="16">
        <v>5.9631469391294525</v>
      </c>
    </row>
    <row r="1226" spans="2:6" x14ac:dyDescent="0.35">
      <c r="B1226" s="7" t="s">
        <v>286</v>
      </c>
      <c r="C1226" s="16">
        <v>0.92553243890691739</v>
      </c>
      <c r="D1226" s="16">
        <v>2.4502227624498678</v>
      </c>
      <c r="E1226" s="16">
        <v>5.8023207288575334</v>
      </c>
      <c r="F1226" s="16">
        <v>13.301723512200322</v>
      </c>
    </row>
    <row r="1227" spans="2:6" x14ac:dyDescent="0.35">
      <c r="B1227" s="7" t="s">
        <v>287</v>
      </c>
      <c r="C1227" s="16">
        <v>-0.43434214961581047</v>
      </c>
      <c r="D1227" s="16">
        <v>0.68757700130872612</v>
      </c>
      <c r="E1227" s="16">
        <v>-1.4823183402641915</v>
      </c>
      <c r="F1227" s="16">
        <v>2.7968976658062732</v>
      </c>
    </row>
    <row r="1228" spans="2:6" x14ac:dyDescent="0.35">
      <c r="B1228" s="7" t="s">
        <v>288</v>
      </c>
      <c r="C1228" s="16">
        <v>-2.011838998944671</v>
      </c>
      <c r="D1228" s="16">
        <v>-0.28945758745795103</v>
      </c>
      <c r="E1228" s="16">
        <v>-5.0550417013063713</v>
      </c>
      <c r="F1228" s="16">
        <v>-4.0608891173056891</v>
      </c>
    </row>
    <row r="1229" spans="2:6" x14ac:dyDescent="0.35">
      <c r="B1229" s="7" t="s">
        <v>289</v>
      </c>
      <c r="C1229" s="16">
        <v>-2.6372325252159441</v>
      </c>
      <c r="D1229" s="16">
        <v>-0.68985489553147172</v>
      </c>
      <c r="E1229" s="16">
        <v>-6.6085017548311198</v>
      </c>
      <c r="F1229" s="16">
        <v>-7.0379871728023025</v>
      </c>
    </row>
    <row r="1230" spans="2:6" x14ac:dyDescent="0.35">
      <c r="B1230" s="7" t="s">
        <v>290</v>
      </c>
      <c r="C1230" s="16">
        <v>-0.99086910627455171</v>
      </c>
      <c r="D1230" s="16">
        <v>0.77952155961660741</v>
      </c>
      <c r="E1230" s="16">
        <v>-3.9126395909137384</v>
      </c>
      <c r="F1230" s="16">
        <v>1.3502966972817532</v>
      </c>
    </row>
    <row r="1231" spans="2:6" x14ac:dyDescent="0.35">
      <c r="B1231" s="7" t="s">
        <v>291</v>
      </c>
      <c r="C1231" s="16">
        <v>-1.4556009457736503</v>
      </c>
      <c r="D1231" s="16">
        <v>1.1106474059914178</v>
      </c>
      <c r="E1231" s="16">
        <v>3.3511655642788627</v>
      </c>
      <c r="F1231" s="16">
        <v>7.0313870406981902</v>
      </c>
    </row>
    <row r="1232" spans="2:6" x14ac:dyDescent="0.35">
      <c r="B1232" s="7" t="s">
        <v>292</v>
      </c>
      <c r="C1232" s="16">
        <v>-1.5222523560542065</v>
      </c>
      <c r="D1232" s="16">
        <v>-0.69086943032182946</v>
      </c>
      <c r="E1232" s="16">
        <v>-0.65946294772570402</v>
      </c>
      <c r="F1232" s="16">
        <v>-0.58373611282404847</v>
      </c>
    </row>
    <row r="1233" spans="2:6" x14ac:dyDescent="0.35">
      <c r="B1233" s="7" t="s">
        <v>293</v>
      </c>
      <c r="C1233" s="16">
        <v>1.0369915754539896</v>
      </c>
      <c r="D1233" s="16">
        <v>-0.43422893667703222</v>
      </c>
      <c r="E1233" s="16">
        <v>-1.775076734967544</v>
      </c>
      <c r="F1233" s="16">
        <v>-2.3970510547065356</v>
      </c>
    </row>
    <row r="1234" spans="2:6" x14ac:dyDescent="0.35">
      <c r="B1234" s="7" t="s">
        <v>294</v>
      </c>
      <c r="C1234" s="16">
        <v>1.5213689217165578</v>
      </c>
      <c r="D1234" s="16">
        <v>2.7241704885646034E-2</v>
      </c>
      <c r="E1234" s="16">
        <v>-0.77846557205509292</v>
      </c>
      <c r="F1234" s="16">
        <v>-0.39381054967504026</v>
      </c>
    </row>
    <row r="1235" spans="2:6" x14ac:dyDescent="0.35">
      <c r="B1235" s="7" t="s">
        <v>295</v>
      </c>
      <c r="C1235" s="16">
        <v>0.25531677046680479</v>
      </c>
      <c r="D1235" s="16">
        <v>1.0971702091250792</v>
      </c>
      <c r="E1235" s="16">
        <v>2.3307639345363276</v>
      </c>
      <c r="F1235" s="16">
        <v>5.429881585416755</v>
      </c>
    </row>
    <row r="1236" spans="2:6" x14ac:dyDescent="0.35">
      <c r="B1236" s="7" t="s">
        <v>296</v>
      </c>
      <c r="C1236" s="16">
        <v>-4.0291710317907992</v>
      </c>
      <c r="D1236" s="16">
        <v>-0.33403510933642139</v>
      </c>
      <c r="E1236" s="16">
        <v>-2.720325542961143</v>
      </c>
      <c r="F1236" s="16">
        <v>-3.8504236760235275</v>
      </c>
    </row>
    <row r="1237" spans="2:6" x14ac:dyDescent="0.35">
      <c r="B1237" s="7" t="s">
        <v>297</v>
      </c>
      <c r="C1237" s="16">
        <v>-1.9852420500755095</v>
      </c>
      <c r="D1237" s="16">
        <v>1.1057374829200608</v>
      </c>
      <c r="E1237" s="16">
        <v>0.64850784623787172</v>
      </c>
      <c r="F1237" s="16">
        <v>3.2744823725118142</v>
      </c>
    </row>
    <row r="1238" spans="2:6" x14ac:dyDescent="0.35">
      <c r="B1238" s="7" t="s">
        <v>298</v>
      </c>
      <c r="C1238" s="16">
        <v>0.47464637452744507</v>
      </c>
      <c r="D1238" s="16">
        <v>-1.2856600358035712</v>
      </c>
      <c r="E1238" s="16">
        <v>-4.1078544300523143</v>
      </c>
      <c r="F1238" s="16">
        <v>-8.567672697445273</v>
      </c>
    </row>
    <row r="1239" spans="2:6" x14ac:dyDescent="0.35">
      <c r="B1239" s="7" t="s">
        <v>299</v>
      </c>
      <c r="C1239" s="16">
        <v>2.2306707492142031</v>
      </c>
      <c r="D1239" s="16">
        <v>-0.59799524050292352</v>
      </c>
      <c r="E1239" s="16">
        <v>-2.4789955712940599</v>
      </c>
      <c r="F1239" s="16">
        <v>-3.6039146246916265</v>
      </c>
    </row>
    <row r="1240" spans="2:6" x14ac:dyDescent="0.35">
      <c r="B1240" s="7" t="s">
        <v>300</v>
      </c>
      <c r="C1240" s="16">
        <v>1.2978402638315594</v>
      </c>
      <c r="D1240" s="16">
        <v>0.53745083632976132</v>
      </c>
      <c r="E1240" s="16">
        <v>-2.6529349287611756</v>
      </c>
      <c r="F1240" s="16">
        <v>-0.78107167091243557</v>
      </c>
    </row>
    <row r="1241" spans="2:6" x14ac:dyDescent="0.35">
      <c r="B1241" s="7" t="s">
        <v>301</v>
      </c>
      <c r="C1241" s="16">
        <v>2.145748415721791</v>
      </c>
      <c r="D1241" s="16">
        <v>1.6292334100855195</v>
      </c>
      <c r="E1241" s="16">
        <v>0.44462216027174001</v>
      </c>
      <c r="F1241" s="16">
        <v>6.9636418777798896</v>
      </c>
    </row>
    <row r="1242" spans="2:6" x14ac:dyDescent="0.35">
      <c r="B1242" s="7" t="s">
        <v>302</v>
      </c>
      <c r="C1242" s="16">
        <v>0.6988071276603427</v>
      </c>
      <c r="D1242" s="16">
        <v>-1.4290446455117596</v>
      </c>
      <c r="E1242" s="16">
        <v>-3.1953809641521533</v>
      </c>
      <c r="F1242" s="16">
        <v>-7.133643014132657</v>
      </c>
    </row>
    <row r="1243" spans="2:6" x14ac:dyDescent="0.35">
      <c r="B1243" s="7" t="s">
        <v>303</v>
      </c>
      <c r="C1243" s="16">
        <v>3.0275612923880919</v>
      </c>
      <c r="D1243" s="16">
        <v>0.44837030015884494</v>
      </c>
      <c r="E1243" s="16">
        <v>0.62472607011905246</v>
      </c>
      <c r="F1243" s="16">
        <v>0.56699855685596956</v>
      </c>
    </row>
    <row r="1244" spans="2:6" x14ac:dyDescent="0.35">
      <c r="B1244" s="7" t="s">
        <v>304</v>
      </c>
      <c r="C1244" s="16">
        <v>0.60490170215810846</v>
      </c>
      <c r="D1244" s="16">
        <v>-1.4555058950252457</v>
      </c>
      <c r="E1244" s="16">
        <v>-5.6547782565817366</v>
      </c>
      <c r="F1244" s="16">
        <v>-13.156190366040933</v>
      </c>
    </row>
    <row r="1245" spans="2:6" x14ac:dyDescent="0.35">
      <c r="B1245" s="7" t="s">
        <v>305</v>
      </c>
      <c r="C1245" s="16">
        <v>0.24328892121329065</v>
      </c>
      <c r="D1245" s="16">
        <v>-1.6912945207671617</v>
      </c>
      <c r="E1245" s="16">
        <v>-6.5146541897068548</v>
      </c>
      <c r="F1245" s="16">
        <v>-14.965492379945374</v>
      </c>
    </row>
    <row r="1246" spans="2:6" x14ac:dyDescent="0.35">
      <c r="B1246" s="7" t="s">
        <v>306</v>
      </c>
      <c r="C1246" s="16">
        <v>0.58360420150089243</v>
      </c>
      <c r="D1246" s="16">
        <v>-1.2901320785356967</v>
      </c>
      <c r="E1246" s="16">
        <v>-3.7670595406606564</v>
      </c>
      <c r="F1246" s="16">
        <v>-8.1929996140918178</v>
      </c>
    </row>
    <row r="1247" spans="2:6" x14ac:dyDescent="0.35">
      <c r="B1247" s="7" t="s">
        <v>307</v>
      </c>
      <c r="C1247" s="16">
        <v>9.4824151978996837E-2</v>
      </c>
      <c r="D1247" s="16">
        <v>-1.5223655045858746</v>
      </c>
      <c r="E1247" s="16">
        <v>-7.1333798312057546</v>
      </c>
      <c r="F1247" s="16">
        <v>-15.863640157866614</v>
      </c>
    </row>
    <row r="1248" spans="2:6" x14ac:dyDescent="0.35">
      <c r="B1248" s="7" t="s">
        <v>308</v>
      </c>
      <c r="C1248" s="16">
        <v>4.622994220243049</v>
      </c>
      <c r="D1248" s="16">
        <v>1.1539263875271693</v>
      </c>
      <c r="E1248" s="16">
        <v>2.7817744530191306</v>
      </c>
      <c r="F1248" s="16">
        <v>5.1852765837407295</v>
      </c>
    </row>
    <row r="1249" spans="2:6" x14ac:dyDescent="0.35">
      <c r="B1249" s="7" t="s">
        <v>309</v>
      </c>
      <c r="C1249" s="16">
        <v>5.5665155306209853</v>
      </c>
      <c r="D1249" s="16">
        <v>2.14249604160507</v>
      </c>
      <c r="E1249" s="16">
        <v>3.5117594241933272</v>
      </c>
      <c r="F1249" s="16">
        <v>6.3005043574656563</v>
      </c>
    </row>
    <row r="1250" spans="2:6" x14ac:dyDescent="0.35">
      <c r="B1250" s="7" t="s">
        <v>310</v>
      </c>
      <c r="C1250" s="16">
        <v>1.1442304108447039</v>
      </c>
      <c r="D1250" s="16">
        <v>0.46157475754878585</v>
      </c>
      <c r="E1250" s="16">
        <v>-3.6137759184719518</v>
      </c>
      <c r="F1250" s="16">
        <v>-6.3388707700513978</v>
      </c>
    </row>
    <row r="1251" spans="2:6" x14ac:dyDescent="0.35">
      <c r="B1251" s="7" t="s">
        <v>311</v>
      </c>
      <c r="C1251" s="16">
        <v>2.404501618664411</v>
      </c>
      <c r="D1251" s="16">
        <v>1.5227290311938058</v>
      </c>
      <c r="E1251" s="16">
        <v>-1.2309879860945894</v>
      </c>
      <c r="F1251" s="16">
        <v>0.21912197858795374</v>
      </c>
    </row>
    <row r="1252" spans="2:6" x14ac:dyDescent="0.35">
      <c r="B1252" s="7" t="s">
        <v>312</v>
      </c>
      <c r="C1252" s="16">
        <v>1.2305954620660651</v>
      </c>
      <c r="D1252" s="16">
        <v>0.68673954655202729</v>
      </c>
      <c r="E1252" s="16">
        <v>-4.013746553989594</v>
      </c>
      <c r="F1252" s="16">
        <v>1.7170547300172689</v>
      </c>
    </row>
    <row r="1253" spans="2:6" x14ac:dyDescent="0.35">
      <c r="B1253" s="7" t="s">
        <v>313</v>
      </c>
      <c r="C1253" s="16">
        <v>1.6854047323955499</v>
      </c>
      <c r="D1253" s="16">
        <v>1.1407452291329276</v>
      </c>
      <c r="E1253" s="16">
        <v>-3.1569779463281722</v>
      </c>
      <c r="F1253" s="16">
        <v>3.712002895629662</v>
      </c>
    </row>
    <row r="1254" spans="2:6" x14ac:dyDescent="0.35">
      <c r="B1254" s="7" t="s">
        <v>314</v>
      </c>
      <c r="C1254" s="16">
        <v>3.399022457217701</v>
      </c>
      <c r="D1254" s="16">
        <v>3.3016805572278032</v>
      </c>
      <c r="E1254" s="16">
        <v>1.0979464046311909</v>
      </c>
      <c r="F1254" s="16">
        <v>2.5879718364242961</v>
      </c>
    </row>
    <row r="1255" spans="2:6" x14ac:dyDescent="0.35">
      <c r="B1255" s="7" t="s">
        <v>315</v>
      </c>
      <c r="C1255" s="16">
        <v>-8.9975253927311858</v>
      </c>
      <c r="D1255" s="16">
        <v>-4.190249508754869</v>
      </c>
      <c r="E1255" s="16">
        <v>-14.763678035366631</v>
      </c>
      <c r="F1255" s="16">
        <v>-27.957525909788991</v>
      </c>
    </row>
    <row r="1256" spans="2:6" x14ac:dyDescent="0.35">
      <c r="B1256" s="7" t="s">
        <v>316</v>
      </c>
      <c r="C1256" s="16">
        <v>-2.9542460936338273</v>
      </c>
      <c r="D1256" s="16">
        <v>0.461856597600727</v>
      </c>
      <c r="E1256" s="16">
        <v>-2.2781400199691895</v>
      </c>
      <c r="F1256" s="16">
        <v>-1.8825157028847892</v>
      </c>
    </row>
    <row r="1257" spans="2:6" x14ac:dyDescent="0.35">
      <c r="B1257" s="7" t="s">
        <v>317</v>
      </c>
      <c r="C1257" s="16">
        <v>-5.2326757256614407</v>
      </c>
      <c r="D1257" s="16">
        <v>-1.2318366855689336</v>
      </c>
      <c r="E1257" s="16">
        <v>-7.8255435919547702</v>
      </c>
      <c r="F1257" s="16">
        <v>-12.496857627236736</v>
      </c>
    </row>
    <row r="1258" spans="2:6" x14ac:dyDescent="0.35">
      <c r="B1258" s="7" t="s">
        <v>318</v>
      </c>
      <c r="C1258" s="16">
        <v>-7.3677752427807643</v>
      </c>
      <c r="D1258" s="16">
        <v>-2.7457141937922644</v>
      </c>
      <c r="E1258" s="16">
        <v>-12.294183217280491</v>
      </c>
      <c r="F1258" s="16">
        <v>-20.422626663261124</v>
      </c>
    </row>
    <row r="1259" spans="2:6" x14ac:dyDescent="0.35">
      <c r="B1259" s="7" t="s">
        <v>319</v>
      </c>
      <c r="C1259" s="16">
        <v>-1.0473338512739159</v>
      </c>
      <c r="D1259" s="16">
        <v>0.63092238283643254</v>
      </c>
      <c r="E1259" s="16">
        <v>2.2134764695358995</v>
      </c>
      <c r="F1259" s="16">
        <v>6.2865162896662401</v>
      </c>
    </row>
    <row r="1260" spans="2:6" x14ac:dyDescent="0.35">
      <c r="B1260" s="7" t="s">
        <v>320</v>
      </c>
      <c r="C1260" s="16">
        <v>0.38435811735613518</v>
      </c>
      <c r="D1260" s="16">
        <v>1.3882207472507366</v>
      </c>
      <c r="E1260" s="16">
        <v>2.7474231259032509</v>
      </c>
      <c r="F1260" s="16">
        <v>7.1900922961215237</v>
      </c>
    </row>
    <row r="1261" spans="2:6" x14ac:dyDescent="0.35">
      <c r="B1261" s="7" t="s">
        <v>321</v>
      </c>
      <c r="C1261" s="16">
        <v>5.2983841947873742</v>
      </c>
      <c r="D1261" s="16">
        <v>3.286587748786209</v>
      </c>
      <c r="E1261" s="16">
        <v>6.1688642127536584</v>
      </c>
      <c r="F1261" s="16">
        <v>7.2494263514603015</v>
      </c>
    </row>
    <row r="1262" spans="2:6" ht="15" thickBot="1" x14ac:dyDescent="0.4">
      <c r="B1262" s="11" t="s">
        <v>322</v>
      </c>
      <c r="C1262" s="17">
        <v>0.63655068217628652</v>
      </c>
      <c r="D1262" s="17">
        <v>2.4877952236227503</v>
      </c>
      <c r="E1262" s="17">
        <v>12.038931589230589</v>
      </c>
      <c r="F1262" s="17">
        <v>23.292066506613363</v>
      </c>
    </row>
    <row r="1282" spans="2:7" x14ac:dyDescent="0.35">
      <c r="G1282" t="s">
        <v>49</v>
      </c>
    </row>
    <row r="1285" spans="2:7" x14ac:dyDescent="0.35">
      <c r="B1285" s="6" t="s">
        <v>330</v>
      </c>
    </row>
    <row r="1286" spans="2:7" ht="15" thickBot="1" x14ac:dyDescent="0.4"/>
    <row r="1287" spans="2:7" ht="29" x14ac:dyDescent="0.35">
      <c r="B1287" s="8" t="s">
        <v>331</v>
      </c>
      <c r="C1287" s="9" t="s">
        <v>42</v>
      </c>
      <c r="D1287" s="9" t="s">
        <v>43</v>
      </c>
      <c r="E1287" s="9" t="s">
        <v>44</v>
      </c>
      <c r="F1287" s="9" t="s">
        <v>45</v>
      </c>
    </row>
    <row r="1288" spans="2:7" x14ac:dyDescent="0.35">
      <c r="B1288" s="19" t="s">
        <v>0</v>
      </c>
      <c r="C1288" s="21">
        <v>0.32849750996937011</v>
      </c>
      <c r="D1288" s="21">
        <v>0.19673799569812389</v>
      </c>
      <c r="E1288" s="21">
        <v>4.6359991987413696E-2</v>
      </c>
      <c r="F1288" s="21">
        <v>2.0452190543622462E-2</v>
      </c>
    </row>
    <row r="1289" spans="2:7" ht="15" thickBot="1" x14ac:dyDescent="0.4">
      <c r="B1289" s="29" t="s">
        <v>332</v>
      </c>
      <c r="C1289" s="30">
        <v>0.32849750996937011</v>
      </c>
      <c r="D1289" s="30">
        <v>0.19673799569812389</v>
      </c>
      <c r="E1289" s="30">
        <v>4.6359991987413696E-2</v>
      </c>
      <c r="F1289" s="30">
        <v>2.0452190543622462E-2</v>
      </c>
    </row>
    <row r="1290" spans="2:7" x14ac:dyDescent="0.35">
      <c r="B1290" s="31"/>
      <c r="C1290" s="31"/>
      <c r="D1290" s="31"/>
      <c r="E1290" s="31"/>
      <c r="F1290" s="31"/>
    </row>
    <row r="1292" spans="2:7" x14ac:dyDescent="0.35">
      <c r="B1292" s="6" t="s">
        <v>333</v>
      </c>
    </row>
    <row r="1293" spans="2:7" ht="15" thickBot="1" x14ac:dyDescent="0.4"/>
    <row r="1294" spans="2:7" ht="29" x14ac:dyDescent="0.35">
      <c r="B1294" s="8" t="s">
        <v>331</v>
      </c>
      <c r="C1294" s="9" t="s">
        <v>42</v>
      </c>
      <c r="D1294" s="9" t="s">
        <v>43</v>
      </c>
      <c r="E1294" s="9" t="s">
        <v>44</v>
      </c>
      <c r="F1294" s="9" t="s">
        <v>45</v>
      </c>
    </row>
    <row r="1295" spans="2:7" x14ac:dyDescent="0.35">
      <c r="B1295" s="19" t="s">
        <v>0</v>
      </c>
      <c r="C1295" s="21">
        <v>0.32849750996937011</v>
      </c>
      <c r="D1295" s="21">
        <v>0.4606075639642957</v>
      </c>
      <c r="E1295" s="21">
        <v>0.48561379297698248</v>
      </c>
      <c r="F1295" s="21">
        <v>0.49613411769602844</v>
      </c>
    </row>
    <row r="1296" spans="2:7" ht="15" thickBot="1" x14ac:dyDescent="0.4">
      <c r="B1296" s="29" t="s">
        <v>332</v>
      </c>
      <c r="C1296" s="30">
        <v>0.32849750996937011</v>
      </c>
      <c r="D1296" s="30">
        <v>0.4606075639642957</v>
      </c>
      <c r="E1296" s="30">
        <v>0.48561379297698248</v>
      </c>
      <c r="F1296" s="30">
        <v>0.49613411769602844</v>
      </c>
    </row>
    <row r="1297" spans="2:19" x14ac:dyDescent="0.35">
      <c r="B1297" s="31"/>
      <c r="C1297" s="31"/>
      <c r="D1297" s="31"/>
      <c r="E1297" s="31"/>
      <c r="F1297" s="31"/>
    </row>
    <row r="1299" spans="2:19" x14ac:dyDescent="0.35">
      <c r="B1299" s="6" t="s">
        <v>334</v>
      </c>
    </row>
    <row r="1300" spans="2:19" ht="15" thickBot="1" x14ac:dyDescent="0.4"/>
    <row r="1301" spans="2:19" ht="43.5" x14ac:dyDescent="0.35">
      <c r="B1301" s="8" t="s">
        <v>30</v>
      </c>
      <c r="C1301" s="32" t="s">
        <v>335</v>
      </c>
      <c r="D1301" s="9" t="s">
        <v>336</v>
      </c>
      <c r="E1301" s="9" t="s">
        <v>337</v>
      </c>
      <c r="F1301" s="9" t="s">
        <v>338</v>
      </c>
      <c r="G1301" s="32" t="s">
        <v>339</v>
      </c>
      <c r="H1301" s="9" t="s">
        <v>336</v>
      </c>
      <c r="I1301" s="9" t="s">
        <v>337</v>
      </c>
      <c r="J1301" s="9" t="s">
        <v>338</v>
      </c>
      <c r="K1301" s="32" t="s">
        <v>340</v>
      </c>
      <c r="L1301" s="9" t="s">
        <v>336</v>
      </c>
      <c r="M1301" s="9" t="s">
        <v>337</v>
      </c>
      <c r="N1301" s="9" t="s">
        <v>338</v>
      </c>
      <c r="O1301" s="32" t="s">
        <v>341</v>
      </c>
      <c r="P1301" s="9" t="s">
        <v>336</v>
      </c>
      <c r="Q1301" s="9" t="s">
        <v>337</v>
      </c>
      <c r="R1301" s="9" t="s">
        <v>338</v>
      </c>
      <c r="S1301" s="36"/>
    </row>
    <row r="1302" spans="2:19" x14ac:dyDescent="0.35">
      <c r="B1302" s="19" t="s">
        <v>18</v>
      </c>
      <c r="C1302" s="33">
        <v>1.7738902379668837</v>
      </c>
      <c r="D1302" s="21">
        <v>0.14218306617896245</v>
      </c>
      <c r="E1302" s="21">
        <v>1.4522497980650535</v>
      </c>
      <c r="F1302" s="21">
        <v>2.0955306778687142</v>
      </c>
      <c r="G1302" s="33">
        <v>1.7161952355859238</v>
      </c>
      <c r="H1302" s="21">
        <v>0.14365349101416811</v>
      </c>
      <c r="I1302" s="21">
        <v>1.3912284636281873</v>
      </c>
      <c r="J1302" s="21">
        <v>2.0411620075436603</v>
      </c>
      <c r="K1302" s="33">
        <v>1.6844892255716968</v>
      </c>
      <c r="L1302" s="21">
        <v>0.14811294302383637</v>
      </c>
      <c r="M1302" s="21">
        <v>1.3494344723609366</v>
      </c>
      <c r="N1302" s="21">
        <v>2.0195439787824569</v>
      </c>
      <c r="O1302" s="33">
        <v>1.6651265665030575</v>
      </c>
      <c r="P1302" s="21">
        <v>0.14345573289215319</v>
      </c>
      <c r="Q1302" s="21">
        <v>1.340607154495197</v>
      </c>
      <c r="R1302" s="21">
        <v>1.989645978510918</v>
      </c>
      <c r="S1302" s="36"/>
    </row>
    <row r="1303" spans="2:19" x14ac:dyDescent="0.35">
      <c r="B1303" s="7" t="s">
        <v>17</v>
      </c>
      <c r="C1303" s="34">
        <v>1.8742557667611877</v>
      </c>
      <c r="D1303" s="16">
        <v>4.1244733911571185E-2</v>
      </c>
      <c r="E1303" s="16">
        <v>1.7809536970037798</v>
      </c>
      <c r="F1303" s="16">
        <v>1.9675578365185955</v>
      </c>
      <c r="G1303" s="34">
        <v>1.5562483460127909</v>
      </c>
      <c r="H1303" s="16">
        <v>8.9756018204773164E-2</v>
      </c>
      <c r="I1303" s="16">
        <v>1.3532061275893748</v>
      </c>
      <c r="J1303" s="16">
        <v>1.7592905644362071</v>
      </c>
      <c r="K1303" s="34">
        <v>1.5043497049331271</v>
      </c>
      <c r="L1303" s="16">
        <v>8.8564812594583486E-2</v>
      </c>
      <c r="M1303" s="16">
        <v>1.3040021807990625</v>
      </c>
      <c r="N1303" s="16">
        <v>1.7046972290671918</v>
      </c>
      <c r="O1303" s="34">
        <v>1.4861107730821081</v>
      </c>
      <c r="P1303" s="16">
        <v>8.9614881399400131E-2</v>
      </c>
      <c r="Q1303" s="16">
        <v>1.28338782829223</v>
      </c>
      <c r="R1303" s="16">
        <v>1.6888337178719863</v>
      </c>
      <c r="S1303" s="36"/>
    </row>
    <row r="1304" spans="2:19" x14ac:dyDescent="0.35">
      <c r="B1304" s="7" t="s">
        <v>4</v>
      </c>
      <c r="C1304" s="34">
        <v>1.7731384072007428</v>
      </c>
      <c r="D1304" s="16">
        <v>0.18925280905684061</v>
      </c>
      <c r="E1304" s="16">
        <v>1.3450188118539808</v>
      </c>
      <c r="F1304" s="16">
        <v>2.2012580025475046</v>
      </c>
      <c r="G1304" s="34">
        <v>1.5364662051705085</v>
      </c>
      <c r="H1304" s="16">
        <v>0.19950758272137009</v>
      </c>
      <c r="I1304" s="16">
        <v>1.0851487002470785</v>
      </c>
      <c r="J1304" s="16">
        <v>1.9877837100939384</v>
      </c>
      <c r="K1304" s="34">
        <v>1.4865696076269734</v>
      </c>
      <c r="L1304" s="16">
        <v>0.20451543289961535</v>
      </c>
      <c r="M1304" s="16">
        <v>1.0239235586119011</v>
      </c>
      <c r="N1304" s="16">
        <v>1.9492156566420458</v>
      </c>
      <c r="O1304" s="34">
        <v>1.469455120763719</v>
      </c>
      <c r="P1304" s="16">
        <v>0.19859177545716608</v>
      </c>
      <c r="Q1304" s="16">
        <v>1.0202093157919072</v>
      </c>
      <c r="R1304" s="16">
        <v>1.9187009257355307</v>
      </c>
      <c r="S1304" s="36"/>
    </row>
    <row r="1305" spans="2:19" x14ac:dyDescent="0.35">
      <c r="B1305" s="7" t="s">
        <v>7</v>
      </c>
      <c r="C1305" s="34">
        <v>1.641533707670771</v>
      </c>
      <c r="D1305" s="16">
        <v>9.9607612449356703E-2</v>
      </c>
      <c r="E1305" s="16">
        <v>1.4162056348786367</v>
      </c>
      <c r="F1305" s="16">
        <v>1.8668617804629053</v>
      </c>
      <c r="G1305" s="34">
        <v>1.379261866771494</v>
      </c>
      <c r="H1305" s="16">
        <v>0.10538084458349863</v>
      </c>
      <c r="I1305" s="16">
        <v>1.1408738356229717</v>
      </c>
      <c r="J1305" s="16">
        <v>1.6176498979200162</v>
      </c>
      <c r="K1305" s="34">
        <v>1.3329149326837217</v>
      </c>
      <c r="L1305" s="16">
        <v>0.10035871482470961</v>
      </c>
      <c r="M1305" s="16">
        <v>1.1058877482820815</v>
      </c>
      <c r="N1305" s="16">
        <v>1.559942117085362</v>
      </c>
      <c r="O1305" s="34">
        <v>1.3245097034842763</v>
      </c>
      <c r="P1305" s="16">
        <v>9.6284486503104644E-2</v>
      </c>
      <c r="Q1305" s="16">
        <v>1.1066990638149892</v>
      </c>
      <c r="R1305" s="16">
        <v>1.5423203431535635</v>
      </c>
      <c r="S1305" s="36"/>
    </row>
    <row r="1306" spans="2:19" x14ac:dyDescent="0.35">
      <c r="B1306" s="7" t="s">
        <v>11</v>
      </c>
      <c r="C1306" s="34">
        <v>0.85259714974312351</v>
      </c>
      <c r="D1306" s="16">
        <v>0.10904471053982101</v>
      </c>
      <c r="E1306" s="16">
        <v>0.60592087802135619</v>
      </c>
      <c r="F1306" s="16">
        <v>1.0992734214648909</v>
      </c>
      <c r="G1306" s="34">
        <v>1.213903842751469</v>
      </c>
      <c r="H1306" s="16">
        <v>0.12734735466534364</v>
      </c>
      <c r="I1306" s="16">
        <v>0.92582411373971696</v>
      </c>
      <c r="J1306" s="16">
        <v>1.5019835717632211</v>
      </c>
      <c r="K1306" s="34">
        <v>1.2211604023729845</v>
      </c>
      <c r="L1306" s="16">
        <v>0.13601897676146754</v>
      </c>
      <c r="M1306" s="16">
        <v>0.91346410142608303</v>
      </c>
      <c r="N1306" s="16">
        <v>1.5288567033198861</v>
      </c>
      <c r="O1306" s="34">
        <v>1.2061651659971651</v>
      </c>
      <c r="P1306" s="16">
        <v>0.13154833944069474</v>
      </c>
      <c r="Q1306" s="16">
        <v>0.90858214923478808</v>
      </c>
      <c r="R1306" s="16">
        <v>1.503748182759542</v>
      </c>
      <c r="S1306" s="36"/>
    </row>
    <row r="1307" spans="2:19" x14ac:dyDescent="0.35">
      <c r="B1307" s="7" t="s">
        <v>2</v>
      </c>
      <c r="C1307" s="34">
        <v>4.1931609869836402E-3</v>
      </c>
      <c r="D1307" s="16">
        <v>0.13422053482251786</v>
      </c>
      <c r="E1307" s="16">
        <v>-0.2994347816671406</v>
      </c>
      <c r="F1307" s="16">
        <v>0.30782110364110787</v>
      </c>
      <c r="G1307" s="34">
        <v>1.1234901706673459</v>
      </c>
      <c r="H1307" s="16">
        <v>0.16017930686265106</v>
      </c>
      <c r="I1307" s="16">
        <v>0.76113940621255383</v>
      </c>
      <c r="J1307" s="16">
        <v>1.485840935122138</v>
      </c>
      <c r="K1307" s="34">
        <v>1.0884656207476537</v>
      </c>
      <c r="L1307" s="16">
        <v>0.14748237087178431</v>
      </c>
      <c r="M1307" s="16">
        <v>0.75483732083985289</v>
      </c>
      <c r="N1307" s="16">
        <v>1.4220939206554546</v>
      </c>
      <c r="O1307" s="34">
        <v>1.094493943473603</v>
      </c>
      <c r="P1307" s="16">
        <v>0.14821063908592177</v>
      </c>
      <c r="Q1307" s="16">
        <v>0.75921818641737593</v>
      </c>
      <c r="R1307" s="16">
        <v>1.42976970052983</v>
      </c>
      <c r="S1307" s="36"/>
    </row>
    <row r="1308" spans="2:19" x14ac:dyDescent="0.35">
      <c r="B1308" s="7" t="s">
        <v>19</v>
      </c>
      <c r="C1308" s="34">
        <v>1.3027982388720456</v>
      </c>
      <c r="D1308" s="16">
        <v>0.15880320844515955</v>
      </c>
      <c r="E1308" s="16">
        <v>0.94356042529280348</v>
      </c>
      <c r="F1308" s="16">
        <v>1.6620360524512878</v>
      </c>
      <c r="G1308" s="34">
        <v>1.0939409116542695</v>
      </c>
      <c r="H1308" s="16">
        <v>0.13431540837754682</v>
      </c>
      <c r="I1308" s="16">
        <v>0.79009835010919971</v>
      </c>
      <c r="J1308" s="16">
        <v>1.3977834731993393</v>
      </c>
      <c r="K1308" s="34">
        <v>1.0851099349874396</v>
      </c>
      <c r="L1308" s="16">
        <v>0.11227734670164073</v>
      </c>
      <c r="M1308" s="16">
        <v>0.83112093225576733</v>
      </c>
      <c r="N1308" s="16">
        <v>1.3390989377191118</v>
      </c>
      <c r="O1308" s="34">
        <v>1.0713444185844214</v>
      </c>
      <c r="P1308" s="16">
        <v>0.10570203294857884</v>
      </c>
      <c r="Q1308" s="16">
        <v>0.83222980887902853</v>
      </c>
      <c r="R1308" s="16">
        <v>1.3104590282898143</v>
      </c>
      <c r="S1308" s="36"/>
    </row>
    <row r="1309" spans="2:19" x14ac:dyDescent="0.35">
      <c r="B1309" s="7" t="s">
        <v>16</v>
      </c>
      <c r="C1309" s="34">
        <v>1.1721907263245783</v>
      </c>
      <c r="D1309" s="16">
        <v>0.14067262160362737</v>
      </c>
      <c r="E1309" s="16">
        <v>0.85396714941996765</v>
      </c>
      <c r="F1309" s="16">
        <v>1.490414303229189</v>
      </c>
      <c r="G1309" s="34">
        <v>1.0415077930725678</v>
      </c>
      <c r="H1309" s="16">
        <v>0.10317018203240171</v>
      </c>
      <c r="I1309" s="16">
        <v>0.80812062802236384</v>
      </c>
      <c r="J1309" s="16">
        <v>1.2748949581227718</v>
      </c>
      <c r="K1309" s="34">
        <v>1.064745259017682</v>
      </c>
      <c r="L1309" s="16">
        <v>9.9190669817765975E-2</v>
      </c>
      <c r="M1309" s="16">
        <v>0.84036037598113977</v>
      </c>
      <c r="N1309" s="16">
        <v>1.2891301420542243</v>
      </c>
      <c r="O1309" s="34">
        <v>1.0658368113794239</v>
      </c>
      <c r="P1309" s="16">
        <v>0.10325062839909721</v>
      </c>
      <c r="Q1309" s="16">
        <v>0.83226766400553109</v>
      </c>
      <c r="R1309" s="16">
        <v>1.2994059587533167</v>
      </c>
      <c r="S1309" s="36"/>
    </row>
    <row r="1310" spans="2:19" x14ac:dyDescent="0.35">
      <c r="B1310" s="7" t="s">
        <v>12</v>
      </c>
      <c r="C1310" s="34">
        <v>0.72486612103779213</v>
      </c>
      <c r="D1310" s="16">
        <v>0.11006425972353959</v>
      </c>
      <c r="E1310" s="16">
        <v>0.47588346883932275</v>
      </c>
      <c r="F1310" s="16">
        <v>0.97384877323626151</v>
      </c>
      <c r="G1310" s="34">
        <v>0.97607892042589428</v>
      </c>
      <c r="H1310" s="16">
        <v>0.12053338342399671</v>
      </c>
      <c r="I1310" s="16">
        <v>0.70341346518417525</v>
      </c>
      <c r="J1310" s="16">
        <v>1.2487443756676133</v>
      </c>
      <c r="K1310" s="34">
        <v>0.97414227821014765</v>
      </c>
      <c r="L1310" s="16">
        <v>0.13388309320145911</v>
      </c>
      <c r="M1310" s="16">
        <v>0.67127768153213219</v>
      </c>
      <c r="N1310" s="16">
        <v>1.2770068748881631</v>
      </c>
      <c r="O1310" s="34">
        <v>0.97416335853058356</v>
      </c>
      <c r="P1310" s="16">
        <v>0.12582124148605614</v>
      </c>
      <c r="Q1310" s="16">
        <v>0.68953593736052743</v>
      </c>
      <c r="R1310" s="16">
        <v>1.2587907797006397</v>
      </c>
      <c r="S1310" s="36"/>
    </row>
    <row r="1311" spans="2:19" x14ac:dyDescent="0.35">
      <c r="B1311" s="7" t="s">
        <v>3</v>
      </c>
      <c r="C1311" s="34">
        <v>7.2587291148079089E-2</v>
      </c>
      <c r="D1311" s="16">
        <v>0.20353034227279812</v>
      </c>
      <c r="E1311" s="16">
        <v>-0.38783032806119716</v>
      </c>
      <c r="F1311" s="16">
        <v>0.53300491035735531</v>
      </c>
      <c r="G1311" s="34">
        <v>0.87389091050694556</v>
      </c>
      <c r="H1311" s="16">
        <v>0.23248702761209791</v>
      </c>
      <c r="I1311" s="16">
        <v>0.34796871848934063</v>
      </c>
      <c r="J1311" s="16">
        <v>1.3998131025245506</v>
      </c>
      <c r="K1311" s="34">
        <v>0.9254234831519107</v>
      </c>
      <c r="L1311" s="16">
        <v>0.17923996405532447</v>
      </c>
      <c r="M1311" s="16">
        <v>0.51995451672675941</v>
      </c>
      <c r="N1311" s="16">
        <v>1.330892449577062</v>
      </c>
      <c r="O1311" s="34">
        <v>0.91446260435282478</v>
      </c>
      <c r="P1311" s="16">
        <v>0.17597226842718341</v>
      </c>
      <c r="Q1311" s="16">
        <v>0.51638567896002585</v>
      </c>
      <c r="R1311" s="16">
        <v>1.3125395297456237</v>
      </c>
      <c r="S1311" s="36"/>
    </row>
    <row r="1312" spans="2:19" x14ac:dyDescent="0.35">
      <c r="B1312" s="7" t="s">
        <v>5</v>
      </c>
      <c r="C1312" s="34">
        <v>1.1100321812063536</v>
      </c>
      <c r="D1312" s="16">
        <v>0.15390168588932951</v>
      </c>
      <c r="E1312" s="16">
        <v>0.7618823819273628</v>
      </c>
      <c r="F1312" s="16">
        <v>1.4581819804853444</v>
      </c>
      <c r="G1312" s="34">
        <v>0.92024915348052128</v>
      </c>
      <c r="H1312" s="16">
        <v>0.15152279566040386</v>
      </c>
      <c r="I1312" s="16">
        <v>0.57748077774423812</v>
      </c>
      <c r="J1312" s="16">
        <v>1.2630175292168044</v>
      </c>
      <c r="K1312" s="34">
        <v>0.88944232702328652</v>
      </c>
      <c r="L1312" s="16">
        <v>0.14390682638990501</v>
      </c>
      <c r="M1312" s="16">
        <v>0.56390247063373633</v>
      </c>
      <c r="N1312" s="16">
        <v>1.2149821834128367</v>
      </c>
      <c r="O1312" s="34">
        <v>0.90393132102266993</v>
      </c>
      <c r="P1312" s="16">
        <v>0.14215837164393144</v>
      </c>
      <c r="Q1312" s="16">
        <v>0.58234674403984976</v>
      </c>
      <c r="R1312" s="16">
        <v>1.2255158980054901</v>
      </c>
      <c r="S1312" s="36"/>
    </row>
    <row r="1313" spans="2:19" x14ac:dyDescent="0.35">
      <c r="B1313" s="7" t="s">
        <v>13</v>
      </c>
      <c r="C1313" s="34">
        <v>0.35819703072358106</v>
      </c>
      <c r="D1313" s="16">
        <v>0.16899292810961791</v>
      </c>
      <c r="E1313" s="16">
        <v>-2.4091530060869726E-2</v>
      </c>
      <c r="F1313" s="16">
        <v>0.74048559150803184</v>
      </c>
      <c r="G1313" s="34">
        <v>0.72297793518420572</v>
      </c>
      <c r="H1313" s="16">
        <v>0.23120413183206176</v>
      </c>
      <c r="I1313" s="16">
        <v>0.19995785502934305</v>
      </c>
      <c r="J1313" s="16">
        <v>1.2459980153390684</v>
      </c>
      <c r="K1313" s="34">
        <v>0.73622802513949237</v>
      </c>
      <c r="L1313" s="16">
        <v>0.17678530735340833</v>
      </c>
      <c r="M1313" s="16">
        <v>0.33631187792572681</v>
      </c>
      <c r="N1313" s="16">
        <v>1.1361441723532579</v>
      </c>
      <c r="O1313" s="34">
        <v>0.73989455082225186</v>
      </c>
      <c r="P1313" s="16">
        <v>0.18569353836664376</v>
      </c>
      <c r="Q1313" s="16">
        <v>0.31982658511951273</v>
      </c>
      <c r="R1313" s="16">
        <v>1.1599625165249909</v>
      </c>
      <c r="S1313" s="36"/>
    </row>
    <row r="1314" spans="2:19" x14ac:dyDescent="0.35">
      <c r="B1314" s="7" t="s">
        <v>8</v>
      </c>
      <c r="C1314" s="34">
        <v>0.36273068592504204</v>
      </c>
      <c r="D1314" s="16">
        <v>0.19901485818699205</v>
      </c>
      <c r="E1314" s="16">
        <v>-8.7472198669492351E-2</v>
      </c>
      <c r="F1314" s="16">
        <v>0.81293357051957638</v>
      </c>
      <c r="G1314" s="34">
        <v>0.70257724702110813</v>
      </c>
      <c r="H1314" s="16">
        <v>0.11196318054586388</v>
      </c>
      <c r="I1314" s="16">
        <v>0.44929893750531535</v>
      </c>
      <c r="J1314" s="16">
        <v>0.95585555653690091</v>
      </c>
      <c r="K1314" s="34">
        <v>0.68186568805063086</v>
      </c>
      <c r="L1314" s="16">
        <v>9.7520719544386722E-2</v>
      </c>
      <c r="M1314" s="16">
        <v>0.46125849496675719</v>
      </c>
      <c r="N1314" s="16">
        <v>0.90247288113450452</v>
      </c>
      <c r="O1314" s="34">
        <v>0.6746191950378051</v>
      </c>
      <c r="P1314" s="16">
        <v>9.064948944307516E-2</v>
      </c>
      <c r="Q1314" s="16">
        <v>0.46955580426348908</v>
      </c>
      <c r="R1314" s="16">
        <v>0.87968258581212111</v>
      </c>
      <c r="S1314" s="36"/>
    </row>
    <row r="1315" spans="2:19" x14ac:dyDescent="0.35">
      <c r="B1315" s="7" t="s">
        <v>15</v>
      </c>
      <c r="C1315" s="34">
        <v>0.62217605702294931</v>
      </c>
      <c r="D1315" s="16">
        <v>0.1612374347140543</v>
      </c>
      <c r="E1315" s="16">
        <v>0.2574316410824779</v>
      </c>
      <c r="F1315" s="16">
        <v>0.98692047296342067</v>
      </c>
      <c r="G1315" s="34">
        <v>0.60564787629994032</v>
      </c>
      <c r="H1315" s="16">
        <v>8.0364748966449726E-2</v>
      </c>
      <c r="I1315" s="16">
        <v>0.42385018474056657</v>
      </c>
      <c r="J1315" s="16">
        <v>0.78744556785931408</v>
      </c>
      <c r="K1315" s="34">
        <v>0.60494722489598773</v>
      </c>
      <c r="L1315" s="16">
        <v>8.1421571299585313E-2</v>
      </c>
      <c r="M1315" s="16">
        <v>0.4207588351384195</v>
      </c>
      <c r="N1315" s="16">
        <v>0.78913561465355597</v>
      </c>
      <c r="O1315" s="34">
        <v>0.62028413683450934</v>
      </c>
      <c r="P1315" s="16">
        <v>7.7773797132496533E-2</v>
      </c>
      <c r="Q1315" s="16">
        <v>0.44434758549409969</v>
      </c>
      <c r="R1315" s="16">
        <v>0.79622068817491898</v>
      </c>
      <c r="S1315" s="36"/>
    </row>
    <row r="1316" spans="2:19" x14ac:dyDescent="0.35">
      <c r="B1316" s="7" t="s">
        <v>1</v>
      </c>
      <c r="C1316" s="34">
        <v>0.16582871338644928</v>
      </c>
      <c r="D1316" s="16">
        <v>0.20162205710782036</v>
      </c>
      <c r="E1316" s="16">
        <v>-0.29027206489080604</v>
      </c>
      <c r="F1316" s="16">
        <v>0.62192949166370459</v>
      </c>
      <c r="G1316" s="34">
        <v>0.32626289492354721</v>
      </c>
      <c r="H1316" s="16">
        <v>0.1581044692523991</v>
      </c>
      <c r="I1316" s="16">
        <v>-3.139426079413743E-2</v>
      </c>
      <c r="J1316" s="16">
        <v>0.68392005064123185</v>
      </c>
      <c r="K1316" s="34">
        <v>0.6137807403062544</v>
      </c>
      <c r="L1316" s="16">
        <v>0.11839230842310509</v>
      </c>
      <c r="M1316" s="16">
        <v>0.34595873318853898</v>
      </c>
      <c r="N1316" s="16">
        <v>0.88160274742396982</v>
      </c>
      <c r="O1316" s="34">
        <v>0.61226953146796514</v>
      </c>
      <c r="P1316" s="16">
        <v>0.11465080438112782</v>
      </c>
      <c r="Q1316" s="16">
        <v>0.35291139447414571</v>
      </c>
      <c r="R1316" s="16">
        <v>0.87162766846178452</v>
      </c>
      <c r="S1316" s="36"/>
    </row>
    <row r="1317" spans="2:19" x14ac:dyDescent="0.35">
      <c r="B1317" s="7" t="s">
        <v>9</v>
      </c>
      <c r="C1317" s="34">
        <v>0.36232749398543745</v>
      </c>
      <c r="D1317" s="16">
        <v>9.4172143304503395E-2</v>
      </c>
      <c r="E1317" s="16">
        <v>0.14929530658814286</v>
      </c>
      <c r="F1317" s="16">
        <v>0.57535968138273208</v>
      </c>
      <c r="G1317" s="34">
        <v>0.3000667865821342</v>
      </c>
      <c r="H1317" s="16">
        <v>6.3672549673222875E-2</v>
      </c>
      <c r="I1317" s="16">
        <v>0.15602947301914444</v>
      </c>
      <c r="J1317" s="16">
        <v>0.44410410014512397</v>
      </c>
      <c r="K1317" s="34">
        <v>0.56769413902759924</v>
      </c>
      <c r="L1317" s="16">
        <v>0.14153066746589929</v>
      </c>
      <c r="M1317" s="16">
        <v>0.24752952753980045</v>
      </c>
      <c r="N1317" s="16">
        <v>0.88785875051539809</v>
      </c>
      <c r="O1317" s="34">
        <v>0.56364736858019338</v>
      </c>
      <c r="P1317" s="16">
        <v>0.14373607836525998</v>
      </c>
      <c r="Q1317" s="16">
        <v>0.23849377105560576</v>
      </c>
      <c r="R1317" s="16">
        <v>0.88880096610478099</v>
      </c>
      <c r="S1317" s="36"/>
    </row>
    <row r="1318" spans="2:19" x14ac:dyDescent="0.35">
      <c r="B1318" s="7" t="s">
        <v>14</v>
      </c>
      <c r="C1318" s="34">
        <v>5.7376684788590003E-2</v>
      </c>
      <c r="D1318" s="16">
        <v>0.13107984347105239</v>
      </c>
      <c r="E1318" s="16">
        <v>-0.23914652046586568</v>
      </c>
      <c r="F1318" s="16">
        <v>0.35389989004304567</v>
      </c>
      <c r="G1318" s="34">
        <v>0.33005552918165959</v>
      </c>
      <c r="H1318" s="16">
        <v>0.15280920489356309</v>
      </c>
      <c r="I1318" s="16">
        <v>-1.5622906400472814E-2</v>
      </c>
      <c r="J1318" s="16">
        <v>0.67573396476379199</v>
      </c>
      <c r="K1318" s="34">
        <v>0.37119485942794905</v>
      </c>
      <c r="L1318" s="16">
        <v>0.20055589605870205</v>
      </c>
      <c r="M1318" s="16">
        <v>-8.2494095007970725E-2</v>
      </c>
      <c r="N1318" s="16">
        <v>0.82488381386386878</v>
      </c>
      <c r="O1318" s="34">
        <v>0.51891029362822272</v>
      </c>
      <c r="P1318" s="16">
        <v>0.17216958165638688</v>
      </c>
      <c r="Q1318" s="16">
        <v>0.12943564330683344</v>
      </c>
      <c r="R1318" s="16">
        <v>0.908384943949612</v>
      </c>
      <c r="S1318" s="36"/>
    </row>
    <row r="1319" spans="2:19" x14ac:dyDescent="0.35">
      <c r="B1319" s="7" t="s">
        <v>6</v>
      </c>
      <c r="C1319" s="34">
        <v>0.28367431516127656</v>
      </c>
      <c r="D1319" s="16">
        <v>0.18048913236260014</v>
      </c>
      <c r="E1319" s="16">
        <v>-0.12462046628292817</v>
      </c>
      <c r="F1319" s="16">
        <v>0.69196909660548123</v>
      </c>
      <c r="G1319" s="34">
        <v>0.23582179878456855</v>
      </c>
      <c r="H1319" s="16">
        <v>0.12210345885990405</v>
      </c>
      <c r="I1319" s="16">
        <v>-4.0395413832031379E-2</v>
      </c>
      <c r="J1319" s="16">
        <v>0.51203901140116848</v>
      </c>
      <c r="K1319" s="34">
        <v>0.22955397168779582</v>
      </c>
      <c r="L1319" s="16">
        <v>0.12783491214187526</v>
      </c>
      <c r="M1319" s="16">
        <v>-5.9628688955995185E-2</v>
      </c>
      <c r="N1319" s="16">
        <v>0.51873663233158684</v>
      </c>
      <c r="O1319" s="34">
        <v>0.34337034903650288</v>
      </c>
      <c r="P1319" s="16">
        <v>0.11083519285192962</v>
      </c>
      <c r="Q1319" s="16">
        <v>9.2643724948735795E-2</v>
      </c>
      <c r="R1319" s="16">
        <v>0.59409697312427001</v>
      </c>
      <c r="S1319" s="36"/>
    </row>
    <row r="1320" spans="2:19" ht="15" thickBot="1" x14ac:dyDescent="0.4">
      <c r="B1320" s="11" t="s">
        <v>10</v>
      </c>
      <c r="C1320" s="35">
        <v>0.22622035827346224</v>
      </c>
      <c r="D1320" s="17">
        <v>0.11305536464981331</v>
      </c>
      <c r="E1320" s="17">
        <v>-2.9528643323242038E-2</v>
      </c>
      <c r="F1320" s="17">
        <v>0.48196935987016654</v>
      </c>
      <c r="G1320" s="35">
        <v>0.21214182053554248</v>
      </c>
      <c r="H1320" s="17">
        <v>8.4110549762874215E-2</v>
      </c>
      <c r="I1320" s="17">
        <v>2.1870538918474042E-2</v>
      </c>
      <c r="J1320" s="17">
        <v>0.40241310215261095</v>
      </c>
      <c r="K1320" s="35">
        <v>0.25855989918986078</v>
      </c>
      <c r="L1320" s="17">
        <v>9.4102147580682249E-2</v>
      </c>
      <c r="M1320" s="17">
        <v>4.5686053119744663E-2</v>
      </c>
      <c r="N1320" s="17">
        <v>0.47143374525997689</v>
      </c>
      <c r="O1320" s="35">
        <v>0.31509813178399465</v>
      </c>
      <c r="P1320" s="17">
        <v>7.7205898600135367E-2</v>
      </c>
      <c r="Q1320" s="17">
        <v>0.14044625616958423</v>
      </c>
      <c r="R1320" s="17">
        <v>0.48975000739840507</v>
      </c>
      <c r="S1320" s="36"/>
    </row>
    <row r="1340" spans="2:7" x14ac:dyDescent="0.35">
      <c r="G1340" t="s">
        <v>49</v>
      </c>
    </row>
    <row r="1343" spans="2:7" x14ac:dyDescent="0.35">
      <c r="B1343" s="6" t="s">
        <v>342</v>
      </c>
    </row>
    <row r="1344" spans="2:7" ht="15" thickBot="1" x14ac:dyDescent="0.4"/>
    <row r="1345" spans="2:3" x14ac:dyDescent="0.35">
      <c r="B1345" s="37" t="s">
        <v>30</v>
      </c>
      <c r="C1345" s="38" t="s">
        <v>0</v>
      </c>
    </row>
    <row r="1346" spans="2:3" x14ac:dyDescent="0.35">
      <c r="B1346" s="39" t="s">
        <v>343</v>
      </c>
      <c r="C1346" s="21">
        <v>1.9729612119175346</v>
      </c>
    </row>
    <row r="1347" spans="2:3" x14ac:dyDescent="0.35">
      <c r="B1347" s="1" t="s">
        <v>1</v>
      </c>
      <c r="C1347" s="16">
        <v>-7.1589441773715254E-6</v>
      </c>
    </row>
    <row r="1348" spans="2:3" x14ac:dyDescent="0.35">
      <c r="B1348" s="1" t="s">
        <v>2</v>
      </c>
      <c r="C1348" s="16">
        <v>-2.3486090745854454E-4</v>
      </c>
    </row>
    <row r="1349" spans="2:3" x14ac:dyDescent="0.35">
      <c r="B1349" s="1" t="s">
        <v>3</v>
      </c>
      <c r="C1349" s="16">
        <v>0.3535658238064957</v>
      </c>
    </row>
    <row r="1350" spans="2:3" x14ac:dyDescent="0.35">
      <c r="B1350" s="1" t="s">
        <v>4</v>
      </c>
      <c r="C1350" s="16">
        <v>1.4311601582375854E-2</v>
      </c>
    </row>
    <row r="1351" spans="2:3" x14ac:dyDescent="0.35">
      <c r="B1351" s="1" t="s">
        <v>5</v>
      </c>
      <c r="C1351" s="16">
        <v>-2.6988632722739409E-3</v>
      </c>
    </row>
    <row r="1352" spans="2:3" x14ac:dyDescent="0.35">
      <c r="B1352" s="1" t="s">
        <v>6</v>
      </c>
      <c r="C1352" s="16">
        <v>9.3530345759758413E-4</v>
      </c>
    </row>
    <row r="1353" spans="2:3" x14ac:dyDescent="0.35">
      <c r="B1353" s="1" t="s">
        <v>7</v>
      </c>
      <c r="C1353" s="16">
        <v>3.0488035647577939E-2</v>
      </c>
    </row>
    <row r="1354" spans="2:3" x14ac:dyDescent="0.35">
      <c r="B1354" s="1" t="s">
        <v>8</v>
      </c>
      <c r="C1354" s="16">
        <v>9.3399856132461375E-4</v>
      </c>
    </row>
    <row r="1355" spans="2:3" x14ac:dyDescent="0.35">
      <c r="B1355" s="1" t="s">
        <v>9</v>
      </c>
      <c r="C1355" s="16">
        <v>-2.835541412634611E-4</v>
      </c>
    </row>
    <row r="1356" spans="2:3" x14ac:dyDescent="0.35">
      <c r="B1356" s="1" t="s">
        <v>10</v>
      </c>
      <c r="C1356" s="16">
        <v>-7.276488559924646E-6</v>
      </c>
    </row>
    <row r="1357" spans="2:3" x14ac:dyDescent="0.35">
      <c r="B1357" s="1" t="s">
        <v>11</v>
      </c>
      <c r="C1357" s="16">
        <v>-3.5314403411286438E-3</v>
      </c>
    </row>
    <row r="1358" spans="2:3" x14ac:dyDescent="0.35">
      <c r="B1358" s="1" t="s">
        <v>12</v>
      </c>
      <c r="C1358" s="16">
        <v>-1.6832796767007486E-4</v>
      </c>
    </row>
    <row r="1359" spans="2:3" x14ac:dyDescent="0.35">
      <c r="B1359" s="1" t="s">
        <v>13</v>
      </c>
      <c r="C1359" s="16">
        <v>-9.0669809333901383E-3</v>
      </c>
    </row>
    <row r="1360" spans="2:3" x14ac:dyDescent="0.35">
      <c r="B1360" s="1" t="s">
        <v>14</v>
      </c>
      <c r="C1360" s="16">
        <v>8.6696837341174223E-3</v>
      </c>
    </row>
    <row r="1361" spans="2:3" x14ac:dyDescent="0.35">
      <c r="B1361" s="1" t="s">
        <v>15</v>
      </c>
      <c r="C1361" s="16">
        <v>-7.0669645126391874E-4</v>
      </c>
    </row>
    <row r="1362" spans="2:3" x14ac:dyDescent="0.35">
      <c r="B1362" s="1" t="s">
        <v>16</v>
      </c>
      <c r="C1362" s="16">
        <v>1.6183196243993159E-2</v>
      </c>
    </row>
    <row r="1363" spans="2:3" x14ac:dyDescent="0.35">
      <c r="B1363" s="1" t="s">
        <v>17</v>
      </c>
      <c r="C1363" s="16">
        <v>1.1785083610636059E-3</v>
      </c>
    </row>
    <row r="1364" spans="2:3" x14ac:dyDescent="0.35">
      <c r="B1364" s="1" t="s">
        <v>18</v>
      </c>
      <c r="C1364" s="16">
        <v>0.35191471124413914</v>
      </c>
    </row>
    <row r="1365" spans="2:3" ht="15" thickBot="1" x14ac:dyDescent="0.4">
      <c r="B1365" s="40" t="s">
        <v>19</v>
      </c>
      <c r="C1365" s="17">
        <v>-1.8783968934882777E-2</v>
      </c>
    </row>
    <row r="1368" spans="2:3" x14ac:dyDescent="0.35">
      <c r="B1368" s="6" t="s">
        <v>344</v>
      </c>
    </row>
    <row r="1370" spans="2:3" x14ac:dyDescent="0.35">
      <c r="B1370" s="6" t="s">
        <v>345</v>
      </c>
    </row>
    <row r="1373" spans="2:3" x14ac:dyDescent="0.35">
      <c r="B1373" s="5" t="s">
        <v>346</v>
      </c>
    </row>
    <row r="1375" spans="2:3" x14ac:dyDescent="0.35">
      <c r="B1375" s="6" t="s">
        <v>347</v>
      </c>
    </row>
    <row r="1376" spans="2:3" ht="15" thickBot="1" x14ac:dyDescent="0.4"/>
    <row r="1377" spans="2:6" x14ac:dyDescent="0.35">
      <c r="B1377" s="41" t="s">
        <v>31</v>
      </c>
      <c r="C1377" s="42">
        <v>242</v>
      </c>
    </row>
    <row r="1378" spans="2:6" x14ac:dyDescent="0.35">
      <c r="B1378" s="1" t="s">
        <v>348</v>
      </c>
      <c r="C1378" s="16">
        <v>242</v>
      </c>
    </row>
    <row r="1379" spans="2:6" x14ac:dyDescent="0.35">
      <c r="B1379" s="1" t="s">
        <v>349</v>
      </c>
      <c r="C1379" s="16">
        <v>237</v>
      </c>
    </row>
    <row r="1380" spans="2:6" x14ac:dyDescent="0.35">
      <c r="B1380" s="1" t="s">
        <v>350</v>
      </c>
      <c r="C1380" s="16">
        <v>0.55152859008413335</v>
      </c>
    </row>
    <row r="1381" spans="2:6" x14ac:dyDescent="0.35">
      <c r="B1381" s="1" t="s">
        <v>37</v>
      </c>
      <c r="C1381" s="16">
        <v>0.36191169614442975</v>
      </c>
    </row>
    <row r="1382" spans="2:6" x14ac:dyDescent="0.35">
      <c r="B1382" s="1" t="s">
        <v>351</v>
      </c>
      <c r="C1382" s="16">
        <v>0.1282738758927881</v>
      </c>
    </row>
    <row r="1383" spans="2:6" ht="15" thickBot="1" x14ac:dyDescent="0.4">
      <c r="B1383" s="40" t="s">
        <v>352</v>
      </c>
      <c r="C1383" s="17">
        <v>0.35815342507476888</v>
      </c>
    </row>
    <row r="1386" spans="2:6" x14ac:dyDescent="0.35">
      <c r="B1386" s="6" t="s">
        <v>353</v>
      </c>
    </row>
    <row r="1387" spans="2:6" ht="15" thickBot="1" x14ac:dyDescent="0.4"/>
    <row r="1388" spans="2:6" ht="43.5" x14ac:dyDescent="0.35">
      <c r="B1388" s="8" t="s">
        <v>30</v>
      </c>
      <c r="C1388" s="9" t="s">
        <v>354</v>
      </c>
      <c r="D1388" s="9" t="s">
        <v>37</v>
      </c>
      <c r="E1388" s="9" t="s">
        <v>355</v>
      </c>
      <c r="F1388" s="9" t="s">
        <v>356</v>
      </c>
    </row>
    <row r="1389" spans="2:6" x14ac:dyDescent="0.35">
      <c r="B1389" s="19" t="s">
        <v>1</v>
      </c>
      <c r="C1389" s="21">
        <v>-9.5249635655097295E-2</v>
      </c>
      <c r="D1389" s="21">
        <v>0.1099362098610714</v>
      </c>
      <c r="E1389" s="21">
        <v>-0.34394261894150513</v>
      </c>
      <c r="F1389" s="21">
        <v>0.15344334763131057</v>
      </c>
    </row>
    <row r="1390" spans="2:6" x14ac:dyDescent="0.35">
      <c r="B1390" s="7" t="s">
        <v>2</v>
      </c>
      <c r="C1390" s="16">
        <v>1.0810804233516569E-2</v>
      </c>
      <c r="D1390" s="16">
        <v>0.19750328347364898</v>
      </c>
      <c r="E1390" s="16">
        <v>-0.43597266081402203</v>
      </c>
      <c r="F1390" s="16">
        <v>0.45759426928105512</v>
      </c>
    </row>
    <row r="1391" spans="2:6" x14ac:dyDescent="0.35">
      <c r="B1391" s="7" t="s">
        <v>3</v>
      </c>
      <c r="C1391" s="16">
        <v>4.1134185611658124E-2</v>
      </c>
      <c r="D1391" s="16">
        <v>0.17386188649405485</v>
      </c>
      <c r="E1391" s="16">
        <v>-0.35216872419986206</v>
      </c>
      <c r="F1391" s="16">
        <v>0.43443709542317827</v>
      </c>
    </row>
    <row r="1392" spans="2:6" x14ac:dyDescent="0.35">
      <c r="B1392" s="7" t="s">
        <v>4</v>
      </c>
      <c r="C1392" s="16">
        <v>0.63083196691267196</v>
      </c>
      <c r="D1392" s="16">
        <v>0.16436196262334743</v>
      </c>
      <c r="E1392" s="16">
        <v>0.25901937781882622</v>
      </c>
      <c r="F1392" s="16">
        <v>1.0026445560065178</v>
      </c>
    </row>
    <row r="1393" spans="2:6" x14ac:dyDescent="0.35">
      <c r="B1393" s="7" t="s">
        <v>5</v>
      </c>
      <c r="C1393" s="16">
        <v>-0.42956347722886351</v>
      </c>
      <c r="D1393" s="16">
        <v>0.24380545783711233</v>
      </c>
      <c r="E1393" s="16">
        <v>-0.98108973711760039</v>
      </c>
      <c r="F1393" s="16">
        <v>0.12196278265987343</v>
      </c>
    </row>
    <row r="1394" spans="2:6" x14ac:dyDescent="0.35">
      <c r="B1394" s="7" t="s">
        <v>6</v>
      </c>
      <c r="C1394" s="16">
        <v>0.13520776812723087</v>
      </c>
      <c r="D1394" s="16">
        <v>0.28507555974985971</v>
      </c>
      <c r="E1394" s="16">
        <v>-0.50967794792418009</v>
      </c>
      <c r="F1394" s="16">
        <v>0.78009348417864188</v>
      </c>
    </row>
    <row r="1395" spans="2:6" x14ac:dyDescent="0.35">
      <c r="B1395" s="7" t="s">
        <v>7</v>
      </c>
      <c r="C1395" s="16">
        <v>0.6407250551286624</v>
      </c>
      <c r="D1395" s="16">
        <v>0.10512916197457692</v>
      </c>
      <c r="E1395" s="16">
        <v>0.40290636959368409</v>
      </c>
      <c r="F1395" s="16">
        <v>0.87854374066364072</v>
      </c>
    </row>
    <row r="1396" spans="2:6" x14ac:dyDescent="0.35">
      <c r="B1396" s="7" t="s">
        <v>8</v>
      </c>
      <c r="C1396" s="16">
        <v>-5.3049721255446748E-2</v>
      </c>
      <c r="D1396" s="16">
        <v>0.1257407231390569</v>
      </c>
      <c r="E1396" s="16">
        <v>-0.33749499727105525</v>
      </c>
      <c r="F1396" s="16">
        <v>0.23139555476016174</v>
      </c>
    </row>
    <row r="1397" spans="2:6" x14ac:dyDescent="0.35">
      <c r="B1397" s="7" t="s">
        <v>9</v>
      </c>
      <c r="C1397" s="16">
        <v>8.3477248117731565E-2</v>
      </c>
      <c r="D1397" s="16">
        <v>0.10154582075029854</v>
      </c>
      <c r="E1397" s="16">
        <v>-0.14623535644242391</v>
      </c>
      <c r="F1397" s="16">
        <v>0.31318985267788707</v>
      </c>
    </row>
    <row r="1398" spans="2:6" x14ac:dyDescent="0.35">
      <c r="B1398" s="7" t="s">
        <v>10</v>
      </c>
      <c r="C1398" s="16">
        <v>9.4401318516348379E-2</v>
      </c>
      <c r="D1398" s="16">
        <v>0.24104930382131523</v>
      </c>
      <c r="E1398" s="16">
        <v>-0.45089008785641238</v>
      </c>
      <c r="F1398" s="16">
        <v>0.63969272488910911</v>
      </c>
    </row>
    <row r="1399" spans="2:6" x14ac:dyDescent="0.35">
      <c r="B1399" s="7" t="s">
        <v>11</v>
      </c>
      <c r="C1399" s="16">
        <v>0.33289675413728675</v>
      </c>
      <c r="D1399" s="16">
        <v>0.18585384792199941</v>
      </c>
      <c r="E1399" s="16">
        <v>-8.7533856972467017E-2</v>
      </c>
      <c r="F1399" s="16">
        <v>0.75332736524704047</v>
      </c>
    </row>
    <row r="1400" spans="2:6" x14ac:dyDescent="0.35">
      <c r="B1400" s="7" t="s">
        <v>12</v>
      </c>
      <c r="C1400" s="16">
        <v>0.27683973829442332</v>
      </c>
      <c r="D1400" s="16">
        <v>0.23091174283446156</v>
      </c>
      <c r="E1400" s="16">
        <v>-0.24551891199865672</v>
      </c>
      <c r="F1400" s="16">
        <v>0.79919838858750336</v>
      </c>
    </row>
    <row r="1401" spans="2:6" x14ac:dyDescent="0.35">
      <c r="B1401" s="7" t="s">
        <v>13</v>
      </c>
      <c r="C1401" s="16">
        <v>-0.13126095735103924</v>
      </c>
      <c r="D1401" s="16">
        <v>0.1675064007225251</v>
      </c>
      <c r="E1401" s="16">
        <v>-0.51018675957668358</v>
      </c>
      <c r="F1401" s="16">
        <v>0.24766484487460508</v>
      </c>
    </row>
    <row r="1402" spans="2:6" x14ac:dyDescent="0.35">
      <c r="B1402" s="7" t="s">
        <v>14</v>
      </c>
      <c r="C1402" s="16">
        <v>-4.5045186609460233E-2</v>
      </c>
      <c r="D1402" s="16">
        <v>0.27014899567837963</v>
      </c>
      <c r="E1402" s="16">
        <v>-0.65616466900734449</v>
      </c>
      <c r="F1402" s="16">
        <v>0.56607429578842405</v>
      </c>
    </row>
    <row r="1403" spans="2:6" x14ac:dyDescent="0.35">
      <c r="B1403" s="7" t="s">
        <v>15</v>
      </c>
      <c r="C1403" s="16">
        <v>0.26775105315679371</v>
      </c>
      <c r="D1403" s="16">
        <v>0.24917069492231975</v>
      </c>
      <c r="E1403" s="16">
        <v>-0.29591221617082852</v>
      </c>
      <c r="F1403" s="16">
        <v>0.83141432248441594</v>
      </c>
    </row>
    <row r="1404" spans="2:6" x14ac:dyDescent="0.35">
      <c r="B1404" s="7" t="s">
        <v>16</v>
      </c>
      <c r="C1404" s="16">
        <v>0.38211628989215712</v>
      </c>
      <c r="D1404" s="16">
        <v>7.1565386633354142E-2</v>
      </c>
      <c r="E1404" s="16">
        <v>0.22022413875846325</v>
      </c>
      <c r="F1404" s="16">
        <v>0.544008441025851</v>
      </c>
    </row>
    <row r="1405" spans="2:6" x14ac:dyDescent="0.35">
      <c r="B1405" s="7" t="s">
        <v>17</v>
      </c>
      <c r="C1405" s="16">
        <v>0.70813578191300275</v>
      </c>
      <c r="D1405" s="16">
        <v>8.3387076310188657E-2</v>
      </c>
      <c r="E1405" s="16">
        <v>0.51950111094045504</v>
      </c>
      <c r="F1405" s="16">
        <v>0.89677045288555046</v>
      </c>
    </row>
    <row r="1406" spans="2:6" x14ac:dyDescent="0.35">
      <c r="B1406" s="7" t="s">
        <v>18</v>
      </c>
      <c r="C1406" s="16">
        <v>0.66592772838682901</v>
      </c>
      <c r="D1406" s="16">
        <v>0.15636082790851794</v>
      </c>
      <c r="E1406" s="16">
        <v>0.31221496340391058</v>
      </c>
      <c r="F1406" s="16">
        <v>1.0196404933697474</v>
      </c>
    </row>
    <row r="1407" spans="2:6" ht="15" thickBot="1" x14ac:dyDescent="0.4">
      <c r="B1407" s="11" t="s">
        <v>19</v>
      </c>
      <c r="C1407" s="17">
        <v>-0.4706880378283867</v>
      </c>
      <c r="D1407" s="17">
        <v>0.10722375075041997</v>
      </c>
      <c r="E1407" s="17">
        <v>-0.71324501234095405</v>
      </c>
      <c r="F1407" s="17">
        <v>-0.22813106331581931</v>
      </c>
    </row>
    <row r="1410" spans="2:6" x14ac:dyDescent="0.35">
      <c r="B1410" s="6" t="s">
        <v>357</v>
      </c>
    </row>
    <row r="1411" spans="2:6" ht="15" thickBot="1" x14ac:dyDescent="0.4"/>
    <row r="1412" spans="2:6" ht="43.5" x14ac:dyDescent="0.35">
      <c r="B1412" s="8" t="s">
        <v>30</v>
      </c>
      <c r="C1412" s="9" t="s">
        <v>358</v>
      </c>
      <c r="D1412" s="9" t="s">
        <v>37</v>
      </c>
      <c r="E1412" s="9" t="s">
        <v>355</v>
      </c>
      <c r="F1412" s="9" t="s">
        <v>356</v>
      </c>
    </row>
    <row r="1413" spans="2:6" x14ac:dyDescent="0.35">
      <c r="B1413" s="19" t="s">
        <v>343</v>
      </c>
      <c r="C1413" s="21">
        <v>1.9729612119175346</v>
      </c>
      <c r="D1413" s="21">
        <v>0.98120659609723315</v>
      </c>
      <c r="E1413" s="21">
        <v>-0.2466823060106742</v>
      </c>
      <c r="F1413" s="21">
        <v>4.1926047298457432</v>
      </c>
    </row>
    <row r="1414" spans="2:6" x14ac:dyDescent="0.35">
      <c r="B1414" s="7" t="s">
        <v>1</v>
      </c>
      <c r="C1414" s="16">
        <v>-7.1589441773715254E-6</v>
      </c>
      <c r="D1414" s="16">
        <v>9.1173127682601142E-6</v>
      </c>
      <c r="E1414" s="16">
        <v>-2.7783738453608983E-5</v>
      </c>
      <c r="F1414" s="16">
        <v>1.3465850098865932E-5</v>
      </c>
    </row>
    <row r="1415" spans="2:6" x14ac:dyDescent="0.35">
      <c r="B1415" s="7" t="s">
        <v>2</v>
      </c>
      <c r="C1415" s="16">
        <v>-2.3486090745854454E-4</v>
      </c>
      <c r="D1415" s="16">
        <v>6.7715753350117895E-5</v>
      </c>
      <c r="E1415" s="16">
        <v>-3.8804458313200084E-4</v>
      </c>
      <c r="F1415" s="16">
        <v>-8.1677231785088272E-5</v>
      </c>
    </row>
    <row r="1416" spans="2:6" x14ac:dyDescent="0.35">
      <c r="B1416" s="7" t="s">
        <v>3</v>
      </c>
      <c r="C1416" s="16">
        <v>0.3535658238064957</v>
      </c>
      <c r="D1416" s="16">
        <v>0.2072513022437098</v>
      </c>
      <c r="E1416" s="16">
        <v>-0.11526919160940569</v>
      </c>
      <c r="F1416" s="16">
        <v>0.82240083922239715</v>
      </c>
    </row>
    <row r="1417" spans="2:6" x14ac:dyDescent="0.35">
      <c r="B1417" s="7" t="s">
        <v>4</v>
      </c>
      <c r="C1417" s="16">
        <v>1.4311601582375854E-2</v>
      </c>
      <c r="D1417" s="16">
        <v>4.4945040828592202E-3</v>
      </c>
      <c r="E1417" s="16">
        <v>4.1443270313273415E-3</v>
      </c>
      <c r="F1417" s="16">
        <v>2.4478876133424365E-2</v>
      </c>
    </row>
    <row r="1418" spans="2:6" x14ac:dyDescent="0.35">
      <c r="B1418" s="7" t="s">
        <v>5</v>
      </c>
      <c r="C1418" s="16">
        <v>-2.6988632722739409E-3</v>
      </c>
      <c r="D1418" s="16">
        <v>1.12614251788883E-3</v>
      </c>
      <c r="E1418" s="16">
        <v>-5.2463746221136547E-3</v>
      </c>
      <c r="F1418" s="16">
        <v>-1.5135192243422718E-4</v>
      </c>
    </row>
    <row r="1419" spans="2:6" x14ac:dyDescent="0.35">
      <c r="B1419" s="7" t="s">
        <v>6</v>
      </c>
      <c r="C1419" s="16">
        <v>9.3530345759758413E-4</v>
      </c>
      <c r="D1419" s="16">
        <v>1.1906318983720416E-3</v>
      </c>
      <c r="E1419" s="16">
        <v>-1.758093005463058E-3</v>
      </c>
      <c r="F1419" s="16">
        <v>3.6286999206582263E-3</v>
      </c>
    </row>
    <row r="1420" spans="2:6" x14ac:dyDescent="0.35">
      <c r="B1420" s="7" t="s">
        <v>7</v>
      </c>
      <c r="C1420" s="16">
        <v>3.0488035647577939E-2</v>
      </c>
      <c r="D1420" s="16">
        <v>1.2962956377285987E-2</v>
      </c>
      <c r="E1420" s="16">
        <v>1.1637911811478684E-3</v>
      </c>
      <c r="F1420" s="16">
        <v>5.9812280114008007E-2</v>
      </c>
    </row>
    <row r="1421" spans="2:6" x14ac:dyDescent="0.35">
      <c r="B1421" s="7" t="s">
        <v>8</v>
      </c>
      <c r="C1421" s="16">
        <v>9.3399856132461375E-4</v>
      </c>
      <c r="D1421" s="16">
        <v>8.5616451940010764E-4</v>
      </c>
      <c r="E1421" s="16">
        <v>-1.0027801286325924E-3</v>
      </c>
      <c r="F1421" s="16">
        <v>2.8707772512818201E-3</v>
      </c>
    </row>
    <row r="1422" spans="2:6" x14ac:dyDescent="0.35">
      <c r="B1422" s="7" t="s">
        <v>9</v>
      </c>
      <c r="C1422" s="16">
        <v>-2.835541412634611E-4</v>
      </c>
      <c r="D1422" s="16">
        <v>2.080303838674103E-4</v>
      </c>
      <c r="E1422" s="16">
        <v>-7.5415156174559632E-4</v>
      </c>
      <c r="F1422" s="16">
        <v>1.8704327921867413E-4</v>
      </c>
    </row>
    <row r="1423" spans="2:6" x14ac:dyDescent="0.35">
      <c r="B1423" s="7" t="s">
        <v>10</v>
      </c>
      <c r="C1423" s="16">
        <v>-7.276488559924646E-6</v>
      </c>
      <c r="D1423" s="16">
        <v>5.495254008345761E-5</v>
      </c>
      <c r="E1423" s="16">
        <v>-1.3158777007300733E-4</v>
      </c>
      <c r="F1423" s="16">
        <v>1.1703479295315803E-4</v>
      </c>
    </row>
    <row r="1424" spans="2:6" x14ac:dyDescent="0.35">
      <c r="B1424" s="7" t="s">
        <v>11</v>
      </c>
      <c r="C1424" s="16">
        <v>-3.5314403411286438E-3</v>
      </c>
      <c r="D1424" s="16">
        <v>1.5031971837150596E-3</v>
      </c>
      <c r="E1424" s="16">
        <v>-6.931908599569124E-3</v>
      </c>
      <c r="F1424" s="16">
        <v>-1.3097208268816321E-4</v>
      </c>
    </row>
    <row r="1425" spans="2:6" x14ac:dyDescent="0.35">
      <c r="B1425" s="7" t="s">
        <v>12</v>
      </c>
      <c r="C1425" s="16">
        <v>-1.6832796767007486E-4</v>
      </c>
      <c r="D1425" s="16">
        <v>1.0665701259232367E-4</v>
      </c>
      <c r="E1425" s="16">
        <v>-4.0960289140558413E-4</v>
      </c>
      <c r="F1425" s="16">
        <v>7.2946956065434397E-5</v>
      </c>
    </row>
    <row r="1426" spans="2:6" x14ac:dyDescent="0.35">
      <c r="B1426" s="7" t="s">
        <v>13</v>
      </c>
      <c r="C1426" s="16">
        <v>-9.0669809333901383E-3</v>
      </c>
      <c r="D1426" s="16">
        <v>5.5080356801072974E-3</v>
      </c>
      <c r="E1426" s="16">
        <v>-2.1527023234874959E-2</v>
      </c>
      <c r="F1426" s="16">
        <v>3.3930613680946808E-3</v>
      </c>
    </row>
    <row r="1427" spans="2:6" x14ac:dyDescent="0.35">
      <c r="B1427" s="7" t="s">
        <v>14</v>
      </c>
      <c r="C1427" s="16">
        <v>8.6696837341174223E-3</v>
      </c>
      <c r="D1427" s="16">
        <v>3.9420421424783058E-3</v>
      </c>
      <c r="E1427" s="16">
        <v>-2.4783508786644509E-4</v>
      </c>
      <c r="F1427" s="16">
        <v>1.758720255610129E-2</v>
      </c>
    </row>
    <row r="1428" spans="2:6" x14ac:dyDescent="0.35">
      <c r="B1428" s="7" t="s">
        <v>15</v>
      </c>
      <c r="C1428" s="16">
        <v>-7.0669645126391874E-4</v>
      </c>
      <c r="D1428" s="16">
        <v>5.382869197410994E-3</v>
      </c>
      <c r="E1428" s="16">
        <v>-1.2883592498857073E-2</v>
      </c>
      <c r="F1428" s="16">
        <v>1.1470199596329236E-2</v>
      </c>
    </row>
    <row r="1429" spans="2:6" x14ac:dyDescent="0.35">
      <c r="B1429" s="7" t="s">
        <v>16</v>
      </c>
      <c r="C1429" s="16">
        <v>1.6183196243993159E-2</v>
      </c>
      <c r="D1429" s="16">
        <v>1.0746414133547075E-2</v>
      </c>
      <c r="E1429" s="16">
        <v>-8.1268813353631321E-3</v>
      </c>
      <c r="F1429" s="16">
        <v>4.0493273823349454E-2</v>
      </c>
    </row>
    <row r="1430" spans="2:6" x14ac:dyDescent="0.35">
      <c r="B1430" s="7" t="s">
        <v>17</v>
      </c>
      <c r="C1430" s="16">
        <v>1.1785083610636059E-3</v>
      </c>
      <c r="D1430" s="16">
        <v>1.821983288944392E-4</v>
      </c>
      <c r="E1430" s="16">
        <v>7.6634710846250928E-4</v>
      </c>
      <c r="F1430" s="16">
        <v>1.5906696136647025E-3</v>
      </c>
    </row>
    <row r="1431" spans="2:6" x14ac:dyDescent="0.35">
      <c r="B1431" s="7" t="s">
        <v>18</v>
      </c>
      <c r="C1431" s="16">
        <v>0.35191471124413914</v>
      </c>
      <c r="D1431" s="16">
        <v>6.7224508847763279E-2</v>
      </c>
      <c r="E1431" s="16">
        <v>0.19984230783455303</v>
      </c>
      <c r="F1431" s="16">
        <v>0.50398711465372525</v>
      </c>
    </row>
    <row r="1432" spans="2:6" ht="15" thickBot="1" x14ac:dyDescent="0.4">
      <c r="B1432" s="11" t="s">
        <v>19</v>
      </c>
      <c r="C1432" s="17">
        <v>-1.8783968934882777E-2</v>
      </c>
      <c r="D1432" s="17">
        <v>1.2868123710758033E-2</v>
      </c>
      <c r="E1432" s="17">
        <v>-4.7893687006582253E-2</v>
      </c>
      <c r="F1432" s="17">
        <v>1.0325749136816696E-2</v>
      </c>
    </row>
    <row r="1435" spans="2:6" x14ac:dyDescent="0.35">
      <c r="B1435" s="6" t="s">
        <v>359</v>
      </c>
    </row>
    <row r="1436" spans="2:6" ht="15" thickBot="1" x14ac:dyDescent="0.4"/>
    <row r="1437" spans="2:6" ht="43.5" x14ac:dyDescent="0.35">
      <c r="B1437" s="8" t="s">
        <v>30</v>
      </c>
      <c r="C1437" s="9" t="s">
        <v>358</v>
      </c>
      <c r="D1437" s="9" t="s">
        <v>37</v>
      </c>
      <c r="E1437" s="9" t="s">
        <v>355</v>
      </c>
      <c r="F1437" s="9" t="s">
        <v>356</v>
      </c>
    </row>
    <row r="1438" spans="2:6" x14ac:dyDescent="0.35">
      <c r="B1438" s="19" t="s">
        <v>1</v>
      </c>
      <c r="C1438" s="21">
        <v>-5.7373512480359781E-2</v>
      </c>
      <c r="D1438" s="21">
        <v>7.3068352670012521E-2</v>
      </c>
      <c r="E1438" s="21">
        <v>-0.22266560898152693</v>
      </c>
      <c r="F1438" s="21">
        <v>0.10791858402080738</v>
      </c>
    </row>
    <row r="1439" spans="2:6" x14ac:dyDescent="0.35">
      <c r="B1439" s="7" t="s">
        <v>2</v>
      </c>
      <c r="C1439" s="16">
        <v>-0.2329232566838853</v>
      </c>
      <c r="D1439" s="16">
        <v>6.7157084462411851E-2</v>
      </c>
      <c r="E1439" s="16">
        <v>-0.38484313553799976</v>
      </c>
      <c r="F1439" s="16">
        <v>-8.1003377829770851E-2</v>
      </c>
    </row>
    <row r="1440" spans="2:6" x14ac:dyDescent="0.35">
      <c r="B1440" s="7" t="s">
        <v>3</v>
      </c>
      <c r="C1440" s="16">
        <v>0.12330007997667244</v>
      </c>
      <c r="D1440" s="16">
        <v>7.2275373979314619E-2</v>
      </c>
      <c r="E1440" s="16">
        <v>-4.0198174108775381E-2</v>
      </c>
      <c r="F1440" s="16">
        <v>0.2867983340621203</v>
      </c>
    </row>
    <row r="1441" spans="2:6" x14ac:dyDescent="0.35">
      <c r="B1441" s="7" t="s">
        <v>4</v>
      </c>
      <c r="C1441" s="16">
        <v>0.28128848789761884</v>
      </c>
      <c r="D1441" s="16">
        <v>8.8337580531449342E-2</v>
      </c>
      <c r="E1441" s="16">
        <v>8.1454998400100009E-2</v>
      </c>
      <c r="F1441" s="16">
        <v>0.48112197739513768</v>
      </c>
    </row>
    <row r="1442" spans="2:6" x14ac:dyDescent="0.35">
      <c r="B1442" s="7" t="s">
        <v>5</v>
      </c>
      <c r="C1442" s="16">
        <v>-0.14283796338525578</v>
      </c>
      <c r="D1442" s="16">
        <v>5.960135342508642E-2</v>
      </c>
      <c r="E1442" s="16">
        <v>-0.27766559124257156</v>
      </c>
      <c r="F1442" s="16">
        <v>-8.0103355279400046E-3</v>
      </c>
    </row>
    <row r="1443" spans="2:6" x14ac:dyDescent="0.35">
      <c r="B1443" s="7" t="s">
        <v>6</v>
      </c>
      <c r="C1443" s="16">
        <v>5.3762364757822423E-2</v>
      </c>
      <c r="D1443" s="16">
        <v>6.8438949832383911E-2</v>
      </c>
      <c r="E1443" s="16">
        <v>-0.10105729500953936</v>
      </c>
      <c r="F1443" s="16">
        <v>0.20858202452518421</v>
      </c>
    </row>
    <row r="1444" spans="2:6" x14ac:dyDescent="0.35">
      <c r="B1444" s="7" t="s">
        <v>7</v>
      </c>
      <c r="C1444" s="16">
        <v>0.10994302310738749</v>
      </c>
      <c r="D1444" s="16">
        <v>4.6745767060962812E-2</v>
      </c>
      <c r="E1444" s="16">
        <v>4.1967518734280784E-3</v>
      </c>
      <c r="F1444" s="16">
        <v>0.2156892943413469</v>
      </c>
    </row>
    <row r="1445" spans="2:6" x14ac:dyDescent="0.35">
      <c r="B1445" s="7" t="s">
        <v>8</v>
      </c>
      <c r="C1445" s="16">
        <v>7.3938349238796455E-2</v>
      </c>
      <c r="D1445" s="16">
        <v>6.7776754550342641E-2</v>
      </c>
      <c r="E1445" s="16">
        <v>-7.9383320735965227E-2</v>
      </c>
      <c r="F1445" s="16">
        <v>0.22726001921355815</v>
      </c>
    </row>
    <row r="1446" spans="2:6" x14ac:dyDescent="0.35">
      <c r="B1446" s="7" t="s">
        <v>9</v>
      </c>
      <c r="C1446" s="16">
        <v>-5.2981348232944522E-2</v>
      </c>
      <c r="D1446" s="16">
        <v>3.8869932075764238E-2</v>
      </c>
      <c r="E1446" s="16">
        <v>-0.14091124303537422</v>
      </c>
      <c r="F1446" s="16">
        <v>3.4948546569485192E-2</v>
      </c>
    </row>
    <row r="1447" spans="2:6" x14ac:dyDescent="0.35">
      <c r="B1447" s="7" t="s">
        <v>10</v>
      </c>
      <c r="C1447" s="16">
        <v>-6.8378954279784375E-3</v>
      </c>
      <c r="D1447" s="16">
        <v>5.1640254704993019E-2</v>
      </c>
      <c r="E1447" s="16">
        <v>-0.12365626688615483</v>
      </c>
      <c r="F1447" s="16">
        <v>0.10998047603019795</v>
      </c>
    </row>
    <row r="1448" spans="2:6" x14ac:dyDescent="0.35">
      <c r="B1448" s="7" t="s">
        <v>11</v>
      </c>
      <c r="C1448" s="16">
        <v>-0.16162361924604732</v>
      </c>
      <c r="D1448" s="16">
        <v>6.8796906022443607E-2</v>
      </c>
      <c r="E1448" s="16">
        <v>-0.31725303216848222</v>
      </c>
      <c r="F1448" s="16">
        <v>-5.9942063236124166E-3</v>
      </c>
    </row>
    <row r="1449" spans="2:6" x14ac:dyDescent="0.35">
      <c r="B1449" s="7" t="s">
        <v>12</v>
      </c>
      <c r="C1449" s="16">
        <v>-0.10629968269347299</v>
      </c>
      <c r="D1449" s="16">
        <v>6.735426532220494E-2</v>
      </c>
      <c r="E1449" s="16">
        <v>-0.25866561563960039</v>
      </c>
      <c r="F1449" s="16">
        <v>4.6066250252654387E-2</v>
      </c>
    </row>
    <row r="1450" spans="2:6" x14ac:dyDescent="0.35">
      <c r="B1450" s="7" t="s">
        <v>13</v>
      </c>
      <c r="C1450" s="16">
        <v>-0.14337335423549469</v>
      </c>
      <c r="D1450" s="16">
        <v>8.7096857984733531E-2</v>
      </c>
      <c r="E1450" s="16">
        <v>-0.34040013435160588</v>
      </c>
      <c r="F1450" s="16">
        <v>5.3653425880616529E-2</v>
      </c>
    </row>
    <row r="1451" spans="2:6" x14ac:dyDescent="0.35">
      <c r="B1451" s="7" t="s">
        <v>14</v>
      </c>
      <c r="C1451" s="16">
        <v>0.12582671750333863</v>
      </c>
      <c r="D1451" s="16">
        <v>5.7212493357275622E-2</v>
      </c>
      <c r="E1451" s="16">
        <v>-3.5969334689416876E-3</v>
      </c>
      <c r="F1451" s="16">
        <v>0.25525036847561894</v>
      </c>
    </row>
    <row r="1452" spans="2:6" x14ac:dyDescent="0.35">
      <c r="B1452" s="7" t="s">
        <v>15</v>
      </c>
      <c r="C1452" s="16">
        <v>-9.7771702731529846E-3</v>
      </c>
      <c r="D1452" s="16">
        <v>7.4472184779010617E-2</v>
      </c>
      <c r="E1452" s="16">
        <v>-0.17824495561843418</v>
      </c>
      <c r="F1452" s="16">
        <v>0.15869061507212823</v>
      </c>
    </row>
    <row r="1453" spans="2:6" x14ac:dyDescent="0.35">
      <c r="B1453" s="7" t="s">
        <v>16</v>
      </c>
      <c r="C1453" s="16">
        <v>0.12417299301594345</v>
      </c>
      <c r="D1453" s="16">
        <v>8.2456789563228716E-2</v>
      </c>
      <c r="E1453" s="16">
        <v>-6.2357223139527712E-2</v>
      </c>
      <c r="F1453" s="16">
        <v>0.31070320917141458</v>
      </c>
    </row>
    <row r="1454" spans="2:6" x14ac:dyDescent="0.35">
      <c r="B1454" s="7" t="s">
        <v>17</v>
      </c>
      <c r="C1454" s="16">
        <v>0.17258741774602468</v>
      </c>
      <c r="D1454" s="16">
        <v>2.6682151896786625E-2</v>
      </c>
      <c r="E1454" s="16">
        <v>0.11222819702976955</v>
      </c>
      <c r="F1454" s="16">
        <v>0.23294663846227981</v>
      </c>
    </row>
    <row r="1455" spans="2:6" x14ac:dyDescent="0.35">
      <c r="B1455" s="7" t="s">
        <v>18</v>
      </c>
      <c r="C1455" s="16">
        <v>0.4063384423146349</v>
      </c>
      <c r="D1455" s="16">
        <v>7.7620802250623275E-2</v>
      </c>
      <c r="E1455" s="16">
        <v>0.2307479894403148</v>
      </c>
      <c r="F1455" s="16">
        <v>0.58192889518895496</v>
      </c>
    </row>
    <row r="1456" spans="2:6" ht="15" thickBot="1" x14ac:dyDescent="0.4">
      <c r="B1456" s="11" t="s">
        <v>19</v>
      </c>
      <c r="C1456" s="17">
        <v>-0.12651308206534373</v>
      </c>
      <c r="D1456" s="17">
        <v>8.6668903504353356E-2</v>
      </c>
      <c r="E1456" s="17">
        <v>-0.32257176189337855</v>
      </c>
      <c r="F1456" s="17">
        <v>6.9545597762691119E-2</v>
      </c>
    </row>
    <row r="1476" spans="2:13" x14ac:dyDescent="0.35">
      <c r="G1476" t="s">
        <v>49</v>
      </c>
    </row>
    <row r="1479" spans="2:13" x14ac:dyDescent="0.35">
      <c r="B1479" s="6" t="s">
        <v>360</v>
      </c>
    </row>
    <row r="1480" spans="2:13" ht="15" thickBot="1" x14ac:dyDescent="0.4"/>
    <row r="1481" spans="2:13" ht="29" customHeight="1" x14ac:dyDescent="0.35">
      <c r="B1481" s="8" t="s">
        <v>80</v>
      </c>
      <c r="C1481" s="9" t="s">
        <v>361</v>
      </c>
      <c r="D1481" s="9" t="s">
        <v>0</v>
      </c>
      <c r="E1481" s="9" t="s">
        <v>362</v>
      </c>
      <c r="F1481" s="9" t="s">
        <v>363</v>
      </c>
      <c r="G1481" s="9" t="s">
        <v>364</v>
      </c>
      <c r="H1481" s="9" t="s">
        <v>365</v>
      </c>
      <c r="I1481" s="9" t="s">
        <v>366</v>
      </c>
      <c r="J1481" s="9" t="s">
        <v>367</v>
      </c>
      <c r="K1481" s="9" t="s">
        <v>368</v>
      </c>
      <c r="L1481" s="9" t="s">
        <v>369</v>
      </c>
      <c r="M1481" s="9" t="s">
        <v>370</v>
      </c>
    </row>
    <row r="1482" spans="2:13" x14ac:dyDescent="0.35">
      <c r="B1482" s="19" t="s">
        <v>81</v>
      </c>
      <c r="C1482" s="43">
        <v>1</v>
      </c>
      <c r="D1482" s="21">
        <v>2.88536122003151</v>
      </c>
      <c r="E1482" s="21">
        <v>2.6939240702277361</v>
      </c>
      <c r="F1482" s="21">
        <v>0.19143714980377402</v>
      </c>
      <c r="G1482" s="21">
        <v>0.3609598023985725</v>
      </c>
      <c r="H1482" s="21">
        <v>5.0939296793825743E-2</v>
      </c>
      <c r="I1482" s="21">
        <v>2.578691375720827</v>
      </c>
      <c r="J1482" s="21">
        <v>2.8091567647346452</v>
      </c>
      <c r="K1482" s="21">
        <v>0.36547898402505652</v>
      </c>
      <c r="L1482" s="21">
        <v>1.8671531729907036</v>
      </c>
      <c r="M1482" s="21">
        <v>3.5206949674647685</v>
      </c>
    </row>
    <row r="1483" spans="2:13" x14ac:dyDescent="0.35">
      <c r="B1483" s="7" t="s">
        <v>82</v>
      </c>
      <c r="C1483" s="13">
        <v>1</v>
      </c>
      <c r="D1483" s="16">
        <v>2.1945143418824702</v>
      </c>
      <c r="E1483" s="16">
        <v>2.4586702681496799</v>
      </c>
      <c r="F1483" s="16">
        <v>-0.26415592626720996</v>
      </c>
      <c r="G1483" s="16">
        <v>-0.49807297614678675</v>
      </c>
      <c r="H1483" s="16">
        <v>4.2877694164891157E-2</v>
      </c>
      <c r="I1483" s="16">
        <v>2.3616741856779946</v>
      </c>
      <c r="J1483" s="16">
        <v>2.5556663506213653</v>
      </c>
      <c r="K1483" s="16">
        <v>0.36444282468315387</v>
      </c>
      <c r="L1483" s="16">
        <v>1.6342433261774643</v>
      </c>
      <c r="M1483" s="16">
        <v>3.2830972101218956</v>
      </c>
    </row>
    <row r="1484" spans="2:13" x14ac:dyDescent="0.35">
      <c r="B1484" s="7" t="s">
        <v>83</v>
      </c>
      <c r="C1484" s="13">
        <v>1</v>
      </c>
      <c r="D1484" s="16">
        <v>2.3010299956639799</v>
      </c>
      <c r="E1484" s="16">
        <v>2.0443364095790337</v>
      </c>
      <c r="F1484" s="16">
        <v>0.25669358608494625</v>
      </c>
      <c r="G1484" s="16">
        <v>0.48400253662978693</v>
      </c>
      <c r="H1484" s="16">
        <v>5.283083376670851E-2</v>
      </c>
      <c r="I1484" s="16">
        <v>1.9248247611826172</v>
      </c>
      <c r="J1484" s="16">
        <v>2.1638480579754504</v>
      </c>
      <c r="K1484" s="16">
        <v>0.36574741667252231</v>
      </c>
      <c r="L1484" s="16">
        <v>1.2169582755089858</v>
      </c>
      <c r="M1484" s="16">
        <v>2.8717145436490816</v>
      </c>
    </row>
    <row r="1485" spans="2:13" x14ac:dyDescent="0.35">
      <c r="B1485" s="7" t="s">
        <v>84</v>
      </c>
      <c r="C1485" s="13">
        <v>1</v>
      </c>
      <c r="D1485" s="16">
        <v>2.9827233876685502</v>
      </c>
      <c r="E1485" s="16">
        <v>2.7648434925919223</v>
      </c>
      <c r="F1485" s="16">
        <v>0.21787989507662803</v>
      </c>
      <c r="G1485" s="16">
        <v>0.41081829704471978</v>
      </c>
      <c r="H1485" s="16">
        <v>6.0873047643311196E-2</v>
      </c>
      <c r="I1485" s="16">
        <v>2.627139092565018</v>
      </c>
      <c r="J1485" s="16">
        <v>2.9025478926188266</v>
      </c>
      <c r="K1485" s="16">
        <v>0.36699537290751078</v>
      </c>
      <c r="L1485" s="16">
        <v>1.9346422854008132</v>
      </c>
      <c r="M1485" s="16">
        <v>3.5950446997830312</v>
      </c>
    </row>
    <row r="1486" spans="2:13" x14ac:dyDescent="0.35">
      <c r="B1486" s="7" t="s">
        <v>85</v>
      </c>
      <c r="C1486" s="13">
        <v>1</v>
      </c>
      <c r="D1486" s="16">
        <v>3.18752072083646</v>
      </c>
      <c r="E1486" s="16">
        <v>2.6682901780782142</v>
      </c>
      <c r="F1486" s="16">
        <v>0.51923054275824587</v>
      </c>
      <c r="G1486" s="16">
        <v>0.97902290284529259</v>
      </c>
      <c r="H1486" s="16">
        <v>5.9731386092902974E-2</v>
      </c>
      <c r="I1486" s="16">
        <v>2.533168395891539</v>
      </c>
      <c r="J1486" s="16">
        <v>2.8034119602648895</v>
      </c>
      <c r="K1486" s="16">
        <v>0.36680773477493289</v>
      </c>
      <c r="L1486" s="16">
        <v>1.8385134378305086</v>
      </c>
      <c r="M1486" s="16">
        <v>3.4980669183259199</v>
      </c>
    </row>
    <row r="1487" spans="2:13" x14ac:dyDescent="0.35">
      <c r="B1487" s="7" t="s">
        <v>86</v>
      </c>
      <c r="C1487" s="13">
        <v>1</v>
      </c>
      <c r="D1487" s="16">
        <v>3.02448566769917</v>
      </c>
      <c r="E1487" s="16">
        <v>2.8748246111028521</v>
      </c>
      <c r="F1487" s="16">
        <v>0.14966105659631801</v>
      </c>
      <c r="G1487" s="16">
        <v>0.28218987522088324</v>
      </c>
      <c r="H1487" s="16">
        <v>5.8247708278860034E-2</v>
      </c>
      <c r="I1487" s="16">
        <v>2.7430591412929317</v>
      </c>
      <c r="J1487" s="16">
        <v>3.0065900809127726</v>
      </c>
      <c r="K1487" s="16">
        <v>0.36656905396647604</v>
      </c>
      <c r="L1487" s="16">
        <v>2.0455878043527935</v>
      </c>
      <c r="M1487" s="16">
        <v>3.7040614178529108</v>
      </c>
    </row>
    <row r="1488" spans="2:13" x14ac:dyDescent="0.35">
      <c r="B1488" s="7" t="s">
        <v>87</v>
      </c>
      <c r="C1488" s="13">
        <v>1</v>
      </c>
      <c r="D1488" s="16">
        <v>2.8779469516291898</v>
      </c>
      <c r="E1488" s="16">
        <v>2.7868572483971343</v>
      </c>
      <c r="F1488" s="16">
        <v>9.1089703232055577E-2</v>
      </c>
      <c r="G1488" s="16">
        <v>0.17175204140309028</v>
      </c>
      <c r="H1488" s="16">
        <v>5.4519477496370934E-2</v>
      </c>
      <c r="I1488" s="16">
        <v>2.6635256225122421</v>
      </c>
      <c r="J1488" s="16">
        <v>2.9101888742820265</v>
      </c>
      <c r="K1488" s="16">
        <v>0.36599514919273912</v>
      </c>
      <c r="L1488" s="16">
        <v>1.9589187044349532</v>
      </c>
      <c r="M1488" s="16">
        <v>3.6147957923593155</v>
      </c>
    </row>
    <row r="1489" spans="2:13" x14ac:dyDescent="0.35">
      <c r="B1489" s="7" t="s">
        <v>88</v>
      </c>
      <c r="C1489" s="13">
        <v>1</v>
      </c>
      <c r="D1489" s="16">
        <v>3.2281436075977399</v>
      </c>
      <c r="E1489" s="16">
        <v>2.8324726102918953</v>
      </c>
      <c r="F1489" s="16">
        <v>0.39567099730584476</v>
      </c>
      <c r="G1489" s="16">
        <v>0.74604811630740353</v>
      </c>
      <c r="H1489" s="16">
        <v>5.9363208642480833E-2</v>
      </c>
      <c r="I1489" s="16">
        <v>2.6981837033575142</v>
      </c>
      <c r="J1489" s="16">
        <v>2.9667615172262765</v>
      </c>
      <c r="K1489" s="16">
        <v>0.36674796024854556</v>
      </c>
      <c r="L1489" s="16">
        <v>2.0028310894165018</v>
      </c>
      <c r="M1489" s="16">
        <v>3.6621141311672889</v>
      </c>
    </row>
    <row r="1490" spans="2:13" x14ac:dyDescent="0.35">
      <c r="B1490" s="7" t="s">
        <v>89</v>
      </c>
      <c r="C1490" s="13">
        <v>1</v>
      </c>
      <c r="D1490" s="16">
        <v>2.9680157139936401</v>
      </c>
      <c r="E1490" s="16">
        <v>2.469122009741338</v>
      </c>
      <c r="F1490" s="16">
        <v>0.49889370425230206</v>
      </c>
      <c r="G1490" s="16">
        <v>0.94067725668392022</v>
      </c>
      <c r="H1490" s="16">
        <v>4.1690220488474115E-2</v>
      </c>
      <c r="I1490" s="16">
        <v>2.3748121793383334</v>
      </c>
      <c r="J1490" s="16">
        <v>2.5634318401443426</v>
      </c>
      <c r="K1490" s="16">
        <v>0.36430502369651124</v>
      </c>
      <c r="L1490" s="16">
        <v>1.6450067952564649</v>
      </c>
      <c r="M1490" s="16">
        <v>3.2932372242262113</v>
      </c>
    </row>
    <row r="1491" spans="2:13" x14ac:dyDescent="0.35">
      <c r="B1491" s="7" t="s">
        <v>90</v>
      </c>
      <c r="C1491" s="13">
        <v>1</v>
      </c>
      <c r="D1491" s="16">
        <v>2.0128372247051698</v>
      </c>
      <c r="E1491" s="16">
        <v>2.6312752512009645</v>
      </c>
      <c r="F1491" s="16">
        <v>-0.61843802649579482</v>
      </c>
      <c r="G1491" s="16">
        <v>-1.1660812338070257</v>
      </c>
      <c r="H1491" s="16">
        <v>4.4774123791136551E-2</v>
      </c>
      <c r="I1491" s="16">
        <v>2.5299891468889801</v>
      </c>
      <c r="J1491" s="16">
        <v>2.7325613555129489</v>
      </c>
      <c r="K1491" s="16">
        <v>0.36467080767097615</v>
      </c>
      <c r="L1491" s="16">
        <v>1.8063325758825499</v>
      </c>
      <c r="M1491" s="16">
        <v>3.4562179265193791</v>
      </c>
    </row>
    <row r="1492" spans="2:13" x14ac:dyDescent="0.35">
      <c r="B1492" s="7" t="s">
        <v>91</v>
      </c>
      <c r="C1492" s="13">
        <v>1</v>
      </c>
      <c r="D1492" s="16">
        <v>2.8830933585756902</v>
      </c>
      <c r="E1492" s="16">
        <v>2.7744387091690412</v>
      </c>
      <c r="F1492" s="16">
        <v>0.10865464940664876</v>
      </c>
      <c r="G1492" s="16">
        <v>0.20487121135950448</v>
      </c>
      <c r="H1492" s="16">
        <v>5.5719568909263537E-2</v>
      </c>
      <c r="I1492" s="16">
        <v>2.6483922879126709</v>
      </c>
      <c r="J1492" s="16">
        <v>2.9004851304254116</v>
      </c>
      <c r="K1492" s="16">
        <v>0.3661758404995778</v>
      </c>
      <c r="L1492" s="16">
        <v>1.9460914130749791</v>
      </c>
      <c r="M1492" s="16">
        <v>3.6027860052631033</v>
      </c>
    </row>
    <row r="1493" spans="2:13" x14ac:dyDescent="0.35">
      <c r="B1493" s="7" t="s">
        <v>92</v>
      </c>
      <c r="C1493" s="13">
        <v>1</v>
      </c>
      <c r="D1493" s="16">
        <v>3.6127838567197399</v>
      </c>
      <c r="E1493" s="16">
        <v>2.7828008814906657</v>
      </c>
      <c r="F1493" s="16">
        <v>0.82998297522907405</v>
      </c>
      <c r="G1493" s="16">
        <v>1.5649548221959564</v>
      </c>
      <c r="H1493" s="16">
        <v>5.2548346436574037E-2</v>
      </c>
      <c r="I1493" s="16">
        <v>2.6639282638281676</v>
      </c>
      <c r="J1493" s="16">
        <v>2.9016734991531639</v>
      </c>
      <c r="K1493" s="16">
        <v>0.36570671927017728</v>
      </c>
      <c r="L1493" s="16">
        <v>1.9555148113403582</v>
      </c>
      <c r="M1493" s="16">
        <v>3.610086951640973</v>
      </c>
    </row>
    <row r="1494" spans="2:13" x14ac:dyDescent="0.35">
      <c r="B1494" s="7" t="s">
        <v>93</v>
      </c>
      <c r="C1494" s="13">
        <v>1</v>
      </c>
      <c r="D1494" s="16">
        <v>3.1139433523068401</v>
      </c>
      <c r="E1494" s="16">
        <v>3.0008801709534834</v>
      </c>
      <c r="F1494" s="16">
        <v>0.11306318135335655</v>
      </c>
      <c r="G1494" s="16">
        <v>0.21318361478790146</v>
      </c>
      <c r="H1494" s="16">
        <v>5.7388301420307423E-2</v>
      </c>
      <c r="I1494" s="16">
        <v>2.8710588145142197</v>
      </c>
      <c r="J1494" s="16">
        <v>3.130701527392747</v>
      </c>
      <c r="K1494" s="16">
        <v>0.36643347683590005</v>
      </c>
      <c r="L1494" s="16">
        <v>2.1719500609788636</v>
      </c>
      <c r="M1494" s="16">
        <v>3.8298102809281032</v>
      </c>
    </row>
    <row r="1495" spans="2:13" x14ac:dyDescent="0.35">
      <c r="B1495" s="7" t="s">
        <v>94</v>
      </c>
      <c r="C1495" s="13">
        <v>1</v>
      </c>
      <c r="D1495" s="16">
        <v>3.4323277922615998</v>
      </c>
      <c r="E1495" s="16">
        <v>3.3309815306784123</v>
      </c>
      <c r="F1495" s="16">
        <v>0.10134626158318738</v>
      </c>
      <c r="G1495" s="16">
        <v>0.19109105308138147</v>
      </c>
      <c r="H1495" s="16">
        <v>7.5432273853843546E-2</v>
      </c>
      <c r="I1495" s="16">
        <v>3.1603418729669412</v>
      </c>
      <c r="J1495" s="16">
        <v>3.5016211883898833</v>
      </c>
      <c r="K1495" s="16">
        <v>0.36968919884803136</v>
      </c>
      <c r="L1495" s="16">
        <v>2.494686465872519</v>
      </c>
      <c r="M1495" s="16">
        <v>4.1672765954843056</v>
      </c>
    </row>
    <row r="1496" spans="2:13" x14ac:dyDescent="0.35">
      <c r="B1496" s="7" t="s">
        <v>95</v>
      </c>
      <c r="C1496" s="13">
        <v>1</v>
      </c>
      <c r="D1496" s="16">
        <v>2.8573324964312699</v>
      </c>
      <c r="E1496" s="16">
        <v>2.6378074151568103</v>
      </c>
      <c r="F1496" s="16">
        <v>0.21952508127445969</v>
      </c>
      <c r="G1496" s="16">
        <v>0.4139203390751558</v>
      </c>
      <c r="H1496" s="16">
        <v>4.4811455566734409E-2</v>
      </c>
      <c r="I1496" s="16">
        <v>2.5364368605016994</v>
      </c>
      <c r="J1496" s="16">
        <v>2.7391779698119212</v>
      </c>
      <c r="K1496" s="16">
        <v>0.3646753931322313</v>
      </c>
      <c r="L1496" s="16">
        <v>1.8128543668044268</v>
      </c>
      <c r="M1496" s="16">
        <v>3.462760463509194</v>
      </c>
    </row>
    <row r="1497" spans="2:13" x14ac:dyDescent="0.35">
      <c r="B1497" s="7" t="s">
        <v>96</v>
      </c>
      <c r="C1497" s="13">
        <v>1</v>
      </c>
      <c r="D1497" s="16">
        <v>1.6989700043360201</v>
      </c>
      <c r="E1497" s="16">
        <v>2.2000174387192222</v>
      </c>
      <c r="F1497" s="16">
        <v>-0.50104743438320198</v>
      </c>
      <c r="G1497" s="16">
        <v>-0.94473817173236474</v>
      </c>
      <c r="H1497" s="16">
        <v>4.58208308621963E-2</v>
      </c>
      <c r="I1497" s="16">
        <v>2.096363518521482</v>
      </c>
      <c r="J1497" s="16">
        <v>2.3036713589169624</v>
      </c>
      <c r="K1497" s="16">
        <v>0.36480080091337524</v>
      </c>
      <c r="L1497" s="16">
        <v>1.3747806982579382</v>
      </c>
      <c r="M1497" s="16">
        <v>3.0252541791805063</v>
      </c>
    </row>
    <row r="1498" spans="2:13" x14ac:dyDescent="0.35">
      <c r="B1498" s="7" t="s">
        <v>97</v>
      </c>
      <c r="C1498" s="13">
        <v>1</v>
      </c>
      <c r="D1498" s="16">
        <v>2.9790929006383302</v>
      </c>
      <c r="E1498" s="16">
        <v>2.9032174147501451</v>
      </c>
      <c r="F1498" s="16">
        <v>7.5875485888185171E-2</v>
      </c>
      <c r="G1498" s="16">
        <v>0.14306523274697786</v>
      </c>
      <c r="H1498" s="16">
        <v>7.6706945715957695E-2</v>
      </c>
      <c r="I1498" s="16">
        <v>2.7296942489706679</v>
      </c>
      <c r="J1498" s="16">
        <v>3.0767405805296222</v>
      </c>
      <c r="K1498" s="16">
        <v>0.36995139049233061</v>
      </c>
      <c r="L1498" s="16">
        <v>2.0663292312411792</v>
      </c>
      <c r="M1498" s="16">
        <v>3.7401055982591109</v>
      </c>
    </row>
    <row r="1499" spans="2:13" x14ac:dyDescent="0.35">
      <c r="B1499" s="7" t="s">
        <v>98</v>
      </c>
      <c r="C1499" s="13">
        <v>1</v>
      </c>
      <c r="D1499" s="16">
        <v>2.8597385661971502</v>
      </c>
      <c r="E1499" s="16">
        <v>2.6219924801684318</v>
      </c>
      <c r="F1499" s="16">
        <v>0.23774608602871858</v>
      </c>
      <c r="G1499" s="16">
        <v>0.44827652481205332</v>
      </c>
      <c r="H1499" s="16">
        <v>4.3229614520487583E-2</v>
      </c>
      <c r="I1499" s="16">
        <v>2.5242002985477665</v>
      </c>
      <c r="J1499" s="16">
        <v>2.7197846617890971</v>
      </c>
      <c r="K1499" s="16">
        <v>0.36448439661764398</v>
      </c>
      <c r="L1499" s="16">
        <v>1.7974714959473301</v>
      </c>
      <c r="M1499" s="16">
        <v>3.4465134643895334</v>
      </c>
    </row>
    <row r="1500" spans="2:13" x14ac:dyDescent="0.35">
      <c r="B1500" s="7" t="s">
        <v>99</v>
      </c>
      <c r="C1500" s="13">
        <v>1</v>
      </c>
      <c r="D1500" s="16">
        <v>2.8202014594856402</v>
      </c>
      <c r="E1500" s="16">
        <v>2.7296438150665874</v>
      </c>
      <c r="F1500" s="16">
        <v>9.0557644419052896E-2</v>
      </c>
      <c r="G1500" s="16">
        <v>0.17074883045786507</v>
      </c>
      <c r="H1500" s="16">
        <v>4.0817995438708073E-2</v>
      </c>
      <c r="I1500" s="16">
        <v>2.6373070947971557</v>
      </c>
      <c r="J1500" s="16">
        <v>2.821980535336019</v>
      </c>
      <c r="K1500" s="16">
        <v>0.36420623904289778</v>
      </c>
      <c r="L1500" s="16">
        <v>1.9057520669922909</v>
      </c>
      <c r="M1500" s="16">
        <v>3.5535355631408838</v>
      </c>
    </row>
    <row r="1501" spans="2:13" x14ac:dyDescent="0.35">
      <c r="B1501" s="7" t="s">
        <v>100</v>
      </c>
      <c r="C1501" s="13">
        <v>1</v>
      </c>
      <c r="D1501" s="16">
        <v>3.5453071164658199</v>
      </c>
      <c r="E1501" s="16">
        <v>3.1874679493102756</v>
      </c>
      <c r="F1501" s="16">
        <v>0.35783916715554426</v>
      </c>
      <c r="G1501" s="16">
        <v>0.67471520130409202</v>
      </c>
      <c r="H1501" s="16">
        <v>6.7386669817941613E-2</v>
      </c>
      <c r="I1501" s="16">
        <v>3.0350287123023945</v>
      </c>
      <c r="J1501" s="16">
        <v>3.3399071863181566</v>
      </c>
      <c r="K1501" s="16">
        <v>0.36813182295923608</v>
      </c>
      <c r="L1501" s="16">
        <v>2.3546959135079497</v>
      </c>
      <c r="M1501" s="16">
        <v>4.0202399851126014</v>
      </c>
    </row>
    <row r="1502" spans="2:13" x14ac:dyDescent="0.35">
      <c r="B1502" s="7" t="s">
        <v>101</v>
      </c>
      <c r="C1502" s="13">
        <v>1</v>
      </c>
      <c r="D1502" s="16">
        <v>3.1139433523068401</v>
      </c>
      <c r="E1502" s="16">
        <v>2.840539794268329</v>
      </c>
      <c r="F1502" s="16">
        <v>0.27340355803851096</v>
      </c>
      <c r="G1502" s="16">
        <v>0.51550963010995488</v>
      </c>
      <c r="H1502" s="16">
        <v>5.5340742341542473E-2</v>
      </c>
      <c r="I1502" s="16">
        <v>2.7153503382411017</v>
      </c>
      <c r="J1502" s="16">
        <v>2.9657292502955563</v>
      </c>
      <c r="K1502" s="16">
        <v>0.36611838736814495</v>
      </c>
      <c r="L1502" s="16">
        <v>2.012322466186383</v>
      </c>
      <c r="M1502" s="16">
        <v>3.6687571223502751</v>
      </c>
    </row>
    <row r="1503" spans="2:13" x14ac:dyDescent="0.35">
      <c r="B1503" s="7" t="s">
        <v>102</v>
      </c>
      <c r="C1503" s="13">
        <v>1</v>
      </c>
      <c r="D1503" s="16">
        <v>2.89762709129044</v>
      </c>
      <c r="E1503" s="16">
        <v>2.6788224662142071</v>
      </c>
      <c r="F1503" s="16">
        <v>0.21880462507623311</v>
      </c>
      <c r="G1503" s="16">
        <v>0.41256189988393688</v>
      </c>
      <c r="H1503" s="16">
        <v>4.9324561410209751E-2</v>
      </c>
      <c r="I1503" s="16">
        <v>2.5672425569022495</v>
      </c>
      <c r="J1503" s="16">
        <v>2.7904023755261647</v>
      </c>
      <c r="K1503" s="16">
        <v>0.36525742725432375</v>
      </c>
      <c r="L1503" s="16">
        <v>1.8525527652104308</v>
      </c>
      <c r="M1503" s="16">
        <v>3.5050921672179833</v>
      </c>
    </row>
    <row r="1504" spans="2:13" x14ac:dyDescent="0.35">
      <c r="B1504" s="7" t="s">
        <v>103</v>
      </c>
      <c r="C1504" s="13">
        <v>1</v>
      </c>
      <c r="D1504" s="16">
        <v>3.2662316966898901</v>
      </c>
      <c r="E1504" s="16">
        <v>2.5887908364900918</v>
      </c>
      <c r="F1504" s="16">
        <v>0.67744086019979854</v>
      </c>
      <c r="G1504" s="16">
        <v>1.277332635202123</v>
      </c>
      <c r="H1504" s="16">
        <v>4.1019543623394022E-2</v>
      </c>
      <c r="I1504" s="16">
        <v>2.4959981825534103</v>
      </c>
      <c r="J1504" s="16">
        <v>2.6815834904267732</v>
      </c>
      <c r="K1504" s="16">
        <v>0.36422888238744816</v>
      </c>
      <c r="L1504" s="16">
        <v>1.764847865611999</v>
      </c>
      <c r="M1504" s="16">
        <v>3.4127338073681845</v>
      </c>
    </row>
    <row r="1505" spans="2:13" x14ac:dyDescent="0.35">
      <c r="B1505" s="7" t="s">
        <v>104</v>
      </c>
      <c r="C1505" s="13">
        <v>1</v>
      </c>
      <c r="D1505" s="16">
        <v>3</v>
      </c>
      <c r="E1505" s="16">
        <v>2.6660298497899606</v>
      </c>
      <c r="F1505" s="16">
        <v>0.33397015021003956</v>
      </c>
      <c r="G1505" s="16">
        <v>0.62970953939923802</v>
      </c>
      <c r="H1505" s="16">
        <v>5.6584419850816747E-2</v>
      </c>
      <c r="I1505" s="16">
        <v>2.5380269997916431</v>
      </c>
      <c r="J1505" s="16">
        <v>2.7940326997882781</v>
      </c>
      <c r="K1505" s="16">
        <v>0.36630843885445979</v>
      </c>
      <c r="L1505" s="16">
        <v>1.8373825953791971</v>
      </c>
      <c r="M1505" s="16">
        <v>3.4946771042007239</v>
      </c>
    </row>
    <row r="1506" spans="2:13" x14ac:dyDescent="0.35">
      <c r="B1506" s="7" t="s">
        <v>105</v>
      </c>
      <c r="C1506" s="13">
        <v>1</v>
      </c>
      <c r="D1506" s="16">
        <v>3.4471580313422203</v>
      </c>
      <c r="E1506" s="16">
        <v>3.0845667911552588</v>
      </c>
      <c r="F1506" s="16">
        <v>0.36259124018696143</v>
      </c>
      <c r="G1506" s="16">
        <v>0.68367536052168454</v>
      </c>
      <c r="H1506" s="16">
        <v>5.432369463877721E-2</v>
      </c>
      <c r="I1506" s="16">
        <v>2.9616780568617069</v>
      </c>
      <c r="J1506" s="16">
        <v>3.2074555254488106</v>
      </c>
      <c r="K1506" s="16">
        <v>0.36596603613634038</v>
      </c>
      <c r="L1506" s="16">
        <v>2.2566941055017966</v>
      </c>
      <c r="M1506" s="16">
        <v>3.912439476808721</v>
      </c>
    </row>
    <row r="1507" spans="2:13" x14ac:dyDescent="0.35">
      <c r="B1507" s="7" t="s">
        <v>106</v>
      </c>
      <c r="C1507" s="13">
        <v>1</v>
      </c>
      <c r="D1507" s="16">
        <v>2.6901960800285099</v>
      </c>
      <c r="E1507" s="16">
        <v>2.9912806059244028</v>
      </c>
      <c r="F1507" s="16">
        <v>-0.30108452589589318</v>
      </c>
      <c r="G1507" s="16">
        <v>-0.56770282614449463</v>
      </c>
      <c r="H1507" s="16">
        <v>4.6857890591964824E-2</v>
      </c>
      <c r="I1507" s="16">
        <v>2.8852806936429967</v>
      </c>
      <c r="J1507" s="16">
        <v>3.097280518205809</v>
      </c>
      <c r="K1507" s="16">
        <v>0.3649325111809944</v>
      </c>
      <c r="L1507" s="16">
        <v>2.1657459161393695</v>
      </c>
      <c r="M1507" s="16">
        <v>3.8168152957094361</v>
      </c>
    </row>
    <row r="1508" spans="2:13" x14ac:dyDescent="0.35">
      <c r="B1508" s="7" t="s">
        <v>107</v>
      </c>
      <c r="C1508" s="13">
        <v>1</v>
      </c>
      <c r="D1508" s="16">
        <v>1.4471580313422201</v>
      </c>
      <c r="E1508" s="16">
        <v>1.7551187507922636</v>
      </c>
      <c r="F1508" s="16">
        <v>-0.30796071945004355</v>
      </c>
      <c r="G1508" s="16">
        <v>-0.58066807071225257</v>
      </c>
      <c r="H1508" s="16">
        <v>5.339997087847765E-2</v>
      </c>
      <c r="I1508" s="16">
        <v>1.6343196248085832</v>
      </c>
      <c r="J1508" s="16">
        <v>1.8759178767759441</v>
      </c>
      <c r="K1508" s="16">
        <v>0.36583005985834499</v>
      </c>
      <c r="L1508" s="16">
        <v>0.92755366484842916</v>
      </c>
      <c r="M1508" s="16">
        <v>2.582683836736098</v>
      </c>
    </row>
    <row r="1509" spans="2:13" x14ac:dyDescent="0.35">
      <c r="B1509" s="7" t="s">
        <v>108</v>
      </c>
      <c r="C1509" s="13">
        <v>1</v>
      </c>
      <c r="D1509" s="16">
        <v>2.8350561017201201</v>
      </c>
      <c r="E1509" s="16">
        <v>2.8152490404973229</v>
      </c>
      <c r="F1509" s="16">
        <v>1.9807061222797028E-2</v>
      </c>
      <c r="G1509" s="16">
        <v>3.7346737100952682E-2</v>
      </c>
      <c r="H1509" s="16">
        <v>4.2379485544169565E-2</v>
      </c>
      <c r="I1509" s="16">
        <v>2.719379984219672</v>
      </c>
      <c r="J1509" s="16">
        <v>2.9111180967749739</v>
      </c>
      <c r="K1509" s="16">
        <v>0.36438454495371581</v>
      </c>
      <c r="L1509" s="16">
        <v>1.9909539364318114</v>
      </c>
      <c r="M1509" s="16">
        <v>3.6395441445628345</v>
      </c>
    </row>
    <row r="1510" spans="2:13" x14ac:dyDescent="0.35">
      <c r="B1510" s="7" t="s">
        <v>109</v>
      </c>
      <c r="C1510" s="13">
        <v>1</v>
      </c>
      <c r="D1510" s="16">
        <v>2.93951925261862</v>
      </c>
      <c r="E1510" s="16">
        <v>2.8201288363548476</v>
      </c>
      <c r="F1510" s="16">
        <v>0.11939041626377266</v>
      </c>
      <c r="G1510" s="16">
        <v>0.22511378333321336</v>
      </c>
      <c r="H1510" s="16">
        <v>5.7950126539710232E-2</v>
      </c>
      <c r="I1510" s="16">
        <v>2.6890365432041392</v>
      </c>
      <c r="J1510" s="16">
        <v>2.9512211295055559</v>
      </c>
      <c r="K1510" s="16">
        <v>0.36652188607517899</v>
      </c>
      <c r="L1510" s="16">
        <v>1.990998730787382</v>
      </c>
      <c r="M1510" s="16">
        <v>3.6492589419223131</v>
      </c>
    </row>
    <row r="1511" spans="2:13" x14ac:dyDescent="0.35">
      <c r="B1511" s="7" t="s">
        <v>110</v>
      </c>
      <c r="C1511" s="13">
        <v>1</v>
      </c>
      <c r="D1511" s="16">
        <v>2.1522883443830598</v>
      </c>
      <c r="E1511" s="16">
        <v>2.4549968882303976</v>
      </c>
      <c r="F1511" s="16">
        <v>-0.30270854384733781</v>
      </c>
      <c r="G1511" s="16">
        <v>-0.57076495488724932</v>
      </c>
      <c r="H1511" s="16">
        <v>5.9006504638428957E-2</v>
      </c>
      <c r="I1511" s="16">
        <v>2.3215149018095573</v>
      </c>
      <c r="J1511" s="16">
        <v>2.5884788746512379</v>
      </c>
      <c r="K1511" s="16">
        <v>0.36669039174183848</v>
      </c>
      <c r="L1511" s="16">
        <v>1.6254855963641215</v>
      </c>
      <c r="M1511" s="16">
        <v>3.2845081800966738</v>
      </c>
    </row>
    <row r="1512" spans="2:13" x14ac:dyDescent="0.35">
      <c r="B1512" s="7" t="s">
        <v>111</v>
      </c>
      <c r="C1512" s="13">
        <v>1</v>
      </c>
      <c r="D1512" s="16">
        <v>3.13321945673249</v>
      </c>
      <c r="E1512" s="16">
        <v>2.8013787546390927</v>
      </c>
      <c r="F1512" s="16">
        <v>0.33184070209339744</v>
      </c>
      <c r="G1512" s="16">
        <v>0.62569440873003901</v>
      </c>
      <c r="H1512" s="16">
        <v>4.1950081787143004E-2</v>
      </c>
      <c r="I1512" s="16">
        <v>2.7064810771410475</v>
      </c>
      <c r="J1512" s="16">
        <v>2.8962764321371379</v>
      </c>
      <c r="K1512" s="16">
        <v>0.36433485307898561</v>
      </c>
      <c r="L1512" s="16">
        <v>1.9771960614033466</v>
      </c>
      <c r="M1512" s="16">
        <v>3.6255614478748388</v>
      </c>
    </row>
    <row r="1513" spans="2:13" x14ac:dyDescent="0.35">
      <c r="B1513" s="7" t="s">
        <v>112</v>
      </c>
      <c r="C1513" s="13">
        <v>1</v>
      </c>
      <c r="D1513" s="16">
        <v>1.3979400086720399</v>
      </c>
      <c r="E1513" s="16">
        <v>1.6798283427087461</v>
      </c>
      <c r="F1513" s="16">
        <v>-0.28188833403670616</v>
      </c>
      <c r="G1513" s="16">
        <v>-0.53150789936356602</v>
      </c>
      <c r="H1513" s="16">
        <v>5.510976750055406E-2</v>
      </c>
      <c r="I1513" s="16">
        <v>1.5551613880697521</v>
      </c>
      <c r="J1513" s="16">
        <v>1.8044952973477402</v>
      </c>
      <c r="K1513" s="16">
        <v>0.36608354549215011</v>
      </c>
      <c r="L1513" s="16">
        <v>0.85168983242573437</v>
      </c>
      <c r="M1513" s="16">
        <v>2.5079668529917578</v>
      </c>
    </row>
    <row r="1514" spans="2:13" x14ac:dyDescent="0.35">
      <c r="B1514" s="7" t="s">
        <v>113</v>
      </c>
      <c r="C1514" s="13">
        <v>1</v>
      </c>
      <c r="D1514" s="16">
        <v>1.88081359228079</v>
      </c>
      <c r="E1514" s="16">
        <v>2.5369510183238435</v>
      </c>
      <c r="F1514" s="16">
        <v>-0.65613742604305336</v>
      </c>
      <c r="G1514" s="16">
        <v>-1.2371644474104024</v>
      </c>
      <c r="H1514" s="16">
        <v>5.1849368045102942E-2</v>
      </c>
      <c r="I1514" s="16">
        <v>2.4196595996279768</v>
      </c>
      <c r="J1514" s="16">
        <v>2.6542424370197102</v>
      </c>
      <c r="K1514" s="16">
        <v>0.36560693753375983</v>
      </c>
      <c r="L1514" s="16">
        <v>1.7098906701421077</v>
      </c>
      <c r="M1514" s="16">
        <v>3.3640113665055793</v>
      </c>
    </row>
    <row r="1515" spans="2:13" x14ac:dyDescent="0.35">
      <c r="B1515" s="7" t="s">
        <v>114</v>
      </c>
      <c r="C1515" s="13">
        <v>1</v>
      </c>
      <c r="D1515" s="16">
        <v>3.1755118133634501</v>
      </c>
      <c r="E1515" s="16">
        <v>2.883561287821319</v>
      </c>
      <c r="F1515" s="16">
        <v>0.29195052554213108</v>
      </c>
      <c r="G1515" s="16">
        <v>0.55048042722045121</v>
      </c>
      <c r="H1515" s="16">
        <v>4.1580292205889366E-2</v>
      </c>
      <c r="I1515" s="16">
        <v>2.7895001324688562</v>
      </c>
      <c r="J1515" s="16">
        <v>2.9776224431737819</v>
      </c>
      <c r="K1515" s="16">
        <v>0.36429246012793781</v>
      </c>
      <c r="L1515" s="16">
        <v>2.0594744941029357</v>
      </c>
      <c r="M1515" s="16">
        <v>3.7076480815397024</v>
      </c>
    </row>
    <row r="1516" spans="2:13" x14ac:dyDescent="0.35">
      <c r="B1516" s="7" t="s">
        <v>115</v>
      </c>
      <c r="C1516" s="13">
        <v>1</v>
      </c>
      <c r="D1516" s="16">
        <v>2.6190933306267401</v>
      </c>
      <c r="E1516" s="16">
        <v>1.8352443305048609</v>
      </c>
      <c r="F1516" s="16">
        <v>0.78384900012187919</v>
      </c>
      <c r="G1516" s="16">
        <v>1.4779679935912535</v>
      </c>
      <c r="H1516" s="16">
        <v>4.9845751068493892E-2</v>
      </c>
      <c r="I1516" s="16">
        <v>1.7224854082804106</v>
      </c>
      <c r="J1516" s="16">
        <v>1.9480032527293112</v>
      </c>
      <c r="K1516" s="16">
        <v>0.36532817398295514</v>
      </c>
      <c r="L1516" s="16">
        <v>1.0088145892830043</v>
      </c>
      <c r="M1516" s="16">
        <v>2.6616740717267175</v>
      </c>
    </row>
    <row r="1517" spans="2:13" x14ac:dyDescent="0.35">
      <c r="B1517" s="7" t="s">
        <v>116</v>
      </c>
      <c r="C1517" s="13">
        <v>1</v>
      </c>
      <c r="D1517" s="16">
        <v>2.2624510897304302</v>
      </c>
      <c r="E1517" s="16">
        <v>2.9354372446951773</v>
      </c>
      <c r="F1517" s="16">
        <v>-0.67298615496474701</v>
      </c>
      <c r="G1517" s="16">
        <v>-1.2689331708189753</v>
      </c>
      <c r="H1517" s="16">
        <v>4.3300497874925709E-2</v>
      </c>
      <c r="I1517" s="16">
        <v>2.837484713787386</v>
      </c>
      <c r="J1517" s="16">
        <v>3.0333897756029686</v>
      </c>
      <c r="K1517" s="16">
        <v>0.36449281052217547</v>
      </c>
      <c r="L1517" s="16">
        <v>2.1108972268997723</v>
      </c>
      <c r="M1517" s="16">
        <v>3.7599772624905823</v>
      </c>
    </row>
    <row r="1518" spans="2:13" x14ac:dyDescent="0.35">
      <c r="B1518" s="7" t="s">
        <v>117</v>
      </c>
      <c r="C1518" s="13">
        <v>1</v>
      </c>
      <c r="D1518" s="16">
        <v>2.3424226808222102</v>
      </c>
      <c r="E1518" s="16">
        <v>1.7322980017537928</v>
      </c>
      <c r="F1518" s="16">
        <v>0.6101246790684175</v>
      </c>
      <c r="G1518" s="16">
        <v>1.1504061976516471</v>
      </c>
      <c r="H1518" s="16">
        <v>5.3154423765682926E-2</v>
      </c>
      <c r="I1518" s="16">
        <v>1.6120543419272177</v>
      </c>
      <c r="J1518" s="16">
        <v>1.8525416615803678</v>
      </c>
      <c r="K1518" s="16">
        <v>0.36579429816769948</v>
      </c>
      <c r="L1518" s="16">
        <v>0.9048138143741824</v>
      </c>
      <c r="M1518" s="16">
        <v>2.5597821891334034</v>
      </c>
    </row>
    <row r="1519" spans="2:13" x14ac:dyDescent="0.35">
      <c r="B1519" s="7" t="s">
        <v>118</v>
      </c>
      <c r="C1519" s="13">
        <v>1</v>
      </c>
      <c r="D1519" s="16">
        <v>3.23754373814287</v>
      </c>
      <c r="E1519" s="16">
        <v>3.0093467593315379</v>
      </c>
      <c r="F1519" s="16">
        <v>0.22819697881133183</v>
      </c>
      <c r="G1519" s="16">
        <v>0.43027143093239745</v>
      </c>
      <c r="H1519" s="16">
        <v>6.6182712638642213E-2</v>
      </c>
      <c r="I1519" s="16">
        <v>2.8596310626662556</v>
      </c>
      <c r="J1519" s="16">
        <v>3.1590624559968203</v>
      </c>
      <c r="K1519" s="16">
        <v>0.36791334204992771</v>
      </c>
      <c r="L1519" s="16">
        <v>2.1770689616805519</v>
      </c>
      <c r="M1519" s="16">
        <v>3.841624556982524</v>
      </c>
    </row>
    <row r="1520" spans="2:13" x14ac:dyDescent="0.35">
      <c r="B1520" s="7" t="s">
        <v>119</v>
      </c>
      <c r="C1520" s="13">
        <v>1</v>
      </c>
      <c r="D1520" s="16">
        <v>2.6263403673750401</v>
      </c>
      <c r="E1520" s="16">
        <v>2.7274802367791606</v>
      </c>
      <c r="F1520" s="16">
        <v>-0.1011398694041207</v>
      </c>
      <c r="G1520" s="16">
        <v>-0.19070189517629937</v>
      </c>
      <c r="H1520" s="16">
        <v>4.9002414238220257E-2</v>
      </c>
      <c r="I1520" s="16">
        <v>2.6166290749959797</v>
      </c>
      <c r="J1520" s="16">
        <v>2.8383313985623415</v>
      </c>
      <c r="K1520" s="16">
        <v>0.36521406381369292</v>
      </c>
      <c r="L1520" s="16">
        <v>1.9013086306926974</v>
      </c>
      <c r="M1520" s="16">
        <v>3.5536518428656239</v>
      </c>
    </row>
    <row r="1521" spans="2:13" x14ac:dyDescent="0.35">
      <c r="B1521" s="7" t="s">
        <v>120</v>
      </c>
      <c r="C1521" s="13">
        <v>1</v>
      </c>
      <c r="D1521" s="16">
        <v>0.69897000433601897</v>
      </c>
      <c r="E1521" s="16">
        <v>1.793112209519969</v>
      </c>
      <c r="F1521" s="16">
        <v>-1.09414220518395</v>
      </c>
      <c r="G1521" s="16">
        <v>-2.0630340275330981</v>
      </c>
      <c r="H1521" s="16">
        <v>4.8005829883444429E-2</v>
      </c>
      <c r="I1521" s="16">
        <v>1.6845154781614768</v>
      </c>
      <c r="J1521" s="16">
        <v>1.9017089408784611</v>
      </c>
      <c r="K1521" s="16">
        <v>0.36508168333803909</v>
      </c>
      <c r="L1521" s="16">
        <v>0.96724006887315339</v>
      </c>
      <c r="M1521" s="16">
        <v>2.6189843501667847</v>
      </c>
    </row>
    <row r="1522" spans="2:13" x14ac:dyDescent="0.35">
      <c r="B1522" s="7" t="s">
        <v>121</v>
      </c>
      <c r="C1522" s="13">
        <v>1</v>
      </c>
      <c r="D1522" s="16">
        <v>1.3979400086720399</v>
      </c>
      <c r="E1522" s="16">
        <v>2.5805169015720462</v>
      </c>
      <c r="F1522" s="16">
        <v>-1.1825768929000062</v>
      </c>
      <c r="G1522" s="16">
        <v>-2.2297799670536511</v>
      </c>
      <c r="H1522" s="16">
        <v>5.2535465213859725E-2</v>
      </c>
      <c r="I1522" s="16">
        <v>2.4616734232596245</v>
      </c>
      <c r="J1522" s="16">
        <v>2.6993603798844679</v>
      </c>
      <c r="K1522" s="16">
        <v>0.3657048685912927</v>
      </c>
      <c r="L1522" s="16">
        <v>1.7532350179482115</v>
      </c>
      <c r="M1522" s="16">
        <v>3.4077987851958809</v>
      </c>
    </row>
    <row r="1523" spans="2:13" x14ac:dyDescent="0.35">
      <c r="B1523" s="7" t="s">
        <v>122</v>
      </c>
      <c r="C1523" s="13">
        <v>1</v>
      </c>
      <c r="D1523" s="16">
        <v>2.3443922736851102</v>
      </c>
      <c r="E1523" s="16">
        <v>2.732812517675387</v>
      </c>
      <c r="F1523" s="16">
        <v>-0.38842024399027691</v>
      </c>
      <c r="G1523" s="16">
        <v>-0.73237662941621828</v>
      </c>
      <c r="H1523" s="16">
        <v>4.7210715505418242E-2</v>
      </c>
      <c r="I1523" s="16">
        <v>2.6260144599929762</v>
      </c>
      <c r="J1523" s="16">
        <v>2.8396105753577978</v>
      </c>
      <c r="K1523" s="16">
        <v>0.36497798216422805</v>
      </c>
      <c r="L1523" s="16">
        <v>1.9071749653804706</v>
      </c>
      <c r="M1523" s="16">
        <v>3.5584500699703034</v>
      </c>
    </row>
    <row r="1524" spans="2:13" x14ac:dyDescent="0.35">
      <c r="B1524" s="7" t="s">
        <v>123</v>
      </c>
      <c r="C1524" s="13">
        <v>1</v>
      </c>
      <c r="D1524" s="16">
        <v>2.1271047983648099</v>
      </c>
      <c r="E1524" s="16">
        <v>2.9697960307881854</v>
      </c>
      <c r="F1524" s="16">
        <v>-0.8426912324233754</v>
      </c>
      <c r="G1524" s="16">
        <v>-1.5889165767999462</v>
      </c>
      <c r="H1524" s="16">
        <v>5.4007943620053511E-2</v>
      </c>
      <c r="I1524" s="16">
        <v>2.8476215749195619</v>
      </c>
      <c r="J1524" s="16">
        <v>3.091970486656809</v>
      </c>
      <c r="K1524" s="16">
        <v>0.36591929954595859</v>
      </c>
      <c r="L1524" s="16">
        <v>2.1420290706468665</v>
      </c>
      <c r="M1524" s="16">
        <v>3.7975629909295043</v>
      </c>
    </row>
    <row r="1525" spans="2:13" x14ac:dyDescent="0.35">
      <c r="B1525" s="7" t="s">
        <v>124</v>
      </c>
      <c r="C1525" s="13">
        <v>1</v>
      </c>
      <c r="D1525" s="16">
        <v>3.1112625136590699</v>
      </c>
      <c r="E1525" s="16">
        <v>2.5219058346403642</v>
      </c>
      <c r="F1525" s="16">
        <v>0.58935667901870581</v>
      </c>
      <c r="G1525" s="16">
        <v>1.1112475850111989</v>
      </c>
      <c r="H1525" s="16">
        <v>5.0181878264266011E-2</v>
      </c>
      <c r="I1525" s="16">
        <v>2.4083865398763669</v>
      </c>
      <c r="J1525" s="16">
        <v>2.6354251294043616</v>
      </c>
      <c r="K1525" s="16">
        <v>0.36537418725502169</v>
      </c>
      <c r="L1525" s="16">
        <v>1.6953720041660634</v>
      </c>
      <c r="M1525" s="16">
        <v>3.3484396651146651</v>
      </c>
    </row>
    <row r="1526" spans="2:13" x14ac:dyDescent="0.35">
      <c r="B1526" s="7" t="s">
        <v>125</v>
      </c>
      <c r="C1526" s="13">
        <v>1</v>
      </c>
      <c r="D1526" s="16">
        <v>2.04139268515822</v>
      </c>
      <c r="E1526" s="16">
        <v>2.1824252660874062</v>
      </c>
      <c r="F1526" s="16">
        <v>-0.1410325809291863</v>
      </c>
      <c r="G1526" s="16">
        <v>-0.26592065644594226</v>
      </c>
      <c r="H1526" s="16">
        <v>3.8559561295496571E-2</v>
      </c>
      <c r="I1526" s="16">
        <v>2.0951974787650074</v>
      </c>
      <c r="J1526" s="16">
        <v>2.2696530534098049</v>
      </c>
      <c r="K1526" s="16">
        <v>0.36396004667193782</v>
      </c>
      <c r="L1526" s="16">
        <v>1.359090443845588</v>
      </c>
      <c r="M1526" s="16">
        <v>3.0057600883292244</v>
      </c>
    </row>
    <row r="1527" spans="2:13" x14ac:dyDescent="0.35">
      <c r="B1527" s="7" t="s">
        <v>126</v>
      </c>
      <c r="C1527" s="13">
        <v>1</v>
      </c>
      <c r="D1527" s="16">
        <v>3.1089031276673098</v>
      </c>
      <c r="E1527" s="16">
        <v>2.4422792034164322</v>
      </c>
      <c r="F1527" s="16">
        <v>0.66662392425087735</v>
      </c>
      <c r="G1527" s="16">
        <v>1.2569370167619052</v>
      </c>
      <c r="H1527" s="16">
        <v>3.5004937152242718E-2</v>
      </c>
      <c r="I1527" s="16">
        <v>2.3630925345186617</v>
      </c>
      <c r="J1527" s="16">
        <v>2.5214658723142027</v>
      </c>
      <c r="K1527" s="16">
        <v>0.36360063453075891</v>
      </c>
      <c r="L1527" s="16">
        <v>1.6197574279199229</v>
      </c>
      <c r="M1527" s="16">
        <v>3.2648009789129415</v>
      </c>
    </row>
    <row r="1528" spans="2:13" x14ac:dyDescent="0.35">
      <c r="B1528" s="7" t="s">
        <v>127</v>
      </c>
      <c r="C1528" s="13">
        <v>1</v>
      </c>
      <c r="D1528" s="16">
        <v>1.3664229572259701</v>
      </c>
      <c r="E1528" s="16">
        <v>1.7224162357796231</v>
      </c>
      <c r="F1528" s="16">
        <v>-0.35599327855365304</v>
      </c>
      <c r="G1528" s="16">
        <v>-0.67123472958963437</v>
      </c>
      <c r="H1528" s="16">
        <v>5.0265335963779537E-2</v>
      </c>
      <c r="I1528" s="16">
        <v>1.6087081465838686</v>
      </c>
      <c r="J1528" s="16">
        <v>1.8361243249753776</v>
      </c>
      <c r="K1528" s="16">
        <v>0.36538565900386638</v>
      </c>
      <c r="L1528" s="16">
        <v>0.89585645440663919</v>
      </c>
      <c r="M1528" s="16">
        <v>2.548976017152607</v>
      </c>
    </row>
    <row r="1529" spans="2:13" x14ac:dyDescent="0.35">
      <c r="B1529" s="7" t="s">
        <v>128</v>
      </c>
      <c r="C1529" s="13">
        <v>1</v>
      </c>
      <c r="D1529" s="16">
        <v>1.5797835966168099</v>
      </c>
      <c r="E1529" s="16">
        <v>1.8143955374695531</v>
      </c>
      <c r="F1529" s="16">
        <v>-0.23461194085274306</v>
      </c>
      <c r="G1529" s="16">
        <v>-0.44236701130034378</v>
      </c>
      <c r="H1529" s="16">
        <v>3.9400510195976193E-2</v>
      </c>
      <c r="I1529" s="16">
        <v>1.7252653915783442</v>
      </c>
      <c r="J1529" s="16">
        <v>1.9035256833607619</v>
      </c>
      <c r="K1529" s="16">
        <v>0.36405010096117441</v>
      </c>
      <c r="L1529" s="16">
        <v>0.99085699827336382</v>
      </c>
      <c r="M1529" s="16">
        <v>2.6379340766657422</v>
      </c>
    </row>
    <row r="1530" spans="2:13" x14ac:dyDescent="0.35">
      <c r="B1530" s="7" t="s">
        <v>129</v>
      </c>
      <c r="C1530" s="13">
        <v>1</v>
      </c>
      <c r="D1530" s="16">
        <v>0.95424250943932498</v>
      </c>
      <c r="E1530" s="16">
        <v>2.127323531525668</v>
      </c>
      <c r="F1530" s="16">
        <v>-1.173081022086343</v>
      </c>
      <c r="G1530" s="16">
        <v>-2.211875251819353</v>
      </c>
      <c r="H1530" s="16">
        <v>3.6701897765042034E-2</v>
      </c>
      <c r="I1530" s="16">
        <v>2.0442980710427601</v>
      </c>
      <c r="J1530" s="16">
        <v>2.2103489920085759</v>
      </c>
      <c r="K1530" s="16">
        <v>0.36376792753855253</v>
      </c>
      <c r="L1530" s="16">
        <v>1.3044233129552731</v>
      </c>
      <c r="M1530" s="16">
        <v>2.9502237500960629</v>
      </c>
    </row>
    <row r="1531" spans="2:13" x14ac:dyDescent="0.35">
      <c r="B1531" s="7" t="s">
        <v>130</v>
      </c>
      <c r="C1531" s="13">
        <v>1</v>
      </c>
      <c r="D1531" s="16">
        <v>2.5502283530550902</v>
      </c>
      <c r="E1531" s="16">
        <v>2.7741602984105302</v>
      </c>
      <c r="F1531" s="16">
        <v>-0.22393194535543998</v>
      </c>
      <c r="G1531" s="16">
        <v>-0.42222959769867013</v>
      </c>
      <c r="H1531" s="16">
        <v>3.9320712163391329E-2</v>
      </c>
      <c r="I1531" s="16">
        <v>2.6852106682093657</v>
      </c>
      <c r="J1531" s="16">
        <v>2.8631099286116948</v>
      </c>
      <c r="K1531" s="16">
        <v>0.3640414732021261</v>
      </c>
      <c r="L1531" s="16">
        <v>1.9506412765611687</v>
      </c>
      <c r="M1531" s="16">
        <v>3.5976793202598918</v>
      </c>
    </row>
    <row r="1532" spans="2:13" x14ac:dyDescent="0.35">
      <c r="B1532" s="7" t="s">
        <v>131</v>
      </c>
      <c r="C1532" s="13">
        <v>1</v>
      </c>
      <c r="D1532" s="16">
        <v>2.2671717284030102</v>
      </c>
      <c r="E1532" s="16">
        <v>2.3863293611691017</v>
      </c>
      <c r="F1532" s="16">
        <v>-0.11915763276609156</v>
      </c>
      <c r="G1532" s="16">
        <v>-0.22467486389980798</v>
      </c>
      <c r="H1532" s="16">
        <v>4.781865011485259E-2</v>
      </c>
      <c r="I1532" s="16">
        <v>2.2781560598626442</v>
      </c>
      <c r="J1532" s="16">
        <v>2.4945026624755591</v>
      </c>
      <c r="K1532" s="16">
        <v>0.36505711759250048</v>
      </c>
      <c r="L1532" s="16">
        <v>1.5605127920992248</v>
      </c>
      <c r="M1532" s="16">
        <v>3.2121459302389788</v>
      </c>
    </row>
    <row r="1533" spans="2:13" x14ac:dyDescent="0.35">
      <c r="B1533" s="7" t="s">
        <v>132</v>
      </c>
      <c r="C1533" s="13">
        <v>1</v>
      </c>
      <c r="D1533" s="16">
        <v>1.6901960800285103</v>
      </c>
      <c r="E1533" s="16">
        <v>1.684128517189408</v>
      </c>
      <c r="F1533" s="16">
        <v>6.067562839102353E-3</v>
      </c>
      <c r="G1533" s="16">
        <v>1.1440549996112248E-2</v>
      </c>
      <c r="H1533" s="16">
        <v>4.6433519789272806E-2</v>
      </c>
      <c r="I1533" s="16">
        <v>1.5790885983539691</v>
      </c>
      <c r="J1533" s="16">
        <v>1.789168436024847</v>
      </c>
      <c r="K1533" s="16">
        <v>0.36487826403632051</v>
      </c>
      <c r="L1533" s="16">
        <v>0.85871654297061795</v>
      </c>
      <c r="M1533" s="16">
        <v>2.509540491408198</v>
      </c>
    </row>
    <row r="1534" spans="2:13" x14ac:dyDescent="0.35">
      <c r="B1534" s="7" t="s">
        <v>133</v>
      </c>
      <c r="C1534" s="13">
        <v>1</v>
      </c>
      <c r="D1534" s="16">
        <v>1.90308998699194</v>
      </c>
      <c r="E1534" s="16">
        <v>2.0368827392762108</v>
      </c>
      <c r="F1534" s="16">
        <v>-0.13379275228427093</v>
      </c>
      <c r="G1534" s="16">
        <v>-0.25226976830982634</v>
      </c>
      <c r="H1534" s="16">
        <v>3.6304977443986371E-2</v>
      </c>
      <c r="I1534" s="16">
        <v>1.9547551749359393</v>
      </c>
      <c r="J1534" s="16">
        <v>2.119010303616482</v>
      </c>
      <c r="K1534" s="16">
        <v>0.36372809513886389</v>
      </c>
      <c r="L1534" s="16">
        <v>1.2140726278536111</v>
      </c>
      <c r="M1534" s="16">
        <v>2.8596928506988104</v>
      </c>
    </row>
    <row r="1535" spans="2:13" x14ac:dyDescent="0.35">
      <c r="B1535" s="7" t="s">
        <v>134</v>
      </c>
      <c r="C1535" s="13">
        <v>1</v>
      </c>
      <c r="D1535" s="16">
        <v>2.85369821177617</v>
      </c>
      <c r="E1535" s="16">
        <v>2.7727121788167457</v>
      </c>
      <c r="F1535" s="16">
        <v>8.0986032959424248E-2</v>
      </c>
      <c r="G1535" s="16">
        <v>0.15270130423505585</v>
      </c>
      <c r="H1535" s="16">
        <v>4.6783786784644725E-2</v>
      </c>
      <c r="I1535" s="16">
        <v>2.6668799009929818</v>
      </c>
      <c r="J1535" s="16">
        <v>2.8785444566405096</v>
      </c>
      <c r="K1535" s="16">
        <v>0.36492300353917007</v>
      </c>
      <c r="L1535" s="16">
        <v>1.9471989968116543</v>
      </c>
      <c r="M1535" s="16">
        <v>3.5982253608218371</v>
      </c>
    </row>
    <row r="1536" spans="2:13" x14ac:dyDescent="0.35">
      <c r="B1536" s="7" t="s">
        <v>135</v>
      </c>
      <c r="C1536" s="13">
        <v>1</v>
      </c>
      <c r="D1536" s="16">
        <v>1.8195439355418701</v>
      </c>
      <c r="E1536" s="16">
        <v>1.7423564581615132</v>
      </c>
      <c r="F1536" s="16">
        <v>7.7187477380356903E-2</v>
      </c>
      <c r="G1536" s="16">
        <v>0.14553902735919569</v>
      </c>
      <c r="H1536" s="16">
        <v>4.3539753531925948E-2</v>
      </c>
      <c r="I1536" s="16">
        <v>1.6438626933583316</v>
      </c>
      <c r="J1536" s="16">
        <v>1.8408502229646948</v>
      </c>
      <c r="K1536" s="16">
        <v>0.36452131068534105</v>
      </c>
      <c r="L1536" s="16">
        <v>0.91775196851819962</v>
      </c>
      <c r="M1536" s="16">
        <v>2.5669609478048265</v>
      </c>
    </row>
    <row r="1537" spans="2:13" x14ac:dyDescent="0.35">
      <c r="B1537" s="7" t="s">
        <v>136</v>
      </c>
      <c r="C1537" s="13">
        <v>1</v>
      </c>
      <c r="D1537" s="16">
        <v>2.2121876044039599</v>
      </c>
      <c r="E1537" s="16">
        <v>2.6056714054346588</v>
      </c>
      <c r="F1537" s="16">
        <v>-0.39348380103069902</v>
      </c>
      <c r="G1537" s="16">
        <v>-0.74192409996003972</v>
      </c>
      <c r="H1537" s="16">
        <v>6.375879351375642E-2</v>
      </c>
      <c r="I1537" s="16">
        <v>2.46143899475108</v>
      </c>
      <c r="J1537" s="16">
        <v>2.7499038161182376</v>
      </c>
      <c r="K1537" s="16">
        <v>0.36748504671138366</v>
      </c>
      <c r="L1537" s="16">
        <v>1.774362479146482</v>
      </c>
      <c r="M1537" s="16">
        <v>3.4369803317228356</v>
      </c>
    </row>
    <row r="1538" spans="2:13" x14ac:dyDescent="0.35">
      <c r="B1538" s="7" t="s">
        <v>137</v>
      </c>
      <c r="C1538" s="13">
        <v>1</v>
      </c>
      <c r="D1538" s="16">
        <v>2.6434526764861901</v>
      </c>
      <c r="E1538" s="16">
        <v>2.5050890916968132</v>
      </c>
      <c r="F1538" s="16">
        <v>0.1383635847893771</v>
      </c>
      <c r="G1538" s="16">
        <v>0.26088819372794009</v>
      </c>
      <c r="H1538" s="16">
        <v>4.5701811738223838E-2</v>
      </c>
      <c r="I1538" s="16">
        <v>2.4017044114614681</v>
      </c>
      <c r="J1538" s="16">
        <v>2.6084737719321582</v>
      </c>
      <c r="K1538" s="16">
        <v>0.36478587061767359</v>
      </c>
      <c r="L1538" s="16">
        <v>1.6798861259107167</v>
      </c>
      <c r="M1538" s="16">
        <v>3.3302920574829096</v>
      </c>
    </row>
    <row r="1539" spans="2:13" x14ac:dyDescent="0.35">
      <c r="B1539" s="7" t="s">
        <v>138</v>
      </c>
      <c r="C1539" s="13">
        <v>1</v>
      </c>
      <c r="D1539" s="16">
        <v>1.4771212547196599</v>
      </c>
      <c r="E1539" s="16">
        <v>1.7589162670842415</v>
      </c>
      <c r="F1539" s="16">
        <v>-0.2817950123645816</v>
      </c>
      <c r="G1539" s="16">
        <v>-0.53133193888586305</v>
      </c>
      <c r="H1539" s="16">
        <v>4.9163795129825022E-2</v>
      </c>
      <c r="I1539" s="16">
        <v>1.6477000363630891</v>
      </c>
      <c r="J1539" s="16">
        <v>1.8701324978053939</v>
      </c>
      <c r="K1539" s="16">
        <v>0.36523575202559982</v>
      </c>
      <c r="L1539" s="16">
        <v>0.93269559885412179</v>
      </c>
      <c r="M1539" s="16">
        <v>2.5851369353143614</v>
      </c>
    </row>
    <row r="1540" spans="2:13" x14ac:dyDescent="0.35">
      <c r="B1540" s="7" t="s">
        <v>139</v>
      </c>
      <c r="C1540" s="13">
        <v>1</v>
      </c>
      <c r="D1540" s="16">
        <v>1.43136376415899</v>
      </c>
      <c r="E1540" s="16">
        <v>1.9971764324996499</v>
      </c>
      <c r="F1540" s="16">
        <v>-0.56581266834065991</v>
      </c>
      <c r="G1540" s="16">
        <v>-1.0668547310080527</v>
      </c>
      <c r="H1540" s="16">
        <v>3.4208195924722948E-2</v>
      </c>
      <c r="I1540" s="16">
        <v>1.9197921174671762</v>
      </c>
      <c r="J1540" s="16">
        <v>2.0745607475321237</v>
      </c>
      <c r="K1540" s="16">
        <v>0.36352479485526468</v>
      </c>
      <c r="L1540" s="16">
        <v>1.1748262182673861</v>
      </c>
      <c r="M1540" s="16">
        <v>2.819526646731914</v>
      </c>
    </row>
    <row r="1541" spans="2:13" x14ac:dyDescent="0.35">
      <c r="B1541" s="7" t="s">
        <v>140</v>
      </c>
      <c r="C1541" s="13">
        <v>1</v>
      </c>
      <c r="D1541" s="16">
        <v>1.4771212547196599</v>
      </c>
      <c r="E1541" s="16">
        <v>1.8440070916064675</v>
      </c>
      <c r="F1541" s="16">
        <v>-0.36688583688680754</v>
      </c>
      <c r="G1541" s="16">
        <v>-0.6917729360327437</v>
      </c>
      <c r="H1541" s="16">
        <v>4.0627082624322151E-2</v>
      </c>
      <c r="I1541" s="16">
        <v>1.7521022461253082</v>
      </c>
      <c r="J1541" s="16">
        <v>1.9359119370876268</v>
      </c>
      <c r="K1541" s="16">
        <v>0.36418489212033711</v>
      </c>
      <c r="L1541" s="16">
        <v>1.0201636336256925</v>
      </c>
      <c r="M1541" s="16">
        <v>2.6678505495872424</v>
      </c>
    </row>
    <row r="1542" spans="2:13" x14ac:dyDescent="0.35">
      <c r="B1542" s="7" t="s">
        <v>141</v>
      </c>
      <c r="C1542" s="13">
        <v>1</v>
      </c>
      <c r="D1542" s="16">
        <v>1.79865064544527</v>
      </c>
      <c r="E1542" s="16">
        <v>2.1324637540425062</v>
      </c>
      <c r="F1542" s="16">
        <v>-0.33381310859723623</v>
      </c>
      <c r="G1542" s="16">
        <v>-0.6294134332903456</v>
      </c>
      <c r="H1542" s="16">
        <v>3.5624884826453387E-2</v>
      </c>
      <c r="I1542" s="16">
        <v>2.0518746660803004</v>
      </c>
      <c r="J1542" s="16">
        <v>2.213052842004712</v>
      </c>
      <c r="K1542" s="16">
        <v>0.36366084230369938</v>
      </c>
      <c r="L1542" s="16">
        <v>1.3098057791018962</v>
      </c>
      <c r="M1542" s="16">
        <v>2.9551217289831162</v>
      </c>
    </row>
    <row r="1543" spans="2:13" x14ac:dyDescent="0.35">
      <c r="B1543" s="7" t="s">
        <v>142</v>
      </c>
      <c r="C1543" s="13">
        <v>1</v>
      </c>
      <c r="D1543" s="16">
        <v>2.17318626841227</v>
      </c>
      <c r="E1543" s="16">
        <v>2.1366324300784281</v>
      </c>
      <c r="F1543" s="16">
        <v>3.6553838333841973E-2</v>
      </c>
      <c r="G1543" s="16">
        <v>6.8923227677686869E-2</v>
      </c>
      <c r="H1543" s="16">
        <v>3.3498904274936098E-2</v>
      </c>
      <c r="I1543" s="16">
        <v>2.0608526442236341</v>
      </c>
      <c r="J1543" s="16">
        <v>2.212412215933222</v>
      </c>
      <c r="K1543" s="16">
        <v>0.36345873547592633</v>
      </c>
      <c r="L1543" s="16">
        <v>1.3144316525435222</v>
      </c>
      <c r="M1543" s="16">
        <v>2.9588332076133339</v>
      </c>
    </row>
    <row r="1544" spans="2:13" x14ac:dyDescent="0.35">
      <c r="B1544" s="7" t="s">
        <v>143</v>
      </c>
      <c r="C1544" s="13">
        <v>1</v>
      </c>
      <c r="D1544" s="16">
        <v>0.89762709129044094</v>
      </c>
      <c r="E1544" s="16">
        <v>1.9025129749826235</v>
      </c>
      <c r="F1544" s="16">
        <v>-1.0048858836921826</v>
      </c>
      <c r="G1544" s="16">
        <v>-1.8947388758265684</v>
      </c>
      <c r="H1544" s="16">
        <v>3.8950133494544265E-2</v>
      </c>
      <c r="I1544" s="16">
        <v>1.8144016519671835</v>
      </c>
      <c r="J1544" s="16">
        <v>1.9906242979980635</v>
      </c>
      <c r="K1544" s="16">
        <v>0.36400163283339937</v>
      </c>
      <c r="L1544" s="16">
        <v>1.079084078308274</v>
      </c>
      <c r="M1544" s="16">
        <v>2.725941871656973</v>
      </c>
    </row>
    <row r="1545" spans="2:13" x14ac:dyDescent="0.35">
      <c r="B1545" s="7" t="s">
        <v>144</v>
      </c>
      <c r="C1545" s="13">
        <v>1</v>
      </c>
      <c r="D1545" s="16">
        <v>1.91381385238372</v>
      </c>
      <c r="E1545" s="16">
        <v>2.1400457450209212</v>
      </c>
      <c r="F1545" s="16">
        <v>-0.22623189263720114</v>
      </c>
      <c r="G1545" s="16">
        <v>-0.42656620904710796</v>
      </c>
      <c r="H1545" s="16">
        <v>3.7166822056154472E-2</v>
      </c>
      <c r="I1545" s="16">
        <v>2.0559685527282192</v>
      </c>
      <c r="J1545" s="16">
        <v>2.2241229373136231</v>
      </c>
      <c r="K1545" s="16">
        <v>0.36381512952032646</v>
      </c>
      <c r="L1545" s="16">
        <v>1.3170387481499168</v>
      </c>
      <c r="M1545" s="16">
        <v>2.9630527418919255</v>
      </c>
    </row>
    <row r="1546" spans="2:13" x14ac:dyDescent="0.35">
      <c r="B1546" s="7" t="s">
        <v>145</v>
      </c>
      <c r="C1546" s="13">
        <v>1</v>
      </c>
      <c r="D1546" s="16">
        <v>2.6901960800285099</v>
      </c>
      <c r="E1546" s="16">
        <v>2.0535953429663536</v>
      </c>
      <c r="F1546" s="16">
        <v>0.63660073706215647</v>
      </c>
      <c r="G1546" s="16">
        <v>1.2003275043129142</v>
      </c>
      <c r="H1546" s="16">
        <v>4.4379410102873662E-2</v>
      </c>
      <c r="I1546" s="16">
        <v>1.953202143046854</v>
      </c>
      <c r="J1546" s="16">
        <v>2.1539885428858532</v>
      </c>
      <c r="K1546" s="16">
        <v>0.36462255531880783</v>
      </c>
      <c r="L1546" s="16">
        <v>1.2287618220514469</v>
      </c>
      <c r="M1546" s="16">
        <v>2.8784288638812603</v>
      </c>
    </row>
    <row r="1547" spans="2:13" x14ac:dyDescent="0.35">
      <c r="B1547" s="7" t="s">
        <v>146</v>
      </c>
      <c r="C1547" s="13">
        <v>1</v>
      </c>
      <c r="D1547" s="16">
        <v>2.4183012913197501</v>
      </c>
      <c r="E1547" s="16">
        <v>2.6252824388091338</v>
      </c>
      <c r="F1547" s="16">
        <v>-0.20698114748938351</v>
      </c>
      <c r="G1547" s="16">
        <v>-0.39026842059954647</v>
      </c>
      <c r="H1547" s="16">
        <v>6.4489812978147834E-2</v>
      </c>
      <c r="I1547" s="16">
        <v>2.4793963472166927</v>
      </c>
      <c r="J1547" s="16">
        <v>2.771168530401575</v>
      </c>
      <c r="K1547" s="16">
        <v>0.36761258382173828</v>
      </c>
      <c r="L1547" s="16">
        <v>1.7936850035347558</v>
      </c>
      <c r="M1547" s="16">
        <v>3.456879874083512</v>
      </c>
    </row>
    <row r="1548" spans="2:13" x14ac:dyDescent="0.35">
      <c r="B1548" s="7" t="s">
        <v>147</v>
      </c>
      <c r="C1548" s="13">
        <v>1</v>
      </c>
      <c r="D1548" s="16">
        <v>1.6020599913279601</v>
      </c>
      <c r="E1548" s="16">
        <v>2.1442320413082854</v>
      </c>
      <c r="F1548" s="16">
        <v>-0.5421720499803252</v>
      </c>
      <c r="G1548" s="16">
        <v>-1.0222797206682452</v>
      </c>
      <c r="H1548" s="16">
        <v>3.4427677627978145E-2</v>
      </c>
      <c r="I1548" s="16">
        <v>2.0663512241712887</v>
      </c>
      <c r="J1548" s="16">
        <v>2.2221128584452821</v>
      </c>
      <c r="K1548" s="16">
        <v>0.36354551405978597</v>
      </c>
      <c r="L1548" s="16">
        <v>1.3218349569793517</v>
      </c>
      <c r="M1548" s="16">
        <v>2.966629125637219</v>
      </c>
    </row>
    <row r="1549" spans="2:13" x14ac:dyDescent="0.35">
      <c r="B1549" s="7" t="s">
        <v>148</v>
      </c>
      <c r="C1549" s="13">
        <v>1</v>
      </c>
      <c r="D1549" s="16">
        <v>1.98136550907854</v>
      </c>
      <c r="E1549" s="16">
        <v>2.163458331442166</v>
      </c>
      <c r="F1549" s="16">
        <v>-0.18209282236362589</v>
      </c>
      <c r="G1549" s="16">
        <v>-0.34334082619776335</v>
      </c>
      <c r="H1549" s="16">
        <v>3.7047613732688445E-2</v>
      </c>
      <c r="I1549" s="16">
        <v>2.0796508071108466</v>
      </c>
      <c r="J1549" s="16">
        <v>2.2472658557734855</v>
      </c>
      <c r="K1549" s="16">
        <v>0.36380297069900974</v>
      </c>
      <c r="L1549" s="16">
        <v>1.3404788397357508</v>
      </c>
      <c r="M1549" s="16">
        <v>2.9864378231485813</v>
      </c>
    </row>
    <row r="1550" spans="2:13" x14ac:dyDescent="0.35">
      <c r="B1550" s="7" t="s">
        <v>149</v>
      </c>
      <c r="C1550" s="13">
        <v>1</v>
      </c>
      <c r="D1550" s="16">
        <v>2.5051499783199098</v>
      </c>
      <c r="E1550" s="16">
        <v>2.5244663225191841</v>
      </c>
      <c r="F1550" s="16">
        <v>-1.931634419927419E-2</v>
      </c>
      <c r="G1550" s="16">
        <v>-3.6421477191755432E-2</v>
      </c>
      <c r="H1550" s="16">
        <v>5.5214751937989914E-2</v>
      </c>
      <c r="I1550" s="16">
        <v>2.3995618765843054</v>
      </c>
      <c r="J1550" s="16">
        <v>2.6493707684540628</v>
      </c>
      <c r="K1550" s="16">
        <v>0.3660993644322697</v>
      </c>
      <c r="L1550" s="16">
        <v>1.6962920273076603</v>
      </c>
      <c r="M1550" s="16">
        <v>3.352640617730708</v>
      </c>
    </row>
    <row r="1551" spans="2:13" x14ac:dyDescent="0.35">
      <c r="B1551" s="7" t="s">
        <v>150</v>
      </c>
      <c r="C1551" s="13">
        <v>1</v>
      </c>
      <c r="D1551" s="16">
        <v>2.6020599913279598</v>
      </c>
      <c r="E1551" s="16">
        <v>2.5989837483769973</v>
      </c>
      <c r="F1551" s="16">
        <v>3.0762429509624402E-3</v>
      </c>
      <c r="G1551" s="16">
        <v>5.8003373370716224E-3</v>
      </c>
      <c r="H1551" s="16">
        <v>4.249862452112841E-2</v>
      </c>
      <c r="I1551" s="16">
        <v>2.5028451810106609</v>
      </c>
      <c r="J1551" s="16">
        <v>2.6951223157433337</v>
      </c>
      <c r="K1551" s="16">
        <v>0.36439842054038313</v>
      </c>
      <c r="L1551" s="16">
        <v>1.7746572555538824</v>
      </c>
      <c r="M1551" s="16">
        <v>3.4233102412001122</v>
      </c>
    </row>
    <row r="1552" spans="2:13" x14ac:dyDescent="0.35">
      <c r="B1552" s="7" t="s">
        <v>151</v>
      </c>
      <c r="C1552" s="13">
        <v>1</v>
      </c>
      <c r="D1552" s="16">
        <v>1.86923171973098</v>
      </c>
      <c r="E1552" s="16">
        <v>1.7449860132853681</v>
      </c>
      <c r="F1552" s="16">
        <v>0.12424570644561198</v>
      </c>
      <c r="G1552" s="16">
        <v>0.23426856121420905</v>
      </c>
      <c r="H1552" s="16">
        <v>4.4617485745143064E-2</v>
      </c>
      <c r="I1552" s="16">
        <v>1.64405424884924</v>
      </c>
      <c r="J1552" s="16">
        <v>1.8459177777214961</v>
      </c>
      <c r="K1552" s="16">
        <v>0.36465160885474796</v>
      </c>
      <c r="L1552" s="16">
        <v>0.92008676870637396</v>
      </c>
      <c r="M1552" s="16">
        <v>2.5698852578643621</v>
      </c>
    </row>
    <row r="1553" spans="2:13" x14ac:dyDescent="0.35">
      <c r="B1553" s="7" t="s">
        <v>152</v>
      </c>
      <c r="C1553" s="13">
        <v>1</v>
      </c>
      <c r="D1553" s="16">
        <v>2.53147891704225</v>
      </c>
      <c r="E1553" s="16">
        <v>2.0310431878911888</v>
      </c>
      <c r="F1553" s="16">
        <v>0.50043572915106138</v>
      </c>
      <c r="G1553" s="16">
        <v>0.94358478536014823</v>
      </c>
      <c r="H1553" s="16">
        <v>3.9716950580227228E-2</v>
      </c>
      <c r="I1553" s="16">
        <v>1.9411972041218946</v>
      </c>
      <c r="J1553" s="16">
        <v>2.1208891716604827</v>
      </c>
      <c r="K1553" s="16">
        <v>0.36408448465916571</v>
      </c>
      <c r="L1553" s="16">
        <v>1.2074268673667121</v>
      </c>
      <c r="M1553" s="16">
        <v>2.8546595084156654</v>
      </c>
    </row>
    <row r="1554" spans="2:13" x14ac:dyDescent="0.35">
      <c r="B1554" s="7" t="s">
        <v>153</v>
      </c>
      <c r="C1554" s="13">
        <v>1</v>
      </c>
      <c r="D1554" s="16">
        <v>1.5563025007672899</v>
      </c>
      <c r="E1554" s="16">
        <v>2.0905448184295135</v>
      </c>
      <c r="F1554" s="16">
        <v>-0.53424231766222341</v>
      </c>
      <c r="G1554" s="16">
        <v>-1.0073280009338599</v>
      </c>
      <c r="H1554" s="16">
        <v>3.1879065834064572E-2</v>
      </c>
      <c r="I1554" s="16">
        <v>2.0184293616871334</v>
      </c>
      <c r="J1554" s="16">
        <v>2.1626602751718935</v>
      </c>
      <c r="K1554" s="16">
        <v>0.36331302019689671</v>
      </c>
      <c r="L1554" s="16">
        <v>1.2686736717550684</v>
      </c>
      <c r="M1554" s="16">
        <v>2.9124159651039587</v>
      </c>
    </row>
    <row r="1555" spans="2:13" x14ac:dyDescent="0.35">
      <c r="B1555" s="7" t="s">
        <v>154</v>
      </c>
      <c r="C1555" s="13">
        <v>1</v>
      </c>
      <c r="D1555" s="16">
        <v>1.76342799356294</v>
      </c>
      <c r="E1555" s="16">
        <v>1.8791170928589984</v>
      </c>
      <c r="F1555" s="16">
        <v>-0.11568909929605839</v>
      </c>
      <c r="G1555" s="16">
        <v>-0.21813485242743005</v>
      </c>
      <c r="H1555" s="16">
        <v>5.0328042791242734E-2</v>
      </c>
      <c r="I1555" s="16">
        <v>1.7652671509650841</v>
      </c>
      <c r="J1555" s="16">
        <v>1.9929670347529127</v>
      </c>
      <c r="K1555" s="16">
        <v>0.36539429072898116</v>
      </c>
      <c r="L1555" s="16">
        <v>1.052537785167321</v>
      </c>
      <c r="M1555" s="16">
        <v>2.7056964005506758</v>
      </c>
    </row>
    <row r="1556" spans="2:13" x14ac:dyDescent="0.35">
      <c r="B1556" s="7" t="s">
        <v>155</v>
      </c>
      <c r="C1556" s="13">
        <v>1</v>
      </c>
      <c r="D1556" s="16">
        <v>1.4471580313422201</v>
      </c>
      <c r="E1556" s="16">
        <v>1.8623680307525312</v>
      </c>
      <c r="F1556" s="16">
        <v>-0.41520999941031117</v>
      </c>
      <c r="G1556" s="16">
        <v>-0.78288942086047864</v>
      </c>
      <c r="H1556" s="16">
        <v>4.918292180626254E-2</v>
      </c>
      <c r="I1556" s="16">
        <v>1.7511085324835016</v>
      </c>
      <c r="J1556" s="16">
        <v>1.9736275290215608</v>
      </c>
      <c r="K1556" s="16">
        <v>0.365238327128382</v>
      </c>
      <c r="L1556" s="16">
        <v>1.0361415372352383</v>
      </c>
      <c r="M1556" s="16">
        <v>2.6885945242698241</v>
      </c>
    </row>
    <row r="1557" spans="2:13" x14ac:dyDescent="0.35">
      <c r="B1557" s="7" t="s">
        <v>156</v>
      </c>
      <c r="C1557" s="13">
        <v>1</v>
      </c>
      <c r="D1557" s="16">
        <v>2.1139433523068401</v>
      </c>
      <c r="E1557" s="16">
        <v>2.6256260983945308</v>
      </c>
      <c r="F1557" s="16">
        <v>-0.51168274608769082</v>
      </c>
      <c r="G1557" s="16">
        <v>-0.96479133286245089</v>
      </c>
      <c r="H1557" s="16">
        <v>4.1532133042972728E-2</v>
      </c>
      <c r="I1557" s="16">
        <v>2.531673886636844</v>
      </c>
      <c r="J1557" s="16">
        <v>2.7195783101522175</v>
      </c>
      <c r="K1557" s="16">
        <v>0.36428696638946229</v>
      </c>
      <c r="L1557" s="16">
        <v>1.8015517323759256</v>
      </c>
      <c r="M1557" s="16">
        <v>3.4497004644131359</v>
      </c>
    </row>
    <row r="1558" spans="2:13" x14ac:dyDescent="0.35">
      <c r="B1558" s="7" t="s">
        <v>157</v>
      </c>
      <c r="C1558" s="13">
        <v>1</v>
      </c>
      <c r="D1558" s="16">
        <v>2.2900346113625201</v>
      </c>
      <c r="E1558" s="16">
        <v>2.616371249157722</v>
      </c>
      <c r="F1558" s="16">
        <v>-0.32633663779520183</v>
      </c>
      <c r="G1558" s="16">
        <v>-0.61531635011653507</v>
      </c>
      <c r="H1558" s="16">
        <v>5.5875398024134375E-2</v>
      </c>
      <c r="I1558" s="16">
        <v>2.4899723179548192</v>
      </c>
      <c r="J1558" s="16">
        <v>2.7427701803606248</v>
      </c>
      <c r="K1558" s="16">
        <v>0.36619958480382447</v>
      </c>
      <c r="L1558" s="16">
        <v>1.7879702397160138</v>
      </c>
      <c r="M1558" s="16">
        <v>3.4447722585994303</v>
      </c>
    </row>
    <row r="1559" spans="2:13" x14ac:dyDescent="0.35">
      <c r="B1559" s="7" t="s">
        <v>158</v>
      </c>
      <c r="C1559" s="13">
        <v>1</v>
      </c>
      <c r="D1559" s="16">
        <v>1.91907809237607</v>
      </c>
      <c r="E1559" s="16">
        <v>2.0452690841415797</v>
      </c>
      <c r="F1559" s="16">
        <v>-0.12619099176550969</v>
      </c>
      <c r="G1559" s="16">
        <v>-0.2379364480658408</v>
      </c>
      <c r="H1559" s="16">
        <v>3.8550603772691365E-2</v>
      </c>
      <c r="I1559" s="16">
        <v>1.9580615601434495</v>
      </c>
      <c r="J1559" s="16">
        <v>2.1324766081397097</v>
      </c>
      <c r="K1559" s="16">
        <v>0.36395909778074942</v>
      </c>
      <c r="L1559" s="16">
        <v>1.2219364084407487</v>
      </c>
      <c r="M1559" s="16">
        <v>2.8686017598424107</v>
      </c>
    </row>
    <row r="1560" spans="2:13" x14ac:dyDescent="0.35">
      <c r="B1560" s="7" t="s">
        <v>159</v>
      </c>
      <c r="C1560" s="13">
        <v>1</v>
      </c>
      <c r="D1560" s="16">
        <v>1.94448267215017</v>
      </c>
      <c r="E1560" s="16">
        <v>2.2123589709108318</v>
      </c>
      <c r="F1560" s="16">
        <v>-0.26787629876066199</v>
      </c>
      <c r="G1560" s="16">
        <v>-0.50508783674966373</v>
      </c>
      <c r="H1560" s="16">
        <v>5.240824789900525E-2</v>
      </c>
      <c r="I1560" s="16">
        <v>2.0938032781569338</v>
      </c>
      <c r="J1560" s="16">
        <v>2.3309146636647298</v>
      </c>
      <c r="K1560" s="16">
        <v>0.36568661481380699</v>
      </c>
      <c r="L1560" s="16">
        <v>1.3851183802002685</v>
      </c>
      <c r="M1560" s="16">
        <v>3.0395995616213951</v>
      </c>
    </row>
    <row r="1561" spans="2:13" x14ac:dyDescent="0.35">
      <c r="B1561" s="7" t="s">
        <v>160</v>
      </c>
      <c r="C1561" s="13">
        <v>1</v>
      </c>
      <c r="D1561" s="16">
        <v>2.80482067872116</v>
      </c>
      <c r="E1561" s="16">
        <v>2.4521812767566136</v>
      </c>
      <c r="F1561" s="16">
        <v>0.35263940196454635</v>
      </c>
      <c r="G1561" s="16">
        <v>0.664910906694684</v>
      </c>
      <c r="H1561" s="16">
        <v>5.8317337435313907E-2</v>
      </c>
      <c r="I1561" s="16">
        <v>2.3202582948525059</v>
      </c>
      <c r="J1561" s="16">
        <v>2.5841042586607212</v>
      </c>
      <c r="K1561" s="16">
        <v>0.36658012446350979</v>
      </c>
      <c r="L1561" s="16">
        <v>1.6229194268025253</v>
      </c>
      <c r="M1561" s="16">
        <v>3.2814431267107018</v>
      </c>
    </row>
    <row r="1562" spans="2:13" x14ac:dyDescent="0.35">
      <c r="B1562" s="7" t="s">
        <v>161</v>
      </c>
      <c r="C1562" s="13">
        <v>1</v>
      </c>
      <c r="D1562" s="16">
        <v>1.72427586960079</v>
      </c>
      <c r="E1562" s="16">
        <v>2.01508700355184</v>
      </c>
      <c r="F1562" s="16">
        <v>-0.29081113395104985</v>
      </c>
      <c r="G1562" s="16">
        <v>-0.54833207428063335</v>
      </c>
      <c r="H1562" s="16">
        <v>4.2327768615995458E-2</v>
      </c>
      <c r="I1562" s="16">
        <v>1.9193349390930834</v>
      </c>
      <c r="J1562" s="16">
        <v>2.1108390680105966</v>
      </c>
      <c r="K1562" s="16">
        <v>0.3643785336736336</v>
      </c>
      <c r="L1562" s="16">
        <v>1.1908054979465528</v>
      </c>
      <c r="M1562" s="16">
        <v>2.8393685091571275</v>
      </c>
    </row>
    <row r="1563" spans="2:13" x14ac:dyDescent="0.35">
      <c r="B1563" s="7" t="s">
        <v>162</v>
      </c>
      <c r="C1563" s="13">
        <v>1</v>
      </c>
      <c r="D1563" s="16">
        <v>1.2041199826559199</v>
      </c>
      <c r="E1563" s="16">
        <v>1.5845854514919508</v>
      </c>
      <c r="F1563" s="16">
        <v>-0.38046546883603088</v>
      </c>
      <c r="G1563" s="16">
        <v>-0.71737769075282465</v>
      </c>
      <c r="H1563" s="16">
        <v>6.9584495623862652E-2</v>
      </c>
      <c r="I1563" s="16">
        <v>1.4271743871206459</v>
      </c>
      <c r="J1563" s="16">
        <v>1.7419965158632558</v>
      </c>
      <c r="K1563" s="16">
        <v>0.36854046974160842</v>
      </c>
      <c r="L1563" s="16">
        <v>0.75088899244866558</v>
      </c>
      <c r="M1563" s="16">
        <v>2.418281910535236</v>
      </c>
    </row>
    <row r="1564" spans="2:13" x14ac:dyDescent="0.35">
      <c r="B1564" s="7" t="s">
        <v>163</v>
      </c>
      <c r="C1564" s="13">
        <v>1</v>
      </c>
      <c r="D1564" s="16">
        <v>2.1789769472931702</v>
      </c>
      <c r="E1564" s="16">
        <v>2.2491398745171671</v>
      </c>
      <c r="F1564" s="16">
        <v>-7.016292722399689E-2</v>
      </c>
      <c r="G1564" s="16">
        <v>-0.13229405249941753</v>
      </c>
      <c r="H1564" s="16">
        <v>3.7908720316857852E-2</v>
      </c>
      <c r="I1564" s="16">
        <v>2.1633843917687323</v>
      </c>
      <c r="J1564" s="16">
        <v>2.3348953572656019</v>
      </c>
      <c r="K1564" s="16">
        <v>0.36389166915745652</v>
      </c>
      <c r="L1564" s="16">
        <v>1.4259597329586975</v>
      </c>
      <c r="M1564" s="16">
        <v>3.0723200160756368</v>
      </c>
    </row>
    <row r="1565" spans="2:13" x14ac:dyDescent="0.35">
      <c r="B1565" s="7" t="s">
        <v>164</v>
      </c>
      <c r="C1565" s="13">
        <v>1</v>
      </c>
      <c r="D1565" s="16">
        <v>2.2041199826559201</v>
      </c>
      <c r="E1565" s="16">
        <v>2.3960162757780856</v>
      </c>
      <c r="F1565" s="16">
        <v>-0.19189629312216538</v>
      </c>
      <c r="G1565" s="16">
        <v>-0.36182552925278572</v>
      </c>
      <c r="H1565" s="16">
        <v>4.2873966802564521E-2</v>
      </c>
      <c r="I1565" s="16">
        <v>2.2990286251857417</v>
      </c>
      <c r="J1565" s="16">
        <v>2.4930039263704296</v>
      </c>
      <c r="K1565" s="16">
        <v>0.36444238616758812</v>
      </c>
      <c r="L1565" s="16">
        <v>1.5715903257969925</v>
      </c>
      <c r="M1565" s="16">
        <v>3.2204422257591787</v>
      </c>
    </row>
    <row r="1566" spans="2:13" x14ac:dyDescent="0.35">
      <c r="B1566" s="7" t="s">
        <v>165</v>
      </c>
      <c r="C1566" s="13">
        <v>1</v>
      </c>
      <c r="D1566" s="16">
        <v>2.4265112613645798</v>
      </c>
      <c r="E1566" s="16">
        <v>2.1029200341542724</v>
      </c>
      <c r="F1566" s="16">
        <v>0.32359122721030742</v>
      </c>
      <c r="G1566" s="16">
        <v>0.61013980594398443</v>
      </c>
      <c r="H1566" s="16">
        <v>3.2093639251392359E-2</v>
      </c>
      <c r="I1566" s="16">
        <v>2.0303191786214789</v>
      </c>
      <c r="J1566" s="16">
        <v>2.1755208896870659</v>
      </c>
      <c r="K1566" s="16">
        <v>0.36333191091140971</v>
      </c>
      <c r="L1566" s="16">
        <v>1.2810061537149049</v>
      </c>
      <c r="M1566" s="16">
        <v>2.9248339145936399</v>
      </c>
    </row>
    <row r="1567" spans="2:13" x14ac:dyDescent="0.35">
      <c r="B1567" s="7" t="s">
        <v>166</v>
      </c>
      <c r="C1567" s="13">
        <v>1</v>
      </c>
      <c r="D1567" s="16">
        <v>1.7558748556724899</v>
      </c>
      <c r="E1567" s="16">
        <v>1.5090127463747225</v>
      </c>
      <c r="F1567" s="16">
        <v>0.24686210929776747</v>
      </c>
      <c r="G1567" s="16">
        <v>0.46546502746803992</v>
      </c>
      <c r="H1567" s="16">
        <v>7.0568038685222226E-2</v>
      </c>
      <c r="I1567" s="16">
        <v>1.3493767530338883</v>
      </c>
      <c r="J1567" s="16">
        <v>1.6686487397155567</v>
      </c>
      <c r="K1567" s="16">
        <v>0.36872743848270512</v>
      </c>
      <c r="L1567" s="16">
        <v>0.67489333465675982</v>
      </c>
      <c r="M1567" s="16">
        <v>2.3431321580926854</v>
      </c>
    </row>
    <row r="1568" spans="2:13" x14ac:dyDescent="0.35">
      <c r="B1568" s="7" t="s">
        <v>167</v>
      </c>
      <c r="C1568" s="13">
        <v>1</v>
      </c>
      <c r="D1568" s="16">
        <v>2.2405492482825999</v>
      </c>
      <c r="E1568" s="16">
        <v>2.444405786206318</v>
      </c>
      <c r="F1568" s="16">
        <v>-0.20385653792371797</v>
      </c>
      <c r="G1568" s="16">
        <v>-0.38437688673294113</v>
      </c>
      <c r="H1568" s="16">
        <v>4.7566335397560867E-2</v>
      </c>
      <c r="I1568" s="16">
        <v>2.336803260441874</v>
      </c>
      <c r="J1568" s="16">
        <v>2.5520083119707619</v>
      </c>
      <c r="K1568" s="16">
        <v>0.36502415272046224</v>
      </c>
      <c r="L1568" s="16">
        <v>1.6186637888574529</v>
      </c>
      <c r="M1568" s="16">
        <v>3.2701477835551831</v>
      </c>
    </row>
    <row r="1569" spans="2:13" x14ac:dyDescent="0.35">
      <c r="B1569" s="7" t="s">
        <v>168</v>
      </c>
      <c r="C1569" s="13">
        <v>1</v>
      </c>
      <c r="D1569" s="16">
        <v>2.2041199826559201</v>
      </c>
      <c r="E1569" s="16">
        <v>2.3838540892506215</v>
      </c>
      <c r="F1569" s="16">
        <v>-0.17973410659470127</v>
      </c>
      <c r="G1569" s="16">
        <v>-0.33889340531452244</v>
      </c>
      <c r="H1569" s="16">
        <v>4.6635550162153025E-2</v>
      </c>
      <c r="I1569" s="16">
        <v>2.278357145962461</v>
      </c>
      <c r="J1569" s="16">
        <v>2.489351032538782</v>
      </c>
      <c r="K1569" s="16">
        <v>0.36490402895153784</v>
      </c>
      <c r="L1569" s="16">
        <v>1.5583838307446287</v>
      </c>
      <c r="M1569" s="16">
        <v>3.2093243477566142</v>
      </c>
    </row>
    <row r="1570" spans="2:13" x14ac:dyDescent="0.35">
      <c r="B1570" s="7" t="s">
        <v>169</v>
      </c>
      <c r="C1570" s="13">
        <v>1</v>
      </c>
      <c r="D1570" s="16">
        <v>2.2624510897304302</v>
      </c>
      <c r="E1570" s="16">
        <v>2.0500440332203453</v>
      </c>
      <c r="F1570" s="16">
        <v>0.21240705651008496</v>
      </c>
      <c r="G1570" s="16">
        <v>0.40049911537301414</v>
      </c>
      <c r="H1570" s="16">
        <v>5.5276091426243804E-2</v>
      </c>
      <c r="I1570" s="16">
        <v>1.9250008277234769</v>
      </c>
      <c r="J1570" s="16">
        <v>2.1750872387172135</v>
      </c>
      <c r="K1570" s="16">
        <v>0.36610862061620525</v>
      </c>
      <c r="L1570" s="16">
        <v>1.2218487990661411</v>
      </c>
      <c r="M1570" s="16">
        <v>2.8782392673745498</v>
      </c>
    </row>
    <row r="1571" spans="2:13" x14ac:dyDescent="0.35">
      <c r="B1571" s="7" t="s">
        <v>170</v>
      </c>
      <c r="C1571" s="13">
        <v>1</v>
      </c>
      <c r="D1571" s="16">
        <v>2.63648789635337</v>
      </c>
      <c r="E1571" s="16">
        <v>2.3896673622264388</v>
      </c>
      <c r="F1571" s="16">
        <v>0.24682053412693122</v>
      </c>
      <c r="G1571" s="16">
        <v>0.46538663638530015</v>
      </c>
      <c r="H1571" s="16">
        <v>4.6069463716611192E-2</v>
      </c>
      <c r="I1571" s="16">
        <v>2.2854509954391209</v>
      </c>
      <c r="J1571" s="16">
        <v>2.4938837290137568</v>
      </c>
      <c r="K1571" s="16">
        <v>0.36483211384590891</v>
      </c>
      <c r="L1571" s="16">
        <v>1.5643597869909063</v>
      </c>
      <c r="M1571" s="16">
        <v>3.2149749374619714</v>
      </c>
    </row>
    <row r="1572" spans="2:13" x14ac:dyDescent="0.35">
      <c r="B1572" s="7" t="s">
        <v>171</v>
      </c>
      <c r="C1572" s="13">
        <v>1</v>
      </c>
      <c r="D1572" s="16">
        <v>1.2304489213782701</v>
      </c>
      <c r="E1572" s="16">
        <v>1.8076346291497347</v>
      </c>
      <c r="F1572" s="16">
        <v>-0.57718570777146461</v>
      </c>
      <c r="G1572" s="16">
        <v>-1.0882988972517644</v>
      </c>
      <c r="H1572" s="16">
        <v>5.4538088807392575E-2</v>
      </c>
      <c r="I1572" s="16">
        <v>1.684260901554526</v>
      </c>
      <c r="J1572" s="16">
        <v>1.9310083567449434</v>
      </c>
      <c r="K1572" s="16">
        <v>0.36599792203904807</v>
      </c>
      <c r="L1572" s="16">
        <v>0.97968981257344745</v>
      </c>
      <c r="M1572" s="16">
        <v>2.6355794457260222</v>
      </c>
    </row>
    <row r="1573" spans="2:13" x14ac:dyDescent="0.35">
      <c r="B1573" s="7" t="s">
        <v>172</v>
      </c>
      <c r="C1573" s="13">
        <v>1</v>
      </c>
      <c r="D1573" s="16">
        <v>1.6989700043360201</v>
      </c>
      <c r="E1573" s="16">
        <v>1.7256709015869904</v>
      </c>
      <c r="F1573" s="16">
        <v>-2.6700897250970298E-2</v>
      </c>
      <c r="G1573" s="16">
        <v>-5.0345247019472822E-2</v>
      </c>
      <c r="H1573" s="16">
        <v>4.8972281635208371E-2</v>
      </c>
      <c r="I1573" s="16">
        <v>1.61488790448719</v>
      </c>
      <c r="J1573" s="16">
        <v>1.8364538986867909</v>
      </c>
      <c r="K1573" s="16">
        <v>0.36521002200746933</v>
      </c>
      <c r="L1573" s="16">
        <v>0.89950843870137887</v>
      </c>
      <c r="M1573" s="16">
        <v>2.5518333644726021</v>
      </c>
    </row>
    <row r="1574" spans="2:13" x14ac:dyDescent="0.35">
      <c r="B1574" s="7" t="s">
        <v>173</v>
      </c>
      <c r="C1574" s="13">
        <v>1</v>
      </c>
      <c r="D1574" s="16">
        <v>1.1553360374650601</v>
      </c>
      <c r="E1574" s="16">
        <v>1.5429867205642289</v>
      </c>
      <c r="F1574" s="16">
        <v>-0.38765068309916878</v>
      </c>
      <c r="G1574" s="16">
        <v>-0.73092560202956536</v>
      </c>
      <c r="H1574" s="16">
        <v>7.1432605632612126E-2</v>
      </c>
      <c r="I1574" s="16">
        <v>1.381394940920875</v>
      </c>
      <c r="J1574" s="16">
        <v>1.7045785002075828</v>
      </c>
      <c r="K1574" s="16">
        <v>0.36889387763095544</v>
      </c>
      <c r="L1574" s="16">
        <v>0.7084907973368525</v>
      </c>
      <c r="M1574" s="16">
        <v>2.3774826437916055</v>
      </c>
    </row>
    <row r="1575" spans="2:13" x14ac:dyDescent="0.35">
      <c r="B1575" s="7" t="s">
        <v>174</v>
      </c>
      <c r="C1575" s="13">
        <v>1</v>
      </c>
      <c r="D1575" s="16">
        <v>1.9493900066449099</v>
      </c>
      <c r="E1575" s="16">
        <v>1.7032220976311572</v>
      </c>
      <c r="F1575" s="16">
        <v>0.24616790901375266</v>
      </c>
      <c r="G1575" s="16">
        <v>0.4641560944965667</v>
      </c>
      <c r="H1575" s="16">
        <v>5.8638115862900311E-2</v>
      </c>
      <c r="I1575" s="16">
        <v>1.5705734645132117</v>
      </c>
      <c r="J1575" s="16">
        <v>1.8358707307491027</v>
      </c>
      <c r="K1575" s="16">
        <v>0.36663129222433943</v>
      </c>
      <c r="L1575" s="16">
        <v>0.87384449816100962</v>
      </c>
      <c r="M1575" s="16">
        <v>2.5325996971013049</v>
      </c>
    </row>
    <row r="1576" spans="2:13" x14ac:dyDescent="0.35">
      <c r="B1576" s="7" t="s">
        <v>175</v>
      </c>
      <c r="C1576" s="13">
        <v>1</v>
      </c>
      <c r="D1576" s="16">
        <v>2.14612803567824</v>
      </c>
      <c r="E1576" s="16">
        <v>1.9850200764287964</v>
      </c>
      <c r="F1576" s="16">
        <v>0.16110795924944349</v>
      </c>
      <c r="G1576" s="16">
        <v>0.30377331252123529</v>
      </c>
      <c r="H1576" s="16">
        <v>4.3308112023478437E-2</v>
      </c>
      <c r="I1576" s="16">
        <v>1.8870503211204079</v>
      </c>
      <c r="J1576" s="16">
        <v>2.0829898317371849</v>
      </c>
      <c r="K1576" s="16">
        <v>0.36449371513535894</v>
      </c>
      <c r="L1576" s="16">
        <v>1.1604780122562093</v>
      </c>
      <c r="M1576" s="16">
        <v>2.8095621406013835</v>
      </c>
    </row>
    <row r="1577" spans="2:13" x14ac:dyDescent="0.35">
      <c r="B1577" s="7" t="s">
        <v>176</v>
      </c>
      <c r="C1577" s="13">
        <v>1</v>
      </c>
      <c r="D1577" s="16">
        <v>2.6020599913279598</v>
      </c>
      <c r="E1577" s="16">
        <v>2.8081153026522729</v>
      </c>
      <c r="F1577" s="16">
        <v>-0.20605531132431329</v>
      </c>
      <c r="G1577" s="16">
        <v>-0.38852273205612764</v>
      </c>
      <c r="H1577" s="16">
        <v>4.8420420958699188E-2</v>
      </c>
      <c r="I1577" s="16">
        <v>2.6985807011281699</v>
      </c>
      <c r="J1577" s="16">
        <v>2.9176499041763759</v>
      </c>
      <c r="K1577" s="16">
        <v>0.36513643062827311</v>
      </c>
      <c r="L1577" s="16">
        <v>1.9821193150313587</v>
      </c>
      <c r="M1577" s="16">
        <v>3.6341112902731871</v>
      </c>
    </row>
    <row r="1578" spans="2:13" x14ac:dyDescent="0.35">
      <c r="B1578" s="7" t="s">
        <v>177</v>
      </c>
      <c r="C1578" s="13">
        <v>1</v>
      </c>
      <c r="D1578" s="16">
        <v>1.3802112417116099</v>
      </c>
      <c r="E1578" s="16">
        <v>1.2337523429662125</v>
      </c>
      <c r="F1578" s="16">
        <v>0.14645889874539747</v>
      </c>
      <c r="G1578" s="16">
        <v>0.27615212201414108</v>
      </c>
      <c r="H1578" s="16">
        <v>8.2555260242342249E-2</v>
      </c>
      <c r="I1578" s="16">
        <v>1.0469993706598251</v>
      </c>
      <c r="J1578" s="16">
        <v>1.4205053152725999</v>
      </c>
      <c r="K1578" s="16">
        <v>0.37120809096761198</v>
      </c>
      <c r="L1578" s="16">
        <v>0.39402130549047687</v>
      </c>
      <c r="M1578" s="16">
        <v>2.0734833804419481</v>
      </c>
    </row>
    <row r="1579" spans="2:13" x14ac:dyDescent="0.35">
      <c r="B1579" s="7" t="s">
        <v>178</v>
      </c>
      <c r="C1579" s="13">
        <v>1</v>
      </c>
      <c r="D1579" s="16">
        <v>2.2041199826559201</v>
      </c>
      <c r="E1579" s="16">
        <v>2.4848932671298138</v>
      </c>
      <c r="F1579" s="16">
        <v>-0.28077328447389355</v>
      </c>
      <c r="G1579" s="16">
        <v>-0.52940544396099654</v>
      </c>
      <c r="H1579" s="16">
        <v>3.7071247994971419E-2</v>
      </c>
      <c r="I1579" s="16">
        <v>2.4010322783830635</v>
      </c>
      <c r="J1579" s="16">
        <v>2.5687542558765641</v>
      </c>
      <c r="K1579" s="16">
        <v>0.36380537823682968</v>
      </c>
      <c r="L1579" s="16">
        <v>1.6619083291945027</v>
      </c>
      <c r="M1579" s="16">
        <v>3.307878205065125</v>
      </c>
    </row>
    <row r="1580" spans="2:13" x14ac:dyDescent="0.35">
      <c r="B1580" s="7" t="s">
        <v>179</v>
      </c>
      <c r="C1580" s="13">
        <v>1</v>
      </c>
      <c r="D1580" s="16">
        <v>1.8750612633917001</v>
      </c>
      <c r="E1580" s="16">
        <v>1.6581988458367325</v>
      </c>
      <c r="F1580" s="16">
        <v>0.21686241755496763</v>
      </c>
      <c r="G1580" s="16">
        <v>0.40889981630292033</v>
      </c>
      <c r="H1580" s="16">
        <v>5.6497536318708644E-2</v>
      </c>
      <c r="I1580" s="16">
        <v>1.5303925400418741</v>
      </c>
      <c r="J1580" s="16">
        <v>1.7860051516315909</v>
      </c>
      <c r="K1580" s="16">
        <v>0.36629502783442458</v>
      </c>
      <c r="L1580" s="16">
        <v>0.82958192926084329</v>
      </c>
      <c r="M1580" s="16">
        <v>2.4868157624126219</v>
      </c>
    </row>
    <row r="1581" spans="2:13" x14ac:dyDescent="0.35">
      <c r="B1581" s="7" t="s">
        <v>180</v>
      </c>
      <c r="C1581" s="13">
        <v>1</v>
      </c>
      <c r="D1581" s="16">
        <v>2</v>
      </c>
      <c r="E1581" s="16">
        <v>1.8733684210368977</v>
      </c>
      <c r="F1581" s="16">
        <v>0.1266315789631022</v>
      </c>
      <c r="G1581" s="16">
        <v>0.23876718686416365</v>
      </c>
      <c r="H1581" s="16">
        <v>6.0556540719015783E-2</v>
      </c>
      <c r="I1581" s="16">
        <v>1.7363800094121158</v>
      </c>
      <c r="J1581" s="16">
        <v>2.0103568326616799</v>
      </c>
      <c r="K1581" s="16">
        <v>0.36694300705966842</v>
      </c>
      <c r="L1581" s="16">
        <v>1.0432856736229512</v>
      </c>
      <c r="M1581" s="16">
        <v>2.7034511684508442</v>
      </c>
    </row>
    <row r="1582" spans="2:13" x14ac:dyDescent="0.35">
      <c r="B1582" s="7" t="s">
        <v>181</v>
      </c>
      <c r="C1582" s="13">
        <v>1</v>
      </c>
      <c r="D1582" s="16">
        <v>2.3304137733491901</v>
      </c>
      <c r="E1582" s="16">
        <v>2.0005358463477148</v>
      </c>
      <c r="F1582" s="16">
        <v>0.32987792700147511</v>
      </c>
      <c r="G1582" s="16">
        <v>0.62199354445129629</v>
      </c>
      <c r="H1582" s="16">
        <v>6.2220327144242978E-2</v>
      </c>
      <c r="I1582" s="16">
        <v>1.8597836883634387</v>
      </c>
      <c r="J1582" s="16">
        <v>2.1412880043319906</v>
      </c>
      <c r="K1582" s="16">
        <v>0.3672212479093151</v>
      </c>
      <c r="L1582" s="16">
        <v>1.1698236744060515</v>
      </c>
      <c r="M1582" s="16">
        <v>2.831248018289378</v>
      </c>
    </row>
    <row r="1583" spans="2:13" x14ac:dyDescent="0.35">
      <c r="B1583" s="7" t="s">
        <v>182</v>
      </c>
      <c r="C1583" s="13">
        <v>1</v>
      </c>
      <c r="D1583" s="16">
        <v>2.2900346113625201</v>
      </c>
      <c r="E1583" s="16">
        <v>2.0523979615332189</v>
      </c>
      <c r="F1583" s="16">
        <v>0.23763664982930136</v>
      </c>
      <c r="G1583" s="16">
        <v>0.44807017996750576</v>
      </c>
      <c r="H1583" s="16">
        <v>5.3355750559801851E-2</v>
      </c>
      <c r="I1583" s="16">
        <v>1.9316988688596484</v>
      </c>
      <c r="J1583" s="16">
        <v>2.1730970542067891</v>
      </c>
      <c r="K1583" s="16">
        <v>0.36582360766349925</v>
      </c>
      <c r="L1583" s="16">
        <v>1.2248474714680939</v>
      </c>
      <c r="M1583" s="16">
        <v>2.8799484515983438</v>
      </c>
    </row>
    <row r="1584" spans="2:13" x14ac:dyDescent="0.35">
      <c r="B1584" s="7" t="s">
        <v>183</v>
      </c>
      <c r="C1584" s="13">
        <v>1</v>
      </c>
      <c r="D1584" s="16">
        <v>2.5797835966168101</v>
      </c>
      <c r="E1584" s="16">
        <v>2.4408375768183483</v>
      </c>
      <c r="F1584" s="16">
        <v>0.13894601979846158</v>
      </c>
      <c r="G1584" s="16">
        <v>0.26198639032146775</v>
      </c>
      <c r="H1584" s="16">
        <v>4.2889094255824198E-2</v>
      </c>
      <c r="I1584" s="16">
        <v>2.3438157055494373</v>
      </c>
      <c r="J1584" s="16">
        <v>2.5378594480872594</v>
      </c>
      <c r="K1584" s="16">
        <v>0.36444416611083652</v>
      </c>
      <c r="L1584" s="16">
        <v>1.6164076003259078</v>
      </c>
      <c r="M1584" s="16">
        <v>3.2652675533107889</v>
      </c>
    </row>
    <row r="1585" spans="2:13" x14ac:dyDescent="0.35">
      <c r="B1585" s="7" t="s">
        <v>184</v>
      </c>
      <c r="C1585" s="13">
        <v>1</v>
      </c>
      <c r="D1585" s="16">
        <v>1.50514997831991</v>
      </c>
      <c r="E1585" s="16">
        <v>1.6008385736579587</v>
      </c>
      <c r="F1585" s="16">
        <v>-9.5688595338048715E-2</v>
      </c>
      <c r="G1585" s="16">
        <v>-0.18042337393981672</v>
      </c>
      <c r="H1585" s="16">
        <v>6.4471408059085383E-2</v>
      </c>
      <c r="I1585" s="16">
        <v>1.4549941168847875</v>
      </c>
      <c r="J1585" s="16">
        <v>1.7466830304311298</v>
      </c>
      <c r="K1585" s="16">
        <v>0.36760935551650364</v>
      </c>
      <c r="L1585" s="16">
        <v>0.7692484413173527</v>
      </c>
      <c r="M1585" s="16">
        <v>2.4324287059985648</v>
      </c>
    </row>
    <row r="1586" spans="2:13" x14ac:dyDescent="0.35">
      <c r="B1586" s="7" t="s">
        <v>185</v>
      </c>
      <c r="C1586" s="13">
        <v>1</v>
      </c>
      <c r="D1586" s="16">
        <v>2.49136169383427</v>
      </c>
      <c r="E1586" s="16">
        <v>2.383166735800518</v>
      </c>
      <c r="F1586" s="16">
        <v>0.10819495803375188</v>
      </c>
      <c r="G1586" s="16">
        <v>0.20400445113404528</v>
      </c>
      <c r="H1586" s="16">
        <v>6.5164860432258359E-2</v>
      </c>
      <c r="I1586" s="16">
        <v>2.2357535807825251</v>
      </c>
      <c r="J1586" s="16">
        <v>2.5305798908185109</v>
      </c>
      <c r="K1586" s="16">
        <v>0.36773160707409114</v>
      </c>
      <c r="L1586" s="16">
        <v>1.5513000512246997</v>
      </c>
      <c r="M1586" s="16">
        <v>3.2150334203763364</v>
      </c>
    </row>
    <row r="1587" spans="2:13" x14ac:dyDescent="0.35">
      <c r="B1587" s="7" t="s">
        <v>186</v>
      </c>
      <c r="C1587" s="13">
        <v>1</v>
      </c>
      <c r="D1587" s="16">
        <v>1.82607480270083</v>
      </c>
      <c r="E1587" s="16">
        <v>2.2805373176652615</v>
      </c>
      <c r="F1587" s="16">
        <v>-0.45446251496443163</v>
      </c>
      <c r="G1587" s="16">
        <v>-0.85690107571736096</v>
      </c>
      <c r="H1587" s="16">
        <v>4.3199583168825793E-2</v>
      </c>
      <c r="I1587" s="16">
        <v>2.1828130716815108</v>
      </c>
      <c r="J1587" s="16">
        <v>2.3782615636490121</v>
      </c>
      <c r="K1587" s="16">
        <v>0.36448083597371528</v>
      </c>
      <c r="L1587" s="16">
        <v>1.456024388180285</v>
      </c>
      <c r="M1587" s="16">
        <v>3.1050502471502379</v>
      </c>
    </row>
    <row r="1588" spans="2:13" x14ac:dyDescent="0.35">
      <c r="B1588" s="7" t="s">
        <v>187</v>
      </c>
      <c r="C1588" s="13">
        <v>1</v>
      </c>
      <c r="D1588" s="16">
        <v>2.1139433523068401</v>
      </c>
      <c r="E1588" s="16">
        <v>2.44978236623755</v>
      </c>
      <c r="F1588" s="16">
        <v>-0.33583901393070975</v>
      </c>
      <c r="G1588" s="16">
        <v>-0.63323333130699688</v>
      </c>
      <c r="H1588" s="16">
        <v>4.7392443011387786E-2</v>
      </c>
      <c r="I1588" s="16">
        <v>2.3425732123779843</v>
      </c>
      <c r="J1588" s="16">
        <v>2.5569915200971156</v>
      </c>
      <c r="K1588" s="16">
        <v>0.36500153350462194</v>
      </c>
      <c r="L1588" s="16">
        <v>1.624091537109547</v>
      </c>
      <c r="M1588" s="16">
        <v>3.2754731953655529</v>
      </c>
    </row>
    <row r="1589" spans="2:13" x14ac:dyDescent="0.35">
      <c r="B1589" s="7" t="s">
        <v>188</v>
      </c>
      <c r="C1589" s="13">
        <v>1</v>
      </c>
      <c r="D1589" s="16">
        <v>1.9493900066449099</v>
      </c>
      <c r="E1589" s="16">
        <v>1.3569515362124189</v>
      </c>
      <c r="F1589" s="16">
        <v>0.59243847043249109</v>
      </c>
      <c r="G1589" s="16">
        <v>1.117058384121475</v>
      </c>
      <c r="H1589" s="16">
        <v>7.46008698691418E-2</v>
      </c>
      <c r="I1589" s="16">
        <v>1.1881926449702758</v>
      </c>
      <c r="J1589" s="16">
        <v>1.5257104274545621</v>
      </c>
      <c r="K1589" s="16">
        <v>0.3695204535494222</v>
      </c>
      <c r="L1589" s="16">
        <v>0.52103819979046506</v>
      </c>
      <c r="M1589" s="16">
        <v>2.1928648726343729</v>
      </c>
    </row>
    <row r="1590" spans="2:13" x14ac:dyDescent="0.35">
      <c r="B1590" s="7" t="s">
        <v>189</v>
      </c>
      <c r="C1590" s="13">
        <v>1</v>
      </c>
      <c r="D1590" s="16">
        <v>2.6127838567197399</v>
      </c>
      <c r="E1590" s="16">
        <v>2.7655065988481771</v>
      </c>
      <c r="F1590" s="16">
        <v>-0.15272274212843706</v>
      </c>
      <c r="G1590" s="16">
        <v>-0.28796276416021949</v>
      </c>
      <c r="H1590" s="16">
        <v>3.996412944909393E-2</v>
      </c>
      <c r="I1590" s="16">
        <v>2.6751014576331107</v>
      </c>
      <c r="J1590" s="16">
        <v>2.8559117400632434</v>
      </c>
      <c r="K1590" s="16">
        <v>0.36411153160640491</v>
      </c>
      <c r="L1590" s="16">
        <v>1.9418290938785918</v>
      </c>
      <c r="M1590" s="16">
        <v>3.5891841038177623</v>
      </c>
    </row>
    <row r="1591" spans="2:13" x14ac:dyDescent="0.35">
      <c r="B1591" s="7" t="s">
        <v>190</v>
      </c>
      <c r="C1591" s="13">
        <v>1</v>
      </c>
      <c r="D1591" s="16">
        <v>2.7007037171450201</v>
      </c>
      <c r="E1591" s="16">
        <v>2.2237522554956408</v>
      </c>
      <c r="F1591" s="16">
        <v>0.47695146164937907</v>
      </c>
      <c r="G1591" s="16">
        <v>0.89930457869403679</v>
      </c>
      <c r="H1591" s="16">
        <v>5.0572941967754706E-2</v>
      </c>
      <c r="I1591" s="16">
        <v>2.1093483131783164</v>
      </c>
      <c r="J1591" s="16">
        <v>2.3381561978129652</v>
      </c>
      <c r="K1591" s="16">
        <v>0.36542810273077242</v>
      </c>
      <c r="L1591" s="16">
        <v>1.3970964597423232</v>
      </c>
      <c r="M1591" s="16">
        <v>3.0504080512489584</v>
      </c>
    </row>
    <row r="1592" spans="2:13" x14ac:dyDescent="0.35">
      <c r="B1592" s="7" t="s">
        <v>191</v>
      </c>
      <c r="C1592" s="13">
        <v>1</v>
      </c>
      <c r="D1592" s="16">
        <v>2.2304489213782701</v>
      </c>
      <c r="E1592" s="16">
        <v>2.8296590299066948</v>
      </c>
      <c r="F1592" s="16">
        <v>-0.5992101085284246</v>
      </c>
      <c r="G1592" s="16">
        <v>-1.1298264866111341</v>
      </c>
      <c r="H1592" s="16">
        <v>5.5001975141976855E-2</v>
      </c>
      <c r="I1592" s="16">
        <v>2.705235918522475</v>
      </c>
      <c r="J1592" s="16">
        <v>2.9540821412909146</v>
      </c>
      <c r="K1592" s="16">
        <v>0.36606733407346892</v>
      </c>
      <c r="L1592" s="16">
        <v>2.0015571924003801</v>
      </c>
      <c r="M1592" s="16">
        <v>3.6577608674130095</v>
      </c>
    </row>
    <row r="1593" spans="2:13" x14ac:dyDescent="0.35">
      <c r="B1593" s="7" t="s">
        <v>192</v>
      </c>
      <c r="C1593" s="13">
        <v>1</v>
      </c>
      <c r="D1593" s="16">
        <v>1.4771212547196599</v>
      </c>
      <c r="E1593" s="16">
        <v>1.6867611107748077</v>
      </c>
      <c r="F1593" s="16">
        <v>-0.20963985605514768</v>
      </c>
      <c r="G1593" s="16">
        <v>-0.3952814858249602</v>
      </c>
      <c r="H1593" s="16">
        <v>5.7914292706032204E-2</v>
      </c>
      <c r="I1593" s="16">
        <v>1.5557498793872002</v>
      </c>
      <c r="J1593" s="16">
        <v>1.8177723421624152</v>
      </c>
      <c r="K1593" s="16">
        <v>0.36651622215909901</v>
      </c>
      <c r="L1593" s="16">
        <v>0.85764381787560495</v>
      </c>
      <c r="M1593" s="16">
        <v>2.5158784036740105</v>
      </c>
    </row>
    <row r="1594" spans="2:13" x14ac:dyDescent="0.35">
      <c r="B1594" s="7" t="s">
        <v>193</v>
      </c>
      <c r="C1594" s="13">
        <v>1</v>
      </c>
      <c r="D1594" s="16">
        <v>2.3961993470957399</v>
      </c>
      <c r="E1594" s="16">
        <v>2.2068121361127857</v>
      </c>
      <c r="F1594" s="16">
        <v>0.1893872109829543</v>
      </c>
      <c r="G1594" s="16">
        <v>0.35709458860673166</v>
      </c>
      <c r="H1594" s="16">
        <v>5.7586831674957949E-2</v>
      </c>
      <c r="I1594" s="16">
        <v>2.0765416730382826</v>
      </c>
      <c r="J1594" s="16">
        <v>2.3370825991872888</v>
      </c>
      <c r="K1594" s="16">
        <v>0.36646462174198746</v>
      </c>
      <c r="L1594" s="16">
        <v>1.3778115714661443</v>
      </c>
      <c r="M1594" s="16">
        <v>3.0358127007594273</v>
      </c>
    </row>
    <row r="1595" spans="2:13" x14ac:dyDescent="0.35">
      <c r="B1595" s="7" t="s">
        <v>194</v>
      </c>
      <c r="C1595" s="13">
        <v>1</v>
      </c>
      <c r="D1595" s="16">
        <v>2.7573960287930199</v>
      </c>
      <c r="E1595" s="16">
        <v>2.2229281617681731</v>
      </c>
      <c r="F1595" s="16">
        <v>0.53446786702484683</v>
      </c>
      <c r="G1595" s="16">
        <v>1.0077532802145384</v>
      </c>
      <c r="H1595" s="16">
        <v>5.8385088453247067E-2</v>
      </c>
      <c r="I1595" s="16">
        <v>2.0908519164143629</v>
      </c>
      <c r="J1595" s="16">
        <v>2.3550044071219833</v>
      </c>
      <c r="K1595" s="16">
        <v>0.36659090872501399</v>
      </c>
      <c r="L1595" s="16">
        <v>1.3936419161198055</v>
      </c>
      <c r="M1595" s="16">
        <v>3.0522144074165407</v>
      </c>
    </row>
    <row r="1596" spans="2:13" x14ac:dyDescent="0.35">
      <c r="B1596" s="7" t="s">
        <v>195</v>
      </c>
      <c r="C1596" s="13">
        <v>1</v>
      </c>
      <c r="D1596" s="16">
        <v>1.9731278535997001</v>
      </c>
      <c r="E1596" s="16">
        <v>2.2795756812377683</v>
      </c>
      <c r="F1596" s="16">
        <v>-0.30644782763806833</v>
      </c>
      <c r="G1596" s="16">
        <v>-0.5778154732406503</v>
      </c>
      <c r="H1596" s="16">
        <v>4.5597444905884681E-2</v>
      </c>
      <c r="I1596" s="16">
        <v>2.1764270951785218</v>
      </c>
      <c r="J1596" s="16">
        <v>2.3827242672970148</v>
      </c>
      <c r="K1596" s="16">
        <v>0.36477280982562726</v>
      </c>
      <c r="L1596" s="16">
        <v>1.4544022610157965</v>
      </c>
      <c r="M1596" s="16">
        <v>3.1047491014597401</v>
      </c>
    </row>
    <row r="1597" spans="2:13" x14ac:dyDescent="0.35">
      <c r="B1597" s="7" t="s">
        <v>196</v>
      </c>
      <c r="C1597" s="13">
        <v>1</v>
      </c>
      <c r="D1597" s="16">
        <v>2.3096301674259001</v>
      </c>
      <c r="E1597" s="16">
        <v>2.2332165056408217</v>
      </c>
      <c r="F1597" s="16">
        <v>7.6413661785078163E-2</v>
      </c>
      <c r="G1597" s="16">
        <v>0.14407997761544925</v>
      </c>
      <c r="H1597" s="16">
        <v>5.4132455267043959E-2</v>
      </c>
      <c r="I1597" s="16">
        <v>2.1107603848595811</v>
      </c>
      <c r="J1597" s="16">
        <v>2.3556726264220624</v>
      </c>
      <c r="K1597" s="16">
        <v>0.36593769759260469</v>
      </c>
      <c r="L1597" s="16">
        <v>1.4054079262267187</v>
      </c>
      <c r="M1597" s="16">
        <v>3.0610250850549248</v>
      </c>
    </row>
    <row r="1598" spans="2:13" x14ac:dyDescent="0.35">
      <c r="B1598" s="7" t="s">
        <v>197</v>
      </c>
      <c r="C1598" s="13">
        <v>1</v>
      </c>
      <c r="D1598" s="16">
        <v>2.2304489213782701</v>
      </c>
      <c r="E1598" s="16">
        <v>2.2592899393049692</v>
      </c>
      <c r="F1598" s="16">
        <v>-2.884101792669904E-2</v>
      </c>
      <c r="G1598" s="16">
        <v>-5.4380501080724612E-2</v>
      </c>
      <c r="H1598" s="16">
        <v>4.6321657216367329E-2</v>
      </c>
      <c r="I1598" s="16">
        <v>2.1545030711887532</v>
      </c>
      <c r="J1598" s="16">
        <v>2.3640768074211853</v>
      </c>
      <c r="K1598" s="16">
        <v>0.36486404554766522</v>
      </c>
      <c r="L1598" s="16">
        <v>1.4339101295419665</v>
      </c>
      <c r="M1598" s="16">
        <v>3.084669749067972</v>
      </c>
    </row>
    <row r="1599" spans="2:13" x14ac:dyDescent="0.35">
      <c r="B1599" s="7" t="s">
        <v>198</v>
      </c>
      <c r="C1599" s="13">
        <v>1</v>
      </c>
      <c r="D1599" s="16">
        <v>2.4814426285022999</v>
      </c>
      <c r="E1599" s="16">
        <v>2.7766205708236016</v>
      </c>
      <c r="F1599" s="16">
        <v>-0.29517794232130151</v>
      </c>
      <c r="G1599" s="16">
        <v>-0.55656580680357437</v>
      </c>
      <c r="H1599" s="16">
        <v>4.2781949149519299E-2</v>
      </c>
      <c r="I1599" s="16">
        <v>2.6798410786231082</v>
      </c>
      <c r="J1599" s="16">
        <v>2.873400063024095</v>
      </c>
      <c r="K1599" s="16">
        <v>0.36443157242364455</v>
      </c>
      <c r="L1599" s="16">
        <v>1.9522190832306991</v>
      </c>
      <c r="M1599" s="16">
        <v>3.601022058416504</v>
      </c>
    </row>
    <row r="1600" spans="2:13" x14ac:dyDescent="0.35">
      <c r="B1600" s="7" t="s">
        <v>199</v>
      </c>
      <c r="C1600" s="13">
        <v>1</v>
      </c>
      <c r="D1600" s="16">
        <v>2.7084209001347102</v>
      </c>
      <c r="E1600" s="16">
        <v>2.3454953720284411</v>
      </c>
      <c r="F1600" s="16">
        <v>0.36292552810626921</v>
      </c>
      <c r="G1600" s="16">
        <v>0.68430566922311076</v>
      </c>
      <c r="H1600" s="16">
        <v>5.5556072317868084E-2</v>
      </c>
      <c r="I1600" s="16">
        <v>2.2198188057554531</v>
      </c>
      <c r="J1600" s="16">
        <v>2.471171938301429</v>
      </c>
      <c r="K1600" s="16">
        <v>0.36615099750994295</v>
      </c>
      <c r="L1600" s="16">
        <v>1.5172042746810326</v>
      </c>
      <c r="M1600" s="16">
        <v>3.1737864693758495</v>
      </c>
    </row>
    <row r="1601" spans="2:13" x14ac:dyDescent="0.35">
      <c r="B1601" s="7" t="s">
        <v>200</v>
      </c>
      <c r="C1601" s="13">
        <v>1</v>
      </c>
      <c r="D1601" s="16">
        <v>2.1789769472931702</v>
      </c>
      <c r="E1601" s="16">
        <v>2.1601343714018268</v>
      </c>
      <c r="F1601" s="16">
        <v>1.8842575891343336E-2</v>
      </c>
      <c r="G1601" s="16">
        <v>3.5528174533474552E-2</v>
      </c>
      <c r="H1601" s="16">
        <v>4.2116354649767838E-2</v>
      </c>
      <c r="I1601" s="16">
        <v>2.0648605585585846</v>
      </c>
      <c r="J1601" s="16">
        <v>2.2554081842450691</v>
      </c>
      <c r="K1601" s="16">
        <v>0.36435403543136868</v>
      </c>
      <c r="L1601" s="16">
        <v>1.3359082846704651</v>
      </c>
      <c r="M1601" s="16">
        <v>2.9843604581331888</v>
      </c>
    </row>
    <row r="1602" spans="2:13" x14ac:dyDescent="0.35">
      <c r="B1602" s="7" t="s">
        <v>201</v>
      </c>
      <c r="C1602" s="13">
        <v>1</v>
      </c>
      <c r="D1602" s="16">
        <v>2.33645973384853</v>
      </c>
      <c r="E1602" s="16">
        <v>2.2139617433404886</v>
      </c>
      <c r="F1602" s="16">
        <v>0.12249799050804125</v>
      </c>
      <c r="G1602" s="16">
        <v>0.23097319665136948</v>
      </c>
      <c r="H1602" s="16">
        <v>4.3994332108192931E-2</v>
      </c>
      <c r="I1602" s="16">
        <v>2.1144396503603327</v>
      </c>
      <c r="J1602" s="16">
        <v>2.3134838363206445</v>
      </c>
      <c r="K1602" s="16">
        <v>0.36457588656380446</v>
      </c>
      <c r="L1602" s="16">
        <v>1.389233794483439</v>
      </c>
      <c r="M1602" s="16">
        <v>3.0386896921975382</v>
      </c>
    </row>
    <row r="1603" spans="2:13" x14ac:dyDescent="0.35">
      <c r="B1603" s="7" t="s">
        <v>202</v>
      </c>
      <c r="C1603" s="13">
        <v>1</v>
      </c>
      <c r="D1603" s="16">
        <v>2.4712917110589401</v>
      </c>
      <c r="E1603" s="16">
        <v>2.3445938694444584</v>
      </c>
      <c r="F1603" s="16">
        <v>0.12669784161448153</v>
      </c>
      <c r="G1603" s="16">
        <v>0.23889212684353969</v>
      </c>
      <c r="H1603" s="16">
        <v>5.9004341165592965E-2</v>
      </c>
      <c r="I1603" s="16">
        <v>2.2111167771391651</v>
      </c>
      <c r="J1603" s="16">
        <v>2.4780709617497516</v>
      </c>
      <c r="K1603" s="16">
        <v>0.36669004360975466</v>
      </c>
      <c r="L1603" s="16">
        <v>1.5150833651076652</v>
      </c>
      <c r="M1603" s="16">
        <v>3.1741043737812515</v>
      </c>
    </row>
    <row r="1604" spans="2:13" x14ac:dyDescent="0.35">
      <c r="B1604" s="7" t="s">
        <v>203</v>
      </c>
      <c r="C1604" s="13">
        <v>1</v>
      </c>
      <c r="D1604" s="16">
        <v>2.0086001717619202</v>
      </c>
      <c r="E1604" s="16">
        <v>2.236298045625317</v>
      </c>
      <c r="F1604" s="16">
        <v>-0.2276978738633966</v>
      </c>
      <c r="G1604" s="16">
        <v>-0.42933035537016978</v>
      </c>
      <c r="H1604" s="16">
        <v>4.7046978146031773E-2</v>
      </c>
      <c r="I1604" s="16">
        <v>2.1298703875813212</v>
      </c>
      <c r="J1604" s="16">
        <v>2.3427257036693128</v>
      </c>
      <c r="K1604" s="16">
        <v>0.36495683848752752</v>
      </c>
      <c r="L1604" s="16">
        <v>1.4107083236498463</v>
      </c>
      <c r="M1604" s="16">
        <v>3.0618877676007878</v>
      </c>
    </row>
    <row r="1605" spans="2:13" x14ac:dyDescent="0.35">
      <c r="B1605" s="7" t="s">
        <v>204</v>
      </c>
      <c r="C1605" s="13">
        <v>1</v>
      </c>
      <c r="D1605" s="16">
        <v>2.59769518592551</v>
      </c>
      <c r="E1605" s="16">
        <v>2.2640874765025987</v>
      </c>
      <c r="F1605" s="16">
        <v>0.33360770942291124</v>
      </c>
      <c r="G1605" s="16">
        <v>0.62902614772193222</v>
      </c>
      <c r="H1605" s="16">
        <v>5.8883335069435258E-2</v>
      </c>
      <c r="I1605" s="16">
        <v>2.1308841190030381</v>
      </c>
      <c r="J1605" s="16">
        <v>2.3972908340021593</v>
      </c>
      <c r="K1605" s="16">
        <v>0.36667059188737433</v>
      </c>
      <c r="L1605" s="16">
        <v>1.4346209750186865</v>
      </c>
      <c r="M1605" s="16">
        <v>3.0935539779865109</v>
      </c>
    </row>
    <row r="1606" spans="2:13" x14ac:dyDescent="0.35">
      <c r="B1606" s="7" t="s">
        <v>205</v>
      </c>
      <c r="C1606" s="13">
        <v>1</v>
      </c>
      <c r="D1606" s="16">
        <v>2.4623979978989601</v>
      </c>
      <c r="E1606" s="16">
        <v>2.3663189621541525</v>
      </c>
      <c r="F1606" s="16">
        <v>9.6079035744807612E-2</v>
      </c>
      <c r="G1606" s="16">
        <v>0.18115955963949185</v>
      </c>
      <c r="H1606" s="16">
        <v>5.9069089980993951E-2</v>
      </c>
      <c r="I1606" s="16">
        <v>2.2326953978530839</v>
      </c>
      <c r="J1606" s="16">
        <v>2.4999425264552211</v>
      </c>
      <c r="K1606" s="16">
        <v>0.36670046795350675</v>
      </c>
      <c r="L1606" s="16">
        <v>1.5367848763135963</v>
      </c>
      <c r="M1606" s="16">
        <v>3.1958530479947087</v>
      </c>
    </row>
    <row r="1607" spans="2:13" x14ac:dyDescent="0.35">
      <c r="B1607" s="7" t="s">
        <v>206</v>
      </c>
      <c r="C1607" s="13">
        <v>1</v>
      </c>
      <c r="D1607" s="16">
        <v>2.3201462861110498</v>
      </c>
      <c r="E1607" s="16">
        <v>2.383809375406559</v>
      </c>
      <c r="F1607" s="16">
        <v>-6.3663089295509109E-2</v>
      </c>
      <c r="G1607" s="16">
        <v>-0.12003843640455523</v>
      </c>
      <c r="H1607" s="16">
        <v>5.8691001797496221E-2</v>
      </c>
      <c r="I1607" s="16">
        <v>2.2510411059934823</v>
      </c>
      <c r="J1607" s="16">
        <v>2.5165776448196358</v>
      </c>
      <c r="K1607" s="16">
        <v>0.36663975438859836</v>
      </c>
      <c r="L1607" s="16">
        <v>1.5544126331910206</v>
      </c>
      <c r="M1607" s="16">
        <v>3.2132061176220974</v>
      </c>
    </row>
    <row r="1608" spans="2:13" x14ac:dyDescent="0.35">
      <c r="B1608" s="7" t="s">
        <v>207</v>
      </c>
      <c r="C1608" s="13">
        <v>1</v>
      </c>
      <c r="D1608" s="16">
        <v>2.5611013836490599</v>
      </c>
      <c r="E1608" s="16">
        <v>2.2560729087864746</v>
      </c>
      <c r="F1608" s="16">
        <v>0.3050284748625855</v>
      </c>
      <c r="G1608" s="16">
        <v>0.57513924609300793</v>
      </c>
      <c r="H1608" s="16">
        <v>6.5020722623707269E-2</v>
      </c>
      <c r="I1608" s="16">
        <v>2.1089858161428188</v>
      </c>
      <c r="J1608" s="16">
        <v>2.4031600014301304</v>
      </c>
      <c r="K1608" s="16">
        <v>0.3677060921125011</v>
      </c>
      <c r="L1608" s="16">
        <v>1.4242639430634736</v>
      </c>
      <c r="M1608" s="16">
        <v>3.0878818745094758</v>
      </c>
    </row>
    <row r="1609" spans="2:13" x14ac:dyDescent="0.35">
      <c r="B1609" s="7" t="s">
        <v>208</v>
      </c>
      <c r="C1609" s="13">
        <v>1</v>
      </c>
      <c r="D1609" s="16">
        <v>3.17609125905568</v>
      </c>
      <c r="E1609" s="16">
        <v>2.007622103045053</v>
      </c>
      <c r="F1609" s="16">
        <v>1.1684691560106273</v>
      </c>
      <c r="G1609" s="16">
        <v>2.203179456520032</v>
      </c>
      <c r="H1609" s="16">
        <v>5.1253636889484006E-2</v>
      </c>
      <c r="I1609" s="16">
        <v>1.8916783218429178</v>
      </c>
      <c r="J1609" s="16">
        <v>2.1235658842471881</v>
      </c>
      <c r="K1609" s="16">
        <v>0.36552292828294247</v>
      </c>
      <c r="L1609" s="16">
        <v>1.1807517969908004</v>
      </c>
      <c r="M1609" s="16">
        <v>2.8344924090993056</v>
      </c>
    </row>
    <row r="1610" spans="2:13" x14ac:dyDescent="0.35">
      <c r="B1610" s="7" t="s">
        <v>209</v>
      </c>
      <c r="C1610" s="13">
        <v>1</v>
      </c>
      <c r="D1610" s="16">
        <v>1.8573324964312701</v>
      </c>
      <c r="E1610" s="16">
        <v>1.7513677074660405</v>
      </c>
      <c r="F1610" s="16">
        <v>0.10596478896522947</v>
      </c>
      <c r="G1610" s="16">
        <v>0.19979940844972618</v>
      </c>
      <c r="H1610" s="16">
        <v>4.8768214200188183E-2</v>
      </c>
      <c r="I1610" s="16">
        <v>1.6410463429736486</v>
      </c>
      <c r="J1610" s="16">
        <v>1.8616890719584325</v>
      </c>
      <c r="K1610" s="16">
        <v>0.36518271388773799</v>
      </c>
      <c r="L1610" s="16">
        <v>0.92526701983875836</v>
      </c>
      <c r="M1610" s="16">
        <v>2.5774683950933226</v>
      </c>
    </row>
    <row r="1611" spans="2:13" x14ac:dyDescent="0.35">
      <c r="B1611" s="7" t="s">
        <v>210</v>
      </c>
      <c r="C1611" s="13">
        <v>1</v>
      </c>
      <c r="D1611" s="16">
        <v>2.3324384599156098</v>
      </c>
      <c r="E1611" s="16">
        <v>2.2443979428301235</v>
      </c>
      <c r="F1611" s="16">
        <v>8.8040517085486159E-2</v>
      </c>
      <c r="G1611" s="16">
        <v>0.16600272038535507</v>
      </c>
      <c r="H1611" s="16">
        <v>4.5231679923124796E-2</v>
      </c>
      <c r="I1611" s="16">
        <v>2.1420767746421974</v>
      </c>
      <c r="J1611" s="16">
        <v>2.3467191110180496</v>
      </c>
      <c r="K1611" s="16">
        <v>0.36472726889390389</v>
      </c>
      <c r="L1611" s="16">
        <v>1.419327543352511</v>
      </c>
      <c r="M1611" s="16">
        <v>3.069468342307736</v>
      </c>
    </row>
    <row r="1612" spans="2:13" x14ac:dyDescent="0.35">
      <c r="B1612" s="7" t="s">
        <v>211</v>
      </c>
      <c r="C1612" s="13">
        <v>1</v>
      </c>
      <c r="D1612" s="16">
        <v>2.3263358609287499</v>
      </c>
      <c r="E1612" s="16">
        <v>2.429670422514639</v>
      </c>
      <c r="F1612" s="16">
        <v>-0.10333456158588933</v>
      </c>
      <c r="G1612" s="16">
        <v>-0.19484004525359058</v>
      </c>
      <c r="H1612" s="16">
        <v>5.5948087102029267E-2</v>
      </c>
      <c r="I1612" s="16">
        <v>2.3031070571943797</v>
      </c>
      <c r="J1612" s="16">
        <v>2.5562337878348984</v>
      </c>
      <c r="K1612" s="16">
        <v>0.36621068288147229</v>
      </c>
      <c r="L1612" s="16">
        <v>1.601244307477218</v>
      </c>
      <c r="M1612" s="16">
        <v>3.2580965375520599</v>
      </c>
    </row>
    <row r="1613" spans="2:13" x14ac:dyDescent="0.35">
      <c r="B1613" s="7" t="s">
        <v>212</v>
      </c>
      <c r="C1613" s="13">
        <v>1</v>
      </c>
      <c r="D1613" s="16">
        <v>2.1139433523068401</v>
      </c>
      <c r="E1613" s="16">
        <v>2.1781164959233612</v>
      </c>
      <c r="F1613" s="16">
        <v>-6.4173143616521267E-2</v>
      </c>
      <c r="G1613" s="16">
        <v>-0.12100015729892606</v>
      </c>
      <c r="H1613" s="16">
        <v>5.4116493825450883E-2</v>
      </c>
      <c r="I1613" s="16">
        <v>2.0556964824313599</v>
      </c>
      <c r="J1613" s="16">
        <v>2.3005365094153625</v>
      </c>
      <c r="K1613" s="16">
        <v>0.36593533678793322</v>
      </c>
      <c r="L1613" s="16">
        <v>1.3503132570204279</v>
      </c>
      <c r="M1613" s="16">
        <v>3.0059197348262945</v>
      </c>
    </row>
    <row r="1614" spans="2:13" x14ac:dyDescent="0.35">
      <c r="B1614" s="7" t="s">
        <v>213</v>
      </c>
      <c r="C1614" s="13">
        <v>1</v>
      </c>
      <c r="D1614" s="16">
        <v>2.2148438480477002</v>
      </c>
      <c r="E1614" s="16">
        <v>1.8461034277027966</v>
      </c>
      <c r="F1614" s="16">
        <v>0.36874042034490373</v>
      </c>
      <c r="G1614" s="16">
        <v>0.69526980212823375</v>
      </c>
      <c r="H1614" s="16">
        <v>6.2109600594650122E-2</v>
      </c>
      <c r="I1614" s="16">
        <v>1.7056017505744829</v>
      </c>
      <c r="J1614" s="16">
        <v>1.9866051048311102</v>
      </c>
      <c r="K1614" s="16">
        <v>0.36720250311260816</v>
      </c>
      <c r="L1614" s="16">
        <v>1.015433659437047</v>
      </c>
      <c r="M1614" s="16">
        <v>2.6767731959685461</v>
      </c>
    </row>
    <row r="1615" spans="2:13" x14ac:dyDescent="0.35">
      <c r="B1615" s="7" t="s">
        <v>214</v>
      </c>
      <c r="C1615" s="13">
        <v>1</v>
      </c>
      <c r="D1615" s="16">
        <v>2.2405492482825999</v>
      </c>
      <c r="E1615" s="16">
        <v>2.3602784982653389</v>
      </c>
      <c r="F1615" s="16">
        <v>-0.1197292499827389</v>
      </c>
      <c r="G1615" s="16">
        <v>-0.22575266325996421</v>
      </c>
      <c r="H1615" s="16">
        <v>4.8243085893225665E-2</v>
      </c>
      <c r="I1615" s="16">
        <v>2.2511450565277125</v>
      </c>
      <c r="J1615" s="16">
        <v>2.4694119400029653</v>
      </c>
      <c r="K1615" s="16">
        <v>0.3651129566896239</v>
      </c>
      <c r="L1615" s="16">
        <v>1.5343356123826013</v>
      </c>
      <c r="M1615" s="16">
        <v>3.1862213841480767</v>
      </c>
    </row>
    <row r="1616" spans="2:13" x14ac:dyDescent="0.35">
      <c r="B1616" s="7" t="s">
        <v>215</v>
      </c>
      <c r="C1616" s="13">
        <v>1</v>
      </c>
      <c r="D1616" s="16">
        <v>1.86923171973098</v>
      </c>
      <c r="E1616" s="16">
        <v>2.2279216828773207</v>
      </c>
      <c r="F1616" s="16">
        <v>-0.35868996314634083</v>
      </c>
      <c r="G1616" s="16">
        <v>-0.67631939961687615</v>
      </c>
      <c r="H1616" s="16">
        <v>4.2473325456087389E-2</v>
      </c>
      <c r="I1616" s="16">
        <v>2.1318403459718795</v>
      </c>
      <c r="J1616" s="16">
        <v>2.3240030197827619</v>
      </c>
      <c r="K1616" s="16">
        <v>0.36439547085746932</v>
      </c>
      <c r="L1616" s="16">
        <v>1.4036018627005025</v>
      </c>
      <c r="M1616" s="16">
        <v>3.0522415030541392</v>
      </c>
    </row>
    <row r="1617" spans="2:13" x14ac:dyDescent="0.35">
      <c r="B1617" s="7" t="s">
        <v>216</v>
      </c>
      <c r="C1617" s="13">
        <v>1</v>
      </c>
      <c r="D1617" s="16">
        <v>2.0334237554869499</v>
      </c>
      <c r="E1617" s="16">
        <v>2.0505161941139218</v>
      </c>
      <c r="F1617" s="16">
        <v>-1.7092438626971997E-2</v>
      </c>
      <c r="G1617" s="16">
        <v>-3.2228244494997754E-2</v>
      </c>
      <c r="H1617" s="16">
        <v>5.5741372042153743E-2</v>
      </c>
      <c r="I1617" s="16">
        <v>1.9244204507445708</v>
      </c>
      <c r="J1617" s="16">
        <v>2.1766119374832731</v>
      </c>
      <c r="K1617" s="16">
        <v>0.36617915883250352</v>
      </c>
      <c r="L1617" s="16">
        <v>1.2221613914293026</v>
      </c>
      <c r="M1617" s="16">
        <v>2.8788709967985411</v>
      </c>
    </row>
    <row r="1618" spans="2:13" x14ac:dyDescent="0.35">
      <c r="B1618" s="7" t="s">
        <v>217</v>
      </c>
      <c r="C1618" s="13">
        <v>1</v>
      </c>
      <c r="D1618" s="16">
        <v>1.77085201164214</v>
      </c>
      <c r="E1618" s="16">
        <v>2.3086845922334929</v>
      </c>
      <c r="F1618" s="16">
        <v>-0.53783258059135297</v>
      </c>
      <c r="G1618" s="16">
        <v>-1.0140975365166132</v>
      </c>
      <c r="H1618" s="16">
        <v>5.0280798056169522E-2</v>
      </c>
      <c r="I1618" s="16">
        <v>2.1949415253548694</v>
      </c>
      <c r="J1618" s="16">
        <v>2.4224276591121163</v>
      </c>
      <c r="K1618" s="16">
        <v>0.36538778641233116</v>
      </c>
      <c r="L1618" s="16">
        <v>1.4821199983282374</v>
      </c>
      <c r="M1618" s="16">
        <v>3.1352491861387484</v>
      </c>
    </row>
    <row r="1619" spans="2:13" x14ac:dyDescent="0.35">
      <c r="B1619" s="7" t="s">
        <v>218</v>
      </c>
      <c r="C1619" s="13">
        <v>1</v>
      </c>
      <c r="D1619" s="16">
        <v>1.3802112417116099</v>
      </c>
      <c r="E1619" s="16">
        <v>2.0771213058740443</v>
      </c>
      <c r="F1619" s="16">
        <v>-0.69691006416243428</v>
      </c>
      <c r="G1619" s="16">
        <v>-1.3140423335151927</v>
      </c>
      <c r="H1619" s="16">
        <v>7.3001667977149867E-2</v>
      </c>
      <c r="I1619" s="16">
        <v>1.9119800606276958</v>
      </c>
      <c r="J1619" s="16">
        <v>2.2422625511203926</v>
      </c>
      <c r="K1619" s="16">
        <v>0.36920092000641613</v>
      </c>
      <c r="L1619" s="16">
        <v>1.2419308045413724</v>
      </c>
      <c r="M1619" s="16">
        <v>2.9123118072067165</v>
      </c>
    </row>
    <row r="1620" spans="2:13" x14ac:dyDescent="0.35">
      <c r="B1620" s="7" t="s">
        <v>219</v>
      </c>
      <c r="C1620" s="13">
        <v>1</v>
      </c>
      <c r="D1620" s="16">
        <v>1.8573324964312701</v>
      </c>
      <c r="E1620" s="16">
        <v>2.2429551670120711</v>
      </c>
      <c r="F1620" s="16">
        <v>-0.38562267058080113</v>
      </c>
      <c r="G1620" s="16">
        <v>-0.72710173086013885</v>
      </c>
      <c r="H1620" s="16">
        <v>5.5634848765508858E-2</v>
      </c>
      <c r="I1620" s="16">
        <v>2.1171003960347257</v>
      </c>
      <c r="J1620" s="16">
        <v>2.3688099379894165</v>
      </c>
      <c r="K1620" s="16">
        <v>0.36616295853526626</v>
      </c>
      <c r="L1620" s="16">
        <v>1.4146370119456948</v>
      </c>
      <c r="M1620" s="16">
        <v>3.0712733220784472</v>
      </c>
    </row>
    <row r="1621" spans="2:13" x14ac:dyDescent="0.35">
      <c r="B1621" s="7" t="s">
        <v>220</v>
      </c>
      <c r="C1621" s="13">
        <v>1</v>
      </c>
      <c r="D1621" s="16">
        <v>2.17609125905568</v>
      </c>
      <c r="E1621" s="16">
        <v>1.7191959140173978</v>
      </c>
      <c r="F1621" s="16">
        <v>0.45689534503828216</v>
      </c>
      <c r="G1621" s="16">
        <v>0.86148824108012634</v>
      </c>
      <c r="H1621" s="16">
        <v>8.323103615979377E-2</v>
      </c>
      <c r="I1621" s="16">
        <v>1.5309142303869023</v>
      </c>
      <c r="J1621" s="16">
        <v>1.9074775976478933</v>
      </c>
      <c r="K1621" s="16">
        <v>0.37135896540459468</v>
      </c>
      <c r="L1621" s="16">
        <v>0.87912357485514503</v>
      </c>
      <c r="M1621" s="16">
        <v>2.5592682531796505</v>
      </c>
    </row>
    <row r="1622" spans="2:13" x14ac:dyDescent="0.35">
      <c r="B1622" s="7" t="s">
        <v>221</v>
      </c>
      <c r="C1622" s="13">
        <v>1</v>
      </c>
      <c r="D1622" s="16">
        <v>2.2624510897304302</v>
      </c>
      <c r="E1622" s="16">
        <v>2.2046352977329056</v>
      </c>
      <c r="F1622" s="16">
        <v>5.7815791997524534E-2</v>
      </c>
      <c r="G1622" s="16">
        <v>0.10901320290411054</v>
      </c>
      <c r="H1622" s="16">
        <v>4.5886123044917973E-2</v>
      </c>
      <c r="I1622" s="16">
        <v>2.1008336763571198</v>
      </c>
      <c r="J1622" s="16">
        <v>2.3084369191086913</v>
      </c>
      <c r="K1622" s="16">
        <v>0.36480900769338381</v>
      </c>
      <c r="L1622" s="16">
        <v>1.3793799922455388</v>
      </c>
      <c r="M1622" s="16">
        <v>3.0298906032202724</v>
      </c>
    </row>
    <row r="1623" spans="2:13" x14ac:dyDescent="0.35">
      <c r="B1623" s="7" t="s">
        <v>222</v>
      </c>
      <c r="C1623" s="13">
        <v>1</v>
      </c>
      <c r="D1623" s="16">
        <v>2.63648789635337</v>
      </c>
      <c r="E1623" s="16">
        <v>2.2773284497588162</v>
      </c>
      <c r="F1623" s="16">
        <v>0.35915944659455395</v>
      </c>
      <c r="G1623" s="16">
        <v>0.67720462305898299</v>
      </c>
      <c r="H1623" s="16">
        <v>5.3126211436069444E-2</v>
      </c>
      <c r="I1623" s="16">
        <v>2.1571486106554216</v>
      </c>
      <c r="J1623" s="16">
        <v>2.3975082888622108</v>
      </c>
      <c r="K1623" s="16">
        <v>0.3657901996331886</v>
      </c>
      <c r="L1623" s="16">
        <v>1.449853533908358</v>
      </c>
      <c r="M1623" s="16">
        <v>3.1048033656092744</v>
      </c>
    </row>
    <row r="1624" spans="2:13" x14ac:dyDescent="0.35">
      <c r="B1624" s="7" t="s">
        <v>223</v>
      </c>
      <c r="C1624" s="13">
        <v>1</v>
      </c>
      <c r="D1624" s="16">
        <v>2.3820170425748701</v>
      </c>
      <c r="E1624" s="16">
        <v>2.2483741584335526</v>
      </c>
      <c r="F1624" s="16">
        <v>0.1336428841413177</v>
      </c>
      <c r="G1624" s="16">
        <v>0.25198718796780972</v>
      </c>
      <c r="H1624" s="16">
        <v>5.1844435169727074E-2</v>
      </c>
      <c r="I1624" s="16">
        <v>2.1310938986769923</v>
      </c>
      <c r="J1624" s="16">
        <v>2.3656544181901129</v>
      </c>
      <c r="K1624" s="16">
        <v>0.36560623799958075</v>
      </c>
      <c r="L1624" s="16">
        <v>1.4213153927080624</v>
      </c>
      <c r="M1624" s="16">
        <v>3.0754329241590428</v>
      </c>
    </row>
    <row r="1625" spans="2:13" x14ac:dyDescent="0.35">
      <c r="B1625" s="7" t="s">
        <v>224</v>
      </c>
      <c r="C1625" s="13">
        <v>1</v>
      </c>
      <c r="D1625" s="16">
        <v>2.1492191126553801</v>
      </c>
      <c r="E1625" s="16">
        <v>2.1739923909563323</v>
      </c>
      <c r="F1625" s="16">
        <v>-2.4773278300952044E-2</v>
      </c>
      <c r="G1625" s="16">
        <v>-4.671067057487191E-2</v>
      </c>
      <c r="H1625" s="16">
        <v>5.0162241750557918E-2</v>
      </c>
      <c r="I1625" s="16">
        <v>2.0605175170722396</v>
      </c>
      <c r="J1625" s="16">
        <v>2.2874672648404251</v>
      </c>
      <c r="K1625" s="16">
        <v>0.36537149081938436</v>
      </c>
      <c r="L1625" s="16">
        <v>1.3474646602431903</v>
      </c>
      <c r="M1625" s="16">
        <v>3.0005201216694743</v>
      </c>
    </row>
    <row r="1626" spans="2:13" x14ac:dyDescent="0.35">
      <c r="B1626" s="7" t="s">
        <v>225</v>
      </c>
      <c r="C1626" s="13">
        <v>1</v>
      </c>
      <c r="D1626" s="16">
        <v>2.2174839442139098</v>
      </c>
      <c r="E1626" s="16">
        <v>2.2636460141315933</v>
      </c>
      <c r="F1626" s="16">
        <v>-4.616206991768361E-2</v>
      </c>
      <c r="G1626" s="16">
        <v>-8.7039802111949713E-2</v>
      </c>
      <c r="H1626" s="16">
        <v>4.6093913888254685E-2</v>
      </c>
      <c r="I1626" s="16">
        <v>2.15937433721365</v>
      </c>
      <c r="J1626" s="16">
        <v>2.3679176910495365</v>
      </c>
      <c r="K1626" s="16">
        <v>0.3648352021168953</v>
      </c>
      <c r="L1626" s="16">
        <v>1.4383314527417648</v>
      </c>
      <c r="M1626" s="16">
        <v>3.0889605755214218</v>
      </c>
    </row>
    <row r="1627" spans="2:13" x14ac:dyDescent="0.35">
      <c r="B1627" s="7" t="s">
        <v>226</v>
      </c>
      <c r="C1627" s="13">
        <v>1</v>
      </c>
      <c r="D1627" s="16">
        <v>2.3096301674259001</v>
      </c>
      <c r="E1627" s="16">
        <v>2.2818833320221334</v>
      </c>
      <c r="F1627" s="16">
        <v>2.7746835403766618E-2</v>
      </c>
      <c r="G1627" s="16">
        <v>5.2317391033011855E-2</v>
      </c>
      <c r="H1627" s="16">
        <v>4.5404342886752443E-2</v>
      </c>
      <c r="I1627" s="16">
        <v>2.1791715730763315</v>
      </c>
      <c r="J1627" s="16">
        <v>2.3845950909679354</v>
      </c>
      <c r="K1627" s="16">
        <v>0.36474872194308755</v>
      </c>
      <c r="L1627" s="16">
        <v>1.4567644023759003</v>
      </c>
      <c r="M1627" s="16">
        <v>3.1070022616683666</v>
      </c>
    </row>
    <row r="1628" spans="2:13" x14ac:dyDescent="0.35">
      <c r="B1628" s="7" t="s">
        <v>227</v>
      </c>
      <c r="C1628" s="13">
        <v>1</v>
      </c>
      <c r="D1628" s="16">
        <v>2.3729120029701098</v>
      </c>
      <c r="E1628" s="16">
        <v>2.2646253834390366</v>
      </c>
      <c r="F1628" s="16">
        <v>0.10828661953107337</v>
      </c>
      <c r="G1628" s="16">
        <v>0.20417728130830684</v>
      </c>
      <c r="H1628" s="16">
        <v>4.4317673010093261E-2</v>
      </c>
      <c r="I1628" s="16">
        <v>2.1643718425254495</v>
      </c>
      <c r="J1628" s="16">
        <v>2.3648789243526238</v>
      </c>
      <c r="K1628" s="16">
        <v>0.36461504624352464</v>
      </c>
      <c r="L1628" s="16">
        <v>1.439808849232479</v>
      </c>
      <c r="M1628" s="16">
        <v>3.0894419176455941</v>
      </c>
    </row>
    <row r="1629" spans="2:13" x14ac:dyDescent="0.35">
      <c r="B1629" s="7" t="s">
        <v>228</v>
      </c>
      <c r="C1629" s="13">
        <v>1</v>
      </c>
      <c r="D1629" s="16">
        <v>2.45636603312904</v>
      </c>
      <c r="E1629" s="16">
        <v>2.2883367061761315</v>
      </c>
      <c r="F1629" s="16">
        <v>0.16802932695290862</v>
      </c>
      <c r="G1629" s="16">
        <v>0.31682373414071446</v>
      </c>
      <c r="H1629" s="16">
        <v>4.2805874974765672E-2</v>
      </c>
      <c r="I1629" s="16">
        <v>2.1915030899989647</v>
      </c>
      <c r="J1629" s="16">
        <v>2.3851703223532983</v>
      </c>
      <c r="K1629" s="16">
        <v>0.36443438193794681</v>
      </c>
      <c r="L1629" s="16">
        <v>1.4639288630203595</v>
      </c>
      <c r="M1629" s="16">
        <v>3.1127445493319037</v>
      </c>
    </row>
    <row r="1630" spans="2:13" x14ac:dyDescent="0.35">
      <c r="B1630" s="7" t="s">
        <v>229</v>
      </c>
      <c r="C1630" s="13">
        <v>1</v>
      </c>
      <c r="D1630" s="16">
        <v>2.5352941200427699</v>
      </c>
      <c r="E1630" s="16">
        <v>2.3794523171065958</v>
      </c>
      <c r="F1630" s="16">
        <v>0.15584180293617392</v>
      </c>
      <c r="G1630" s="16">
        <v>0.29384383569719047</v>
      </c>
      <c r="H1630" s="16">
        <v>5.8784027143649879E-2</v>
      </c>
      <c r="I1630" s="16">
        <v>2.2464736097414972</v>
      </c>
      <c r="J1630" s="16">
        <v>2.5124310244716943</v>
      </c>
      <c r="K1630" s="16">
        <v>0.36665465720942841</v>
      </c>
      <c r="L1630" s="16">
        <v>1.550021862368347</v>
      </c>
      <c r="M1630" s="16">
        <v>3.2088827718448445</v>
      </c>
    </row>
    <row r="1631" spans="2:13" x14ac:dyDescent="0.35">
      <c r="B1631" s="7" t="s">
        <v>230</v>
      </c>
      <c r="C1631" s="13">
        <v>1</v>
      </c>
      <c r="D1631" s="16">
        <v>2.6541765418779599</v>
      </c>
      <c r="E1631" s="16">
        <v>2.7349796822690347</v>
      </c>
      <c r="F1631" s="16">
        <v>-8.0803140391074654E-2</v>
      </c>
      <c r="G1631" s="16">
        <v>-0.15235645546667778</v>
      </c>
      <c r="H1631" s="16">
        <v>4.3075201469117912E-2</v>
      </c>
      <c r="I1631" s="16">
        <v>2.6375368072367262</v>
      </c>
      <c r="J1631" s="16">
        <v>2.8324225573013431</v>
      </c>
      <c r="K1631" s="16">
        <v>0.36446611473186796</v>
      </c>
      <c r="L1631" s="16">
        <v>1.9105000545465742</v>
      </c>
      <c r="M1631" s="16">
        <v>3.5594593099914951</v>
      </c>
    </row>
    <row r="1632" spans="2:13" x14ac:dyDescent="0.35">
      <c r="B1632" s="7" t="s">
        <v>231</v>
      </c>
      <c r="C1632" s="13">
        <v>1</v>
      </c>
      <c r="D1632" s="16">
        <v>2.9532763366673001</v>
      </c>
      <c r="E1632" s="16">
        <v>2.7628513664906857</v>
      </c>
      <c r="F1632" s="16">
        <v>0.19042497017661439</v>
      </c>
      <c r="G1632" s="16">
        <v>0.35905131097678783</v>
      </c>
      <c r="H1632" s="16">
        <v>4.5604679119412753E-2</v>
      </c>
      <c r="I1632" s="16">
        <v>2.6596864155035753</v>
      </c>
      <c r="J1632" s="16">
        <v>2.8660163174777962</v>
      </c>
      <c r="K1632" s="16">
        <v>0.36477371418966398</v>
      </c>
      <c r="L1632" s="16">
        <v>1.9376759004551412</v>
      </c>
      <c r="M1632" s="16">
        <v>3.5880268325262303</v>
      </c>
    </row>
    <row r="1633" spans="2:13" x14ac:dyDescent="0.35">
      <c r="B1633" s="7" t="s">
        <v>232</v>
      </c>
      <c r="C1633" s="13">
        <v>1</v>
      </c>
      <c r="D1633" s="16">
        <v>2.6720978579357202</v>
      </c>
      <c r="E1633" s="16">
        <v>2.8243749820143504</v>
      </c>
      <c r="F1633" s="16">
        <v>-0.15227712407863042</v>
      </c>
      <c r="G1633" s="16">
        <v>-0.2871225395571666</v>
      </c>
      <c r="H1633" s="16">
        <v>4.4119884249868131E-2</v>
      </c>
      <c r="I1633" s="16">
        <v>2.7245688703590858</v>
      </c>
      <c r="J1633" s="16">
        <v>2.9241810936696151</v>
      </c>
      <c r="K1633" s="16">
        <v>0.36459105857434276</v>
      </c>
      <c r="L1633" s="16">
        <v>1.9996127116851674</v>
      </c>
      <c r="M1633" s="16">
        <v>3.6491372523435333</v>
      </c>
    </row>
    <row r="1634" spans="2:13" x14ac:dyDescent="0.35">
      <c r="B1634" s="7" t="s">
        <v>233</v>
      </c>
      <c r="C1634" s="13">
        <v>1</v>
      </c>
      <c r="D1634" s="16">
        <v>2.6127838567197399</v>
      </c>
      <c r="E1634" s="16">
        <v>2.824827162745807</v>
      </c>
      <c r="F1634" s="16">
        <v>-0.21204330602606722</v>
      </c>
      <c r="G1634" s="16">
        <v>-0.39981325422763037</v>
      </c>
      <c r="H1634" s="16">
        <v>4.6940797129950175E-2</v>
      </c>
      <c r="I1634" s="16">
        <v>2.718639702846636</v>
      </c>
      <c r="J1634" s="16">
        <v>2.931014622644978</v>
      </c>
      <c r="K1634" s="16">
        <v>0.36494316576877167</v>
      </c>
      <c r="L1634" s="16">
        <v>1.999268370608843</v>
      </c>
      <c r="M1634" s="16">
        <v>3.6503859548827711</v>
      </c>
    </row>
    <row r="1635" spans="2:13" x14ac:dyDescent="0.35">
      <c r="B1635" s="7" t="s">
        <v>234</v>
      </c>
      <c r="C1635" s="13">
        <v>1</v>
      </c>
      <c r="D1635" s="16">
        <v>2.7403626894942401</v>
      </c>
      <c r="E1635" s="16">
        <v>2.5944848445229982</v>
      </c>
      <c r="F1635" s="16">
        <v>0.14587784497124184</v>
      </c>
      <c r="G1635" s="16">
        <v>0.27505652977555445</v>
      </c>
      <c r="H1635" s="16">
        <v>5.6975973977839142E-2</v>
      </c>
      <c r="I1635" s="16">
        <v>2.4655962375562503</v>
      </c>
      <c r="J1635" s="16">
        <v>2.7233734514897461</v>
      </c>
      <c r="K1635" s="16">
        <v>0.36636912727038212</v>
      </c>
      <c r="L1635" s="16">
        <v>1.7657003033781757</v>
      </c>
      <c r="M1635" s="16">
        <v>3.4232693856678207</v>
      </c>
    </row>
    <row r="1636" spans="2:13" x14ac:dyDescent="0.35">
      <c r="B1636" s="7" t="s">
        <v>235</v>
      </c>
      <c r="C1636" s="13">
        <v>1</v>
      </c>
      <c r="D1636" s="16">
        <v>2.43136376415899</v>
      </c>
      <c r="E1636" s="16">
        <v>2.6281784699286783</v>
      </c>
      <c r="F1636" s="16">
        <v>-0.19681470576968829</v>
      </c>
      <c r="G1636" s="16">
        <v>-0.37109932621008618</v>
      </c>
      <c r="H1636" s="16">
        <v>5.7388908341829817E-2</v>
      </c>
      <c r="I1636" s="16">
        <v>2.4983557405375527</v>
      </c>
      <c r="J1636" s="16">
        <v>2.7580011993198039</v>
      </c>
      <c r="K1636" s="16">
        <v>0.36643357188828235</v>
      </c>
      <c r="L1636" s="16">
        <v>1.7992481449306321</v>
      </c>
      <c r="M1636" s="16">
        <v>3.4571087949267243</v>
      </c>
    </row>
    <row r="1637" spans="2:13" x14ac:dyDescent="0.35">
      <c r="B1637" s="7" t="s">
        <v>236</v>
      </c>
      <c r="C1637" s="13">
        <v>1</v>
      </c>
      <c r="D1637" s="16">
        <v>2.93951925261862</v>
      </c>
      <c r="E1637" s="16">
        <v>2.7188330791308619</v>
      </c>
      <c r="F1637" s="16">
        <v>0.2206861734877581</v>
      </c>
      <c r="G1637" s="16">
        <v>0.4161096091113442</v>
      </c>
      <c r="H1637" s="16">
        <v>4.0199052053452693E-2</v>
      </c>
      <c r="I1637" s="16">
        <v>2.6278965060664237</v>
      </c>
      <c r="J1637" s="16">
        <v>2.8097696521953002</v>
      </c>
      <c r="K1637" s="16">
        <v>0.36413739109316173</v>
      </c>
      <c r="L1637" s="16">
        <v>1.8950970759383896</v>
      </c>
      <c r="M1637" s="16">
        <v>3.5425690823233342</v>
      </c>
    </row>
    <row r="1638" spans="2:13" x14ac:dyDescent="0.35">
      <c r="B1638" s="7" t="s">
        <v>237</v>
      </c>
      <c r="C1638" s="13">
        <v>1</v>
      </c>
      <c r="D1638" s="16">
        <v>3.04139268515822</v>
      </c>
      <c r="E1638" s="16">
        <v>2.6874489930118726</v>
      </c>
      <c r="F1638" s="16">
        <v>0.35394369214634741</v>
      </c>
      <c r="G1638" s="16">
        <v>0.66737018028278261</v>
      </c>
      <c r="H1638" s="16">
        <v>3.7675039615728531E-2</v>
      </c>
      <c r="I1638" s="16">
        <v>2.6022221327325381</v>
      </c>
      <c r="J1638" s="16">
        <v>2.772675853291207</v>
      </c>
      <c r="K1638" s="16">
        <v>0.36386739949627911</v>
      </c>
      <c r="L1638" s="16">
        <v>1.8643237532409866</v>
      </c>
      <c r="M1638" s="16">
        <v>3.5105742327827585</v>
      </c>
    </row>
    <row r="1639" spans="2:13" x14ac:dyDescent="0.35">
      <c r="B1639" s="7" t="s">
        <v>238</v>
      </c>
      <c r="C1639" s="13">
        <v>1</v>
      </c>
      <c r="D1639" s="16">
        <v>2.43136376415899</v>
      </c>
      <c r="E1639" s="16">
        <v>2.7067402484067564</v>
      </c>
      <c r="F1639" s="16">
        <v>-0.27537648424776628</v>
      </c>
      <c r="G1639" s="16">
        <v>-0.5192296345885512</v>
      </c>
      <c r="H1639" s="16">
        <v>3.7166460770737687E-2</v>
      </c>
      <c r="I1639" s="16">
        <v>2.6226638733984435</v>
      </c>
      <c r="J1639" s="16">
        <v>2.7908166234150693</v>
      </c>
      <c r="K1639" s="16">
        <v>0.36381509261211364</v>
      </c>
      <c r="L1639" s="16">
        <v>1.8837333350279297</v>
      </c>
      <c r="M1639" s="16">
        <v>3.5297471617855831</v>
      </c>
    </row>
    <row r="1640" spans="2:13" x14ac:dyDescent="0.35">
      <c r="B1640" s="7" t="s">
        <v>239</v>
      </c>
      <c r="C1640" s="13">
        <v>1</v>
      </c>
      <c r="D1640" s="16">
        <v>2.6989700043360201</v>
      </c>
      <c r="E1640" s="16">
        <v>2.6246634846251884</v>
      </c>
      <c r="F1640" s="16">
        <v>7.4306519710831562E-2</v>
      </c>
      <c r="G1640" s="16">
        <v>0.14010690557835828</v>
      </c>
      <c r="H1640" s="16">
        <v>4.1837353451138787E-2</v>
      </c>
      <c r="I1640" s="16">
        <v>2.5300208163385505</v>
      </c>
      <c r="J1640" s="16">
        <v>2.7193061529118263</v>
      </c>
      <c r="K1640" s="16">
        <v>0.36432189057196868</v>
      </c>
      <c r="L1640" s="16">
        <v>1.800510114617385</v>
      </c>
      <c r="M1640" s="16">
        <v>3.4488168546329918</v>
      </c>
    </row>
    <row r="1641" spans="2:13" x14ac:dyDescent="0.35">
      <c r="B1641" s="7" t="s">
        <v>240</v>
      </c>
      <c r="C1641" s="13">
        <v>1</v>
      </c>
      <c r="D1641" s="16">
        <v>2.36172783601759</v>
      </c>
      <c r="E1641" s="16">
        <v>2.7006789125800892</v>
      </c>
      <c r="F1641" s="16">
        <v>-0.33895107656249907</v>
      </c>
      <c r="G1641" s="16">
        <v>-0.63910120759837552</v>
      </c>
      <c r="H1641" s="16">
        <v>3.9195607939092991E-2</v>
      </c>
      <c r="I1641" s="16">
        <v>2.6120122877945362</v>
      </c>
      <c r="J1641" s="16">
        <v>2.7893455373656422</v>
      </c>
      <c r="K1641" s="16">
        <v>0.36402798173746637</v>
      </c>
      <c r="L1641" s="16">
        <v>1.8771904105439847</v>
      </c>
      <c r="M1641" s="16">
        <v>3.5241674146161936</v>
      </c>
    </row>
    <row r="1642" spans="2:13" x14ac:dyDescent="0.35">
      <c r="B1642" s="7" t="s">
        <v>241</v>
      </c>
      <c r="C1642" s="13">
        <v>1</v>
      </c>
      <c r="D1642" s="16">
        <v>2.6127838567197399</v>
      </c>
      <c r="E1642" s="16">
        <v>2.6200393666087001</v>
      </c>
      <c r="F1642" s="16">
        <v>-7.2555098889601636E-3</v>
      </c>
      <c r="G1642" s="16">
        <v>-1.3680455535952192E-2</v>
      </c>
      <c r="H1642" s="16">
        <v>3.4511566068112613E-2</v>
      </c>
      <c r="I1642" s="16">
        <v>2.5419687806369704</v>
      </c>
      <c r="J1642" s="16">
        <v>2.6981099525804297</v>
      </c>
      <c r="K1642" s="16">
        <v>0.3635534678676739</v>
      </c>
      <c r="L1642" s="16">
        <v>1.7976242895163752</v>
      </c>
      <c r="M1642" s="16">
        <v>3.4424544437010249</v>
      </c>
    </row>
    <row r="1643" spans="2:13" x14ac:dyDescent="0.35">
      <c r="B1643" s="7" t="s">
        <v>242</v>
      </c>
      <c r="C1643" s="13">
        <v>1</v>
      </c>
      <c r="D1643" s="16">
        <v>2.82607480270083</v>
      </c>
      <c r="E1643" s="16">
        <v>2.6203179904813254</v>
      </c>
      <c r="F1643" s="16">
        <v>0.20575681221950443</v>
      </c>
      <c r="G1643" s="16">
        <v>0.38795990410973163</v>
      </c>
      <c r="H1643" s="16">
        <v>3.490568996863451E-2</v>
      </c>
      <c r="I1643" s="16">
        <v>2.5413558343096669</v>
      </c>
      <c r="J1643" s="16">
        <v>2.6992801466529839</v>
      </c>
      <c r="K1643" s="16">
        <v>0.36359109312292637</v>
      </c>
      <c r="L1643" s="16">
        <v>1.7978177991487745</v>
      </c>
      <c r="M1643" s="16">
        <v>3.4428181818138763</v>
      </c>
    </row>
    <row r="1644" spans="2:13" x14ac:dyDescent="0.35">
      <c r="B1644" s="7" t="s">
        <v>243</v>
      </c>
      <c r="C1644" s="13">
        <v>1</v>
      </c>
      <c r="D1644" s="16">
        <v>2.8325089127062402</v>
      </c>
      <c r="E1644" s="16">
        <v>2.4039401692680351</v>
      </c>
      <c r="F1644" s="16">
        <v>0.428568743438205</v>
      </c>
      <c r="G1644" s="16">
        <v>0.80807768557056359</v>
      </c>
      <c r="H1644" s="16">
        <v>4.2232677966253691E-2</v>
      </c>
      <c r="I1644" s="16">
        <v>2.3084032148025813</v>
      </c>
      <c r="J1644" s="16">
        <v>2.499477123733489</v>
      </c>
      <c r="K1644" s="16">
        <v>0.36436749977781957</v>
      </c>
      <c r="L1644" s="16">
        <v>1.5796836240690664</v>
      </c>
      <c r="M1644" s="16">
        <v>3.2281967144670038</v>
      </c>
    </row>
    <row r="1645" spans="2:13" x14ac:dyDescent="0.35">
      <c r="B1645" s="7" t="s">
        <v>244</v>
      </c>
      <c r="C1645" s="13">
        <v>1</v>
      </c>
      <c r="D1645" s="16">
        <v>2.7993405494535799</v>
      </c>
      <c r="E1645" s="16">
        <v>2.374607321209298</v>
      </c>
      <c r="F1645" s="16">
        <v>0.424733228244282</v>
      </c>
      <c r="G1645" s="16">
        <v>0.80084572036467605</v>
      </c>
      <c r="H1645" s="16">
        <v>4.1089792575103479E-2</v>
      </c>
      <c r="I1645" s="16">
        <v>2.2816557531041597</v>
      </c>
      <c r="J1645" s="16">
        <v>2.4675588893144362</v>
      </c>
      <c r="K1645" s="16">
        <v>0.36423680052954982</v>
      </c>
      <c r="L1645" s="16">
        <v>1.5506464382494276</v>
      </c>
      <c r="M1645" s="16">
        <v>3.1985682041691685</v>
      </c>
    </row>
    <row r="1646" spans="2:13" x14ac:dyDescent="0.35">
      <c r="B1646" s="7" t="s">
        <v>245</v>
      </c>
      <c r="C1646" s="13">
        <v>1</v>
      </c>
      <c r="D1646" s="16">
        <v>2.2304489213782701</v>
      </c>
      <c r="E1646" s="16">
        <v>2.2166450897901164</v>
      </c>
      <c r="F1646" s="16">
        <v>1.3803831588153462E-2</v>
      </c>
      <c r="G1646" s="16">
        <v>2.6027489061085145E-2</v>
      </c>
      <c r="H1646" s="16">
        <v>4.8191364620053065E-2</v>
      </c>
      <c r="I1646" s="16">
        <v>2.1076286497004539</v>
      </c>
      <c r="J1646" s="16">
        <v>2.3256615298797789</v>
      </c>
      <c r="K1646" s="16">
        <v>0.36510612625657346</v>
      </c>
      <c r="L1646" s="16">
        <v>1.390717655420348</v>
      </c>
      <c r="M1646" s="16">
        <v>3.0425725241598851</v>
      </c>
    </row>
    <row r="1647" spans="2:13" x14ac:dyDescent="0.35">
      <c r="B1647" s="7" t="s">
        <v>246</v>
      </c>
      <c r="C1647" s="13">
        <v>1</v>
      </c>
      <c r="D1647" s="16">
        <v>2.6232492903978999</v>
      </c>
      <c r="E1647" s="16">
        <v>2.1624158559805848</v>
      </c>
      <c r="F1647" s="16">
        <v>0.46083343441731511</v>
      </c>
      <c r="G1647" s="16">
        <v>0.86891361262133815</v>
      </c>
      <c r="H1647" s="16">
        <v>4.3865068021372751E-2</v>
      </c>
      <c r="I1647" s="16">
        <v>2.0631861786787908</v>
      </c>
      <c r="J1647" s="16">
        <v>2.2616455332823788</v>
      </c>
      <c r="K1647" s="16">
        <v>0.36456031050932808</v>
      </c>
      <c r="L1647" s="16">
        <v>1.3377231426065528</v>
      </c>
      <c r="M1647" s="16">
        <v>2.9871085693546169</v>
      </c>
    </row>
    <row r="1648" spans="2:13" x14ac:dyDescent="0.35">
      <c r="B1648" s="7" t="s">
        <v>247</v>
      </c>
      <c r="C1648" s="13">
        <v>1</v>
      </c>
      <c r="D1648" s="16">
        <v>2.5563025007672899</v>
      </c>
      <c r="E1648" s="16">
        <v>2.1630670887585524</v>
      </c>
      <c r="F1648" s="16">
        <v>0.39323541200873768</v>
      </c>
      <c r="G1648" s="16">
        <v>0.74145575589841406</v>
      </c>
      <c r="H1648" s="16">
        <v>3.0993220897838215E-2</v>
      </c>
      <c r="I1648" s="16">
        <v>2.0929555524732963</v>
      </c>
      <c r="J1648" s="16">
        <v>2.2331786250438084</v>
      </c>
      <c r="K1648" s="16">
        <v>0.36323636319586755</v>
      </c>
      <c r="L1648" s="16">
        <v>1.3413693522671564</v>
      </c>
      <c r="M1648" s="16">
        <v>2.9847648252499486</v>
      </c>
    </row>
    <row r="1649" spans="2:13" x14ac:dyDescent="0.35">
      <c r="B1649" s="7" t="s">
        <v>248</v>
      </c>
      <c r="C1649" s="13">
        <v>1</v>
      </c>
      <c r="D1649" s="16">
        <v>1.65321251377534</v>
      </c>
      <c r="E1649" s="16">
        <v>1.7770747475685789</v>
      </c>
      <c r="F1649" s="16">
        <v>-0.12386223379323896</v>
      </c>
      <c r="G1649" s="16">
        <v>-0.2335455133994683</v>
      </c>
      <c r="H1649" s="16">
        <v>4.5508847090139602E-2</v>
      </c>
      <c r="I1649" s="16">
        <v>1.6741265836917796</v>
      </c>
      <c r="J1649" s="16">
        <v>1.8800229114453781</v>
      </c>
      <c r="K1649" s="16">
        <v>0.3647617454854768</v>
      </c>
      <c r="L1649" s="16">
        <v>0.95192635662279912</v>
      </c>
      <c r="M1649" s="16">
        <v>2.6022231385143586</v>
      </c>
    </row>
    <row r="1650" spans="2:13" x14ac:dyDescent="0.35">
      <c r="B1650" s="7" t="s">
        <v>249</v>
      </c>
      <c r="C1650" s="13">
        <v>1</v>
      </c>
      <c r="D1650" s="16">
        <v>1.93951925261862</v>
      </c>
      <c r="E1650" s="16">
        <v>1.7982204383408269</v>
      </c>
      <c r="F1650" s="16">
        <v>0.14129881427779309</v>
      </c>
      <c r="G1650" s="16">
        <v>0.26642264645678143</v>
      </c>
      <c r="H1650" s="16">
        <v>5.2172726596814496E-2</v>
      </c>
      <c r="I1650" s="16">
        <v>1.6801975317848825</v>
      </c>
      <c r="J1650" s="16">
        <v>1.9162433448967713</v>
      </c>
      <c r="K1650" s="16">
        <v>0.36565293545476157</v>
      </c>
      <c r="L1650" s="16">
        <v>0.97105603563316778</v>
      </c>
      <c r="M1650" s="16">
        <v>2.6253848410484859</v>
      </c>
    </row>
    <row r="1651" spans="2:13" x14ac:dyDescent="0.35">
      <c r="B1651" s="7" t="s">
        <v>250</v>
      </c>
      <c r="C1651" s="13">
        <v>1</v>
      </c>
      <c r="D1651" s="16">
        <v>1.90308998699194</v>
      </c>
      <c r="E1651" s="16">
        <v>1.913873703927975</v>
      </c>
      <c r="F1651" s="16">
        <v>-1.0783716936035075E-2</v>
      </c>
      <c r="G1651" s="16">
        <v>-2.0332983114004881E-2</v>
      </c>
      <c r="H1651" s="16">
        <v>4.6384872447711008E-2</v>
      </c>
      <c r="I1651" s="16">
        <v>1.8089438330241252</v>
      </c>
      <c r="J1651" s="16">
        <v>2.0188035748318245</v>
      </c>
      <c r="K1651" s="16">
        <v>0.36487207648452419</v>
      </c>
      <c r="L1651" s="16">
        <v>1.0884757269237277</v>
      </c>
      <c r="M1651" s="16">
        <v>2.7392716809322222</v>
      </c>
    </row>
    <row r="1652" spans="2:13" x14ac:dyDescent="0.35">
      <c r="B1652" s="7" t="s">
        <v>251</v>
      </c>
      <c r="C1652" s="13">
        <v>1</v>
      </c>
      <c r="D1652" s="16">
        <v>1.9777236052888501</v>
      </c>
      <c r="E1652" s="16">
        <v>1.9361575354696969</v>
      </c>
      <c r="F1652" s="16">
        <v>4.1566069819153013E-2</v>
      </c>
      <c r="G1652" s="16">
        <v>7.8373922531680712E-2</v>
      </c>
      <c r="H1652" s="16">
        <v>3.8982724914001753E-2</v>
      </c>
      <c r="I1652" s="16">
        <v>1.8479724855416715</v>
      </c>
      <c r="J1652" s="16">
        <v>2.0243425853977226</v>
      </c>
      <c r="K1652" s="16">
        <v>0.36400512173300364</v>
      </c>
      <c r="L1652" s="16">
        <v>1.1127207463561586</v>
      </c>
      <c r="M1652" s="16">
        <v>2.7595943245832353</v>
      </c>
    </row>
    <row r="1653" spans="2:13" x14ac:dyDescent="0.35">
      <c r="B1653" s="7" t="s">
        <v>252</v>
      </c>
      <c r="C1653" s="13">
        <v>1</v>
      </c>
      <c r="D1653" s="16">
        <v>1.8573324964312701</v>
      </c>
      <c r="E1653" s="16">
        <v>2.1506276111941571</v>
      </c>
      <c r="F1653" s="16">
        <v>-0.29329511476288705</v>
      </c>
      <c r="G1653" s="16">
        <v>-0.55301568571092075</v>
      </c>
      <c r="H1653" s="16">
        <v>3.7467453132005286E-2</v>
      </c>
      <c r="I1653" s="16">
        <v>2.0658703441634194</v>
      </c>
      <c r="J1653" s="16">
        <v>2.2353848782248948</v>
      </c>
      <c r="K1653" s="16">
        <v>0.36384596445520329</v>
      </c>
      <c r="L1653" s="16">
        <v>1.327550860854722</v>
      </c>
      <c r="M1653" s="16">
        <v>2.9737043615335921</v>
      </c>
    </row>
    <row r="1654" spans="2:13" x14ac:dyDescent="0.35">
      <c r="B1654" s="7" t="s">
        <v>253</v>
      </c>
      <c r="C1654" s="13">
        <v>1</v>
      </c>
      <c r="D1654" s="16">
        <v>1.77085201164214</v>
      </c>
      <c r="E1654" s="16">
        <v>2.1214450071679218</v>
      </c>
      <c r="F1654" s="16">
        <v>-0.35059299552578177</v>
      </c>
      <c r="G1654" s="16">
        <v>-0.66105235330250922</v>
      </c>
      <c r="H1654" s="16">
        <v>3.6854958607165075E-2</v>
      </c>
      <c r="I1654" s="16">
        <v>2.0380732990064736</v>
      </c>
      <c r="J1654" s="16">
        <v>2.2048167153293701</v>
      </c>
      <c r="K1654" s="16">
        <v>0.3637834022877815</v>
      </c>
      <c r="L1654" s="16">
        <v>1.2985097822828993</v>
      </c>
      <c r="M1654" s="16">
        <v>2.9443802320529446</v>
      </c>
    </row>
    <row r="1655" spans="2:13" x14ac:dyDescent="0.35">
      <c r="B1655" s="7" t="s">
        <v>254</v>
      </c>
      <c r="C1655" s="13">
        <v>1</v>
      </c>
      <c r="D1655" s="16">
        <v>2.17609125905568</v>
      </c>
      <c r="E1655" s="16">
        <v>2.2020334379064295</v>
      </c>
      <c r="F1655" s="16">
        <v>-2.5942178850749543E-2</v>
      </c>
      <c r="G1655" s="16">
        <v>-4.8914663435771534E-2</v>
      </c>
      <c r="H1655" s="16">
        <v>3.5470492387109163E-2</v>
      </c>
      <c r="I1655" s="16">
        <v>2.1217936099049401</v>
      </c>
      <c r="J1655" s="16">
        <v>2.2822732659079188</v>
      </c>
      <c r="K1655" s="16">
        <v>0.3636457501969767</v>
      </c>
      <c r="L1655" s="16">
        <v>1.3794096036829653</v>
      </c>
      <c r="M1655" s="16">
        <v>3.0246572721298937</v>
      </c>
    </row>
    <row r="1656" spans="2:13" x14ac:dyDescent="0.35">
      <c r="B1656" s="7" t="s">
        <v>255</v>
      </c>
      <c r="C1656" s="13">
        <v>1</v>
      </c>
      <c r="D1656" s="16">
        <v>2</v>
      </c>
      <c r="E1656" s="16">
        <v>1.6857270141255305</v>
      </c>
      <c r="F1656" s="16">
        <v>0.31427298587446945</v>
      </c>
      <c r="G1656" s="16">
        <v>0.59257001578186619</v>
      </c>
      <c r="H1656" s="16">
        <v>5.5041357602784731E-2</v>
      </c>
      <c r="I1656" s="16">
        <v>1.5612148134259716</v>
      </c>
      <c r="J1656" s="16">
        <v>1.8102392148250894</v>
      </c>
      <c r="K1656" s="16">
        <v>0.36607325339731622</v>
      </c>
      <c r="L1656" s="16">
        <v>0.85761178617844558</v>
      </c>
      <c r="M1656" s="16">
        <v>2.5138422420726156</v>
      </c>
    </row>
    <row r="1657" spans="2:13" x14ac:dyDescent="0.35">
      <c r="B1657" s="7" t="s">
        <v>256</v>
      </c>
      <c r="C1657" s="13">
        <v>1</v>
      </c>
      <c r="D1657" s="16">
        <v>2.3010299956639799</v>
      </c>
      <c r="E1657" s="16">
        <v>1.8174534707038368</v>
      </c>
      <c r="F1657" s="16">
        <v>0.48357652496014308</v>
      </c>
      <c r="G1657" s="16">
        <v>0.91179631055476806</v>
      </c>
      <c r="H1657" s="16">
        <v>4.5077901164477227E-2</v>
      </c>
      <c r="I1657" s="16">
        <v>1.7154801742344508</v>
      </c>
      <c r="J1657" s="16">
        <v>1.9194267671732228</v>
      </c>
      <c r="K1657" s="16">
        <v>0.36470822993117719</v>
      </c>
      <c r="L1657" s="16">
        <v>0.99242614035190335</v>
      </c>
      <c r="M1657" s="16">
        <v>2.6424808010557701</v>
      </c>
    </row>
    <row r="1658" spans="2:13" x14ac:dyDescent="0.35">
      <c r="B1658" s="7" t="s">
        <v>257</v>
      </c>
      <c r="C1658" s="13">
        <v>1</v>
      </c>
      <c r="D1658" s="16">
        <v>2.17609125905568</v>
      </c>
      <c r="E1658" s="16">
        <v>2.0398130967769514</v>
      </c>
      <c r="F1658" s="16">
        <v>0.13627816227872872</v>
      </c>
      <c r="G1658" s="16">
        <v>0.256956074501694</v>
      </c>
      <c r="H1658" s="16">
        <v>3.9126361462200478E-2</v>
      </c>
      <c r="I1658" s="16">
        <v>1.9513031184042793</v>
      </c>
      <c r="J1658" s="16">
        <v>2.1283230751496234</v>
      </c>
      <c r="K1658" s="16">
        <v>0.36402053234317538</v>
      </c>
      <c r="L1658" s="16">
        <v>1.2163414464414126</v>
      </c>
      <c r="M1658" s="16">
        <v>2.8632847471124903</v>
      </c>
    </row>
    <row r="1659" spans="2:13" x14ac:dyDescent="0.35">
      <c r="B1659" s="7" t="s">
        <v>258</v>
      </c>
      <c r="C1659" s="13">
        <v>1</v>
      </c>
      <c r="D1659" s="16">
        <v>2.1613680022349699</v>
      </c>
      <c r="E1659" s="16">
        <v>2.244967128033744</v>
      </c>
      <c r="F1659" s="16">
        <v>-8.3599125798774085E-2</v>
      </c>
      <c r="G1659" s="16">
        <v>-0.15762835980346382</v>
      </c>
      <c r="H1659" s="16">
        <v>3.9609265973382803E-2</v>
      </c>
      <c r="I1659" s="16">
        <v>2.1553647437678709</v>
      </c>
      <c r="J1659" s="16">
        <v>2.3345695122996171</v>
      </c>
      <c r="K1659" s="16">
        <v>0.36407275338466111</v>
      </c>
      <c r="L1659" s="16">
        <v>1.4213773454957779</v>
      </c>
      <c r="M1659" s="16">
        <v>3.0685569105717101</v>
      </c>
    </row>
    <row r="1660" spans="2:13" x14ac:dyDescent="0.35">
      <c r="B1660" s="7" t="s">
        <v>259</v>
      </c>
      <c r="C1660" s="13">
        <v>1</v>
      </c>
      <c r="D1660" s="16">
        <v>2.9493900066449101</v>
      </c>
      <c r="E1660" s="16">
        <v>2.7219562323716198</v>
      </c>
      <c r="F1660" s="16">
        <v>0.22743377427329045</v>
      </c>
      <c r="G1660" s="16">
        <v>0.42883238861734263</v>
      </c>
      <c r="H1660" s="16">
        <v>5.6269489915265862E-2</v>
      </c>
      <c r="I1660" s="16">
        <v>2.5946658033790597</v>
      </c>
      <c r="J1660" s="16">
        <v>2.8492466613641798</v>
      </c>
      <c r="K1660" s="16">
        <v>0.36625992314401834</v>
      </c>
      <c r="L1660" s="16">
        <v>1.8934187281221653</v>
      </c>
      <c r="M1660" s="16">
        <v>3.5504937366210743</v>
      </c>
    </row>
    <row r="1661" spans="2:13" x14ac:dyDescent="0.35">
      <c r="B1661" s="7" t="s">
        <v>260</v>
      </c>
      <c r="C1661" s="13">
        <v>1</v>
      </c>
      <c r="D1661" s="16">
        <v>3.17609125905568</v>
      </c>
      <c r="E1661" s="16">
        <v>2.6020682678100528</v>
      </c>
      <c r="F1661" s="16">
        <v>0.57402299124562717</v>
      </c>
      <c r="G1661" s="16">
        <v>1.0823355117052329</v>
      </c>
      <c r="H1661" s="16">
        <v>3.8515732497624376E-2</v>
      </c>
      <c r="I1661" s="16">
        <v>2.5149396281161782</v>
      </c>
      <c r="J1661" s="16">
        <v>2.6891969075039275</v>
      </c>
      <c r="K1661" s="16">
        <v>0.36395540586171626</v>
      </c>
      <c r="L1661" s="16">
        <v>1.7787439438102635</v>
      </c>
      <c r="M1661" s="16">
        <v>3.4253925918098425</v>
      </c>
    </row>
    <row r="1662" spans="2:13" x14ac:dyDescent="0.35">
      <c r="B1662" s="7" t="s">
        <v>261</v>
      </c>
      <c r="C1662" s="13">
        <v>1</v>
      </c>
      <c r="D1662" s="16">
        <v>3.2185355052165301</v>
      </c>
      <c r="E1662" s="16">
        <v>2.7654438089119973</v>
      </c>
      <c r="F1662" s="16">
        <v>0.45309169630453283</v>
      </c>
      <c r="G1662" s="16">
        <v>0.85431636092658736</v>
      </c>
      <c r="H1662" s="16">
        <v>5.3156486040707031E-2</v>
      </c>
      <c r="I1662" s="16">
        <v>2.6451954838952294</v>
      </c>
      <c r="J1662" s="16">
        <v>2.8856921339287651</v>
      </c>
      <c r="K1662" s="16">
        <v>0.36579459784739021</v>
      </c>
      <c r="L1662" s="16">
        <v>1.9379589436098315</v>
      </c>
      <c r="M1662" s="16">
        <v>3.5929286742141633</v>
      </c>
    </row>
    <row r="1663" spans="2:13" x14ac:dyDescent="0.35">
      <c r="B1663" s="7" t="s">
        <v>262</v>
      </c>
      <c r="C1663" s="13">
        <v>1</v>
      </c>
      <c r="D1663" s="16">
        <v>3.0534626049254601</v>
      </c>
      <c r="E1663" s="16">
        <v>2.7607302620593868</v>
      </c>
      <c r="F1663" s="16">
        <v>0.29273234286607347</v>
      </c>
      <c r="G1663" s="16">
        <v>0.55195456443494317</v>
      </c>
      <c r="H1663" s="16">
        <v>4.8412934740153873E-2</v>
      </c>
      <c r="I1663" s="16">
        <v>2.6512125955380998</v>
      </c>
      <c r="J1663" s="16">
        <v>2.8702479285806737</v>
      </c>
      <c r="K1663" s="16">
        <v>0.36513543796280912</v>
      </c>
      <c r="L1663" s="16">
        <v>1.9347365200037507</v>
      </c>
      <c r="M1663" s="16">
        <v>3.5867240041150228</v>
      </c>
    </row>
    <row r="1664" spans="2:13" x14ac:dyDescent="0.35">
      <c r="B1664" s="7" t="s">
        <v>263</v>
      </c>
      <c r="C1664" s="13">
        <v>1</v>
      </c>
      <c r="D1664" s="16">
        <v>3.29402509409532</v>
      </c>
      <c r="E1664" s="16">
        <v>2.9331332313803511</v>
      </c>
      <c r="F1664" s="16">
        <v>0.36089186271496904</v>
      </c>
      <c r="G1664" s="16">
        <v>0.68047113941246029</v>
      </c>
      <c r="H1664" s="16">
        <v>5.2469524773163134E-2</v>
      </c>
      <c r="I1664" s="16">
        <v>2.8144389207073885</v>
      </c>
      <c r="J1664" s="16">
        <v>3.0518275420533136</v>
      </c>
      <c r="K1664" s="16">
        <v>0.3656954017157717</v>
      </c>
      <c r="L1664" s="16">
        <v>2.1058727633166736</v>
      </c>
      <c r="M1664" s="16">
        <v>3.7603936994440286</v>
      </c>
    </row>
    <row r="1665" spans="2:13" x14ac:dyDescent="0.35">
      <c r="B1665" s="7" t="s">
        <v>264</v>
      </c>
      <c r="C1665" s="13">
        <v>1</v>
      </c>
      <c r="D1665" s="16">
        <v>3.4005379893919501</v>
      </c>
      <c r="E1665" s="16">
        <v>2.9839778873474909</v>
      </c>
      <c r="F1665" s="16">
        <v>0.41656010204445926</v>
      </c>
      <c r="G1665" s="16">
        <v>0.78543507503752519</v>
      </c>
      <c r="H1665" s="16">
        <v>5.4681759029326364E-2</v>
      </c>
      <c r="I1665" s="16">
        <v>2.8602791551323552</v>
      </c>
      <c r="J1665" s="16">
        <v>3.1076766195626266</v>
      </c>
      <c r="K1665" s="16">
        <v>0.36601935819937081</v>
      </c>
      <c r="L1665" s="16">
        <v>2.1559845788078404</v>
      </c>
      <c r="M1665" s="16">
        <v>3.8119711958871414</v>
      </c>
    </row>
    <row r="1666" spans="2:13" x14ac:dyDescent="0.35">
      <c r="B1666" s="7" t="s">
        <v>265</v>
      </c>
      <c r="C1666" s="13">
        <v>1</v>
      </c>
      <c r="D1666" s="16">
        <v>2.7641761323903302</v>
      </c>
      <c r="E1666" s="16">
        <v>2.6859499564297118</v>
      </c>
      <c r="F1666" s="16">
        <v>7.8226175960618344E-2</v>
      </c>
      <c r="G1666" s="16">
        <v>0.14749752096750085</v>
      </c>
      <c r="H1666" s="16">
        <v>4.8869556389931741E-2</v>
      </c>
      <c r="I1666" s="16">
        <v>2.5753993399780977</v>
      </c>
      <c r="J1666" s="16">
        <v>2.7965005728813259</v>
      </c>
      <c r="K1666" s="16">
        <v>0.36519626141006256</v>
      </c>
      <c r="L1666" s="16">
        <v>1.8598186221779254</v>
      </c>
      <c r="M1666" s="16">
        <v>3.5120812906814982</v>
      </c>
    </row>
    <row r="1667" spans="2:13" x14ac:dyDescent="0.35">
      <c r="B1667" s="7" t="s">
        <v>266</v>
      </c>
      <c r="C1667" s="13">
        <v>1</v>
      </c>
      <c r="D1667" s="16">
        <v>2.7701152947871002</v>
      </c>
      <c r="E1667" s="16">
        <v>2.7537667809667332</v>
      </c>
      <c r="F1667" s="16">
        <v>1.634851382036677E-2</v>
      </c>
      <c r="G1667" s="16">
        <v>3.0825554622802811E-2</v>
      </c>
      <c r="H1667" s="16">
        <v>4.2154384320004172E-2</v>
      </c>
      <c r="I1667" s="16">
        <v>2.6584069390330169</v>
      </c>
      <c r="J1667" s="16">
        <v>2.8491266229004495</v>
      </c>
      <c r="K1667" s="16">
        <v>0.36435843330920259</v>
      </c>
      <c r="L1667" s="16">
        <v>1.9295307455445805</v>
      </c>
      <c r="M1667" s="16">
        <v>3.578002816388886</v>
      </c>
    </row>
    <row r="1668" spans="2:13" x14ac:dyDescent="0.35">
      <c r="B1668" s="7" t="s">
        <v>267</v>
      </c>
      <c r="C1668" s="13">
        <v>1</v>
      </c>
      <c r="D1668" s="16">
        <v>3.0457140589408702</v>
      </c>
      <c r="E1668" s="16">
        <v>2.7939675239443473</v>
      </c>
      <c r="F1668" s="16">
        <v>0.25174653499652277</v>
      </c>
      <c r="G1668" s="16">
        <v>0.47467474113573932</v>
      </c>
      <c r="H1668" s="16">
        <v>4.0698595589693735E-2</v>
      </c>
      <c r="I1668" s="16">
        <v>2.7019009048971867</v>
      </c>
      <c r="J1668" s="16">
        <v>2.886034142991508</v>
      </c>
      <c r="K1668" s="16">
        <v>0.3641928767687686</v>
      </c>
      <c r="L1668" s="16">
        <v>1.970106003434025</v>
      </c>
      <c r="M1668" s="16">
        <v>3.6178290444546697</v>
      </c>
    </row>
    <row r="1669" spans="2:13" x14ac:dyDescent="0.35">
      <c r="B1669" s="7" t="s">
        <v>268</v>
      </c>
      <c r="C1669" s="13">
        <v>1</v>
      </c>
      <c r="D1669" s="16">
        <v>3.14488541828714</v>
      </c>
      <c r="E1669" s="16">
        <v>2.8316852676566704</v>
      </c>
      <c r="F1669" s="16">
        <v>0.31320015063046958</v>
      </c>
      <c r="G1669" s="16">
        <v>0.59054715659242807</v>
      </c>
      <c r="H1669" s="16">
        <v>4.338700939702287E-2</v>
      </c>
      <c r="I1669" s="16">
        <v>2.7335370340905265</v>
      </c>
      <c r="J1669" s="16">
        <v>2.9298335012228143</v>
      </c>
      <c r="K1669" s="16">
        <v>0.36450309791626656</v>
      </c>
      <c r="L1669" s="16">
        <v>2.0071219781591574</v>
      </c>
      <c r="M1669" s="16">
        <v>3.6562485571541834</v>
      </c>
    </row>
    <row r="1670" spans="2:13" x14ac:dyDescent="0.35">
      <c r="B1670" s="7" t="s">
        <v>269</v>
      </c>
      <c r="C1670" s="13">
        <v>1</v>
      </c>
      <c r="D1670" s="16">
        <v>2.9912260756924902</v>
      </c>
      <c r="E1670" s="16">
        <v>2.9021796628851466</v>
      </c>
      <c r="F1670" s="16">
        <v>8.9046412807343669E-2</v>
      </c>
      <c r="G1670" s="16">
        <v>0.16789936333771527</v>
      </c>
      <c r="H1670" s="16">
        <v>4.4353525808715627E-2</v>
      </c>
      <c r="I1670" s="16">
        <v>2.8018450173067739</v>
      </c>
      <c r="J1670" s="16">
        <v>3.0025143084635193</v>
      </c>
      <c r="K1670" s="16">
        <v>0.36461940576140822</v>
      </c>
      <c r="L1670" s="16">
        <v>2.077353266764034</v>
      </c>
      <c r="M1670" s="16">
        <v>3.7270060590062593</v>
      </c>
    </row>
    <row r="1671" spans="2:13" x14ac:dyDescent="0.35">
      <c r="B1671" s="7" t="s">
        <v>270</v>
      </c>
      <c r="C1671" s="13">
        <v>1</v>
      </c>
      <c r="D1671" s="16">
        <v>2.6170003411209</v>
      </c>
      <c r="E1671" s="16">
        <v>2.9773983412212237</v>
      </c>
      <c r="F1671" s="16">
        <v>-0.3603980001003238</v>
      </c>
      <c r="G1671" s="16">
        <v>-0.67953994840811716</v>
      </c>
      <c r="H1671" s="16">
        <v>4.9078160851271681E-2</v>
      </c>
      <c r="I1671" s="16">
        <v>2.8663758286956678</v>
      </c>
      <c r="J1671" s="16">
        <v>3.0884208537467797</v>
      </c>
      <c r="K1671" s="16">
        <v>0.36522423479101351</v>
      </c>
      <c r="L1671" s="16">
        <v>2.1512037267856825</v>
      </c>
      <c r="M1671" s="16">
        <v>3.8035929556567649</v>
      </c>
    </row>
    <row r="1672" spans="2:13" x14ac:dyDescent="0.35">
      <c r="B1672" s="7" t="s">
        <v>271</v>
      </c>
      <c r="C1672" s="13">
        <v>1</v>
      </c>
      <c r="D1672" s="16">
        <v>2.6551384348113798</v>
      </c>
      <c r="E1672" s="16">
        <v>2.7458328310234945</v>
      </c>
      <c r="F1672" s="16">
        <v>-9.069439621211467E-2</v>
      </c>
      <c r="G1672" s="16">
        <v>-0.17100667957571822</v>
      </c>
      <c r="H1672" s="16">
        <v>6.4714638050397302E-2</v>
      </c>
      <c r="I1672" s="16">
        <v>2.5994381497861498</v>
      </c>
      <c r="J1672" s="16">
        <v>2.8922275122608392</v>
      </c>
      <c r="K1672" s="16">
        <v>0.36765209122774206</v>
      </c>
      <c r="L1672" s="16">
        <v>1.9141460237881094</v>
      </c>
      <c r="M1672" s="16">
        <v>3.5775196382588796</v>
      </c>
    </row>
    <row r="1673" spans="2:13" x14ac:dyDescent="0.35">
      <c r="B1673" s="7" t="s">
        <v>272</v>
      </c>
      <c r="C1673" s="13">
        <v>1</v>
      </c>
      <c r="D1673" s="16">
        <v>2.2810333672477299</v>
      </c>
      <c r="E1673" s="16">
        <v>1.7928247643748989</v>
      </c>
      <c r="F1673" s="16">
        <v>0.48820860287283102</v>
      </c>
      <c r="G1673" s="16">
        <v>0.92053021580655681</v>
      </c>
      <c r="H1673" s="16">
        <v>5.0781009325476634E-2</v>
      </c>
      <c r="I1673" s="16">
        <v>1.6779501409964228</v>
      </c>
      <c r="J1673" s="16">
        <v>1.907699387753375</v>
      </c>
      <c r="K1673" s="16">
        <v>0.36545695603484163</v>
      </c>
      <c r="L1673" s="16">
        <v>0.9661036979134523</v>
      </c>
      <c r="M1673" s="16">
        <v>2.6195458308363455</v>
      </c>
    </row>
    <row r="1674" spans="2:13" x14ac:dyDescent="0.35">
      <c r="B1674" s="7" t="s">
        <v>273</v>
      </c>
      <c r="C1674" s="13">
        <v>1</v>
      </c>
      <c r="D1674" s="16">
        <v>1.9777236052888501</v>
      </c>
      <c r="E1674" s="16">
        <v>1.7433038269950989</v>
      </c>
      <c r="F1674" s="16">
        <v>0.23441977829375119</v>
      </c>
      <c r="G1674" s="16">
        <v>0.44200468371976076</v>
      </c>
      <c r="H1674" s="16">
        <v>5.6192584897634325E-2</v>
      </c>
      <c r="I1674" s="16">
        <v>1.6161873692381183</v>
      </c>
      <c r="J1674" s="16">
        <v>1.8704202847520794</v>
      </c>
      <c r="K1674" s="16">
        <v>0.36624811590452705</v>
      </c>
      <c r="L1674" s="16">
        <v>0.9147930325768926</v>
      </c>
      <c r="M1674" s="16">
        <v>2.5718146214133051</v>
      </c>
    </row>
    <row r="1675" spans="2:13" x14ac:dyDescent="0.35">
      <c r="B1675" s="7" t="s">
        <v>274</v>
      </c>
      <c r="C1675" s="13">
        <v>1</v>
      </c>
      <c r="D1675" s="16">
        <v>2.2624510897304302</v>
      </c>
      <c r="E1675" s="16">
        <v>2.4695760223909691</v>
      </c>
      <c r="F1675" s="16">
        <v>-0.20712493266053872</v>
      </c>
      <c r="G1675" s="16">
        <v>-0.39053953133756791</v>
      </c>
      <c r="H1675" s="16">
        <v>2.9073321895276769E-2</v>
      </c>
      <c r="I1675" s="16">
        <v>2.403807599363474</v>
      </c>
      <c r="J1675" s="16">
        <v>2.5353444454184642</v>
      </c>
      <c r="K1675" s="16">
        <v>0.36307758654613265</v>
      </c>
      <c r="L1675" s="16">
        <v>1.648237463633176</v>
      </c>
      <c r="M1675" s="16">
        <v>3.2909145811487619</v>
      </c>
    </row>
    <row r="1676" spans="2:13" x14ac:dyDescent="0.35">
      <c r="B1676" s="7" t="s">
        <v>275</v>
      </c>
      <c r="C1676" s="13">
        <v>1</v>
      </c>
      <c r="D1676" s="16">
        <v>1.91381385238372</v>
      </c>
      <c r="E1676" s="16">
        <v>2.4081179674913136</v>
      </c>
      <c r="F1676" s="16">
        <v>-0.4943041151075937</v>
      </c>
      <c r="G1676" s="16">
        <v>-0.93202346512641598</v>
      </c>
      <c r="H1676" s="16">
        <v>3.2088297628712188E-2</v>
      </c>
      <c r="I1676" s="16">
        <v>2.3355291955484638</v>
      </c>
      <c r="J1676" s="16">
        <v>2.4807067394341633</v>
      </c>
      <c r="K1676" s="16">
        <v>0.36333143911702281</v>
      </c>
      <c r="L1676" s="16">
        <v>1.5862051543249924</v>
      </c>
      <c r="M1676" s="16">
        <v>3.2300307806576347</v>
      </c>
    </row>
    <row r="1677" spans="2:13" x14ac:dyDescent="0.35">
      <c r="B1677" s="7" t="s">
        <v>276</v>
      </c>
      <c r="C1677" s="13">
        <v>1</v>
      </c>
      <c r="D1677" s="16">
        <v>2.0128372247051698</v>
      </c>
      <c r="E1677" s="16">
        <v>2.2168068985530662</v>
      </c>
      <c r="F1677" s="16">
        <v>-0.20396967384789663</v>
      </c>
      <c r="G1677" s="16">
        <v>-0.38459020750624756</v>
      </c>
      <c r="H1677" s="16">
        <v>5.7389665692787903E-2</v>
      </c>
      <c r="I1677" s="16">
        <v>2.0869824559150549</v>
      </c>
      <c r="J1677" s="16">
        <v>2.3466313411910775</v>
      </c>
      <c r="K1677" s="16">
        <v>0.36643369050138935</v>
      </c>
      <c r="L1677" s="16">
        <v>1.3878763052335317</v>
      </c>
      <c r="M1677" s="16">
        <v>3.0457374918726008</v>
      </c>
    </row>
    <row r="1678" spans="2:13" x14ac:dyDescent="0.35">
      <c r="B1678" s="7" t="s">
        <v>277</v>
      </c>
      <c r="C1678" s="13">
        <v>1</v>
      </c>
      <c r="D1678" s="16">
        <v>2.0293837776852102</v>
      </c>
      <c r="E1678" s="16">
        <v>2.3786491534339573</v>
      </c>
      <c r="F1678" s="16">
        <v>-0.34926537574874722</v>
      </c>
      <c r="G1678" s="16">
        <v>-0.65854909114639137</v>
      </c>
      <c r="H1678" s="16">
        <v>3.249084872457967E-2</v>
      </c>
      <c r="I1678" s="16">
        <v>2.3051497476509648</v>
      </c>
      <c r="J1678" s="16">
        <v>2.4521485592169499</v>
      </c>
      <c r="K1678" s="16">
        <v>0.3633672124132577</v>
      </c>
      <c r="L1678" s="16">
        <v>1.556655415449745</v>
      </c>
      <c r="M1678" s="16">
        <v>3.2006428914181697</v>
      </c>
    </row>
    <row r="1679" spans="2:13" x14ac:dyDescent="0.35">
      <c r="B1679" s="7" t="s">
        <v>278</v>
      </c>
      <c r="C1679" s="13">
        <v>1</v>
      </c>
      <c r="D1679" s="16">
        <v>2.11727129565576</v>
      </c>
      <c r="E1679" s="16">
        <v>2.2446592804254766</v>
      </c>
      <c r="F1679" s="16">
        <v>-0.12738798476971663</v>
      </c>
      <c r="G1679" s="16">
        <v>-0.24019340999153749</v>
      </c>
      <c r="H1679" s="16">
        <v>2.8011676597127246E-2</v>
      </c>
      <c r="I1679" s="16">
        <v>2.1812924659009711</v>
      </c>
      <c r="J1679" s="16">
        <v>2.308026094949982</v>
      </c>
      <c r="K1679" s="16">
        <v>0.3629941181781326</v>
      </c>
      <c r="L1679" s="16">
        <v>1.4235095402332334</v>
      </c>
      <c r="M1679" s="16">
        <v>3.0658090206177198</v>
      </c>
    </row>
    <row r="1680" spans="2:13" x14ac:dyDescent="0.35">
      <c r="B1680" s="7" t="s">
        <v>279</v>
      </c>
      <c r="C1680" s="13">
        <v>1</v>
      </c>
      <c r="D1680" s="16">
        <v>2.3802112417116099</v>
      </c>
      <c r="E1680" s="16">
        <v>2.5394977241977119</v>
      </c>
      <c r="F1680" s="16">
        <v>-0.15928648248610205</v>
      </c>
      <c r="G1680" s="16">
        <v>-0.30033886997315501</v>
      </c>
      <c r="H1680" s="16">
        <v>5.5978610058318369E-2</v>
      </c>
      <c r="I1680" s="16">
        <v>2.4128653111536149</v>
      </c>
      <c r="J1680" s="16">
        <v>2.6661301372418089</v>
      </c>
      <c r="K1680" s="16">
        <v>0.36621534728926819</v>
      </c>
      <c r="L1680" s="16">
        <v>1.7110610575368406</v>
      </c>
      <c r="M1680" s="16">
        <v>3.3679343908585833</v>
      </c>
    </row>
    <row r="1681" spans="2:13" x14ac:dyDescent="0.35">
      <c r="B1681" s="7" t="s">
        <v>280</v>
      </c>
      <c r="C1681" s="13">
        <v>1</v>
      </c>
      <c r="D1681" s="16">
        <v>1.99122607569249</v>
      </c>
      <c r="E1681" s="16">
        <v>2.4090601886334779</v>
      </c>
      <c r="F1681" s="16">
        <v>-0.41783411294098771</v>
      </c>
      <c r="G1681" s="16">
        <v>-0.78783725623347334</v>
      </c>
      <c r="H1681" s="16">
        <v>3.6483553228975903E-2</v>
      </c>
      <c r="I1681" s="16">
        <v>2.3265286578042046</v>
      </c>
      <c r="J1681" s="16">
        <v>2.4915917194627513</v>
      </c>
      <c r="K1681" s="16">
        <v>0.36374596281244082</v>
      </c>
      <c r="L1681" s="16">
        <v>1.5862096577253255</v>
      </c>
      <c r="M1681" s="16">
        <v>3.2319107195416303</v>
      </c>
    </row>
    <row r="1682" spans="2:13" x14ac:dyDescent="0.35">
      <c r="B1682" s="7" t="s">
        <v>281</v>
      </c>
      <c r="C1682" s="13">
        <v>1</v>
      </c>
      <c r="D1682" s="16">
        <v>2.1139433523068401</v>
      </c>
      <c r="E1682" s="16">
        <v>2.4042470824586863</v>
      </c>
      <c r="F1682" s="16">
        <v>-0.29030373015184613</v>
      </c>
      <c r="G1682" s="16">
        <v>-0.54737535101514079</v>
      </c>
      <c r="H1682" s="16">
        <v>4.100155974392708E-2</v>
      </c>
      <c r="I1682" s="16">
        <v>2.3114951108835426</v>
      </c>
      <c r="J1682" s="16">
        <v>2.49699905403383</v>
      </c>
      <c r="K1682" s="16">
        <v>0.36422685747700279</v>
      </c>
      <c r="L1682" s="16">
        <v>1.5803086922462377</v>
      </c>
      <c r="M1682" s="16">
        <v>3.228185472671135</v>
      </c>
    </row>
    <row r="1683" spans="2:13" x14ac:dyDescent="0.35">
      <c r="B1683" s="7" t="s">
        <v>282</v>
      </c>
      <c r="C1683" s="13">
        <v>1</v>
      </c>
      <c r="D1683" s="16">
        <v>2.2479732663618099</v>
      </c>
      <c r="E1683" s="16">
        <v>2.3944537746489494</v>
      </c>
      <c r="F1683" s="16">
        <v>-0.14648050828713938</v>
      </c>
      <c r="G1683" s="16">
        <v>-0.2761928673758699</v>
      </c>
      <c r="H1683" s="16">
        <v>3.8389872913763591E-2</v>
      </c>
      <c r="I1683" s="16">
        <v>2.3076098491127222</v>
      </c>
      <c r="J1683" s="16">
        <v>2.4812977001851766</v>
      </c>
      <c r="K1683" s="16">
        <v>0.36394210823766049</v>
      </c>
      <c r="L1683" s="16">
        <v>1.5711595319645086</v>
      </c>
      <c r="M1683" s="16">
        <v>3.2177480173333901</v>
      </c>
    </row>
    <row r="1684" spans="2:13" x14ac:dyDescent="0.35">
      <c r="B1684" s="7" t="s">
        <v>283</v>
      </c>
      <c r="C1684" s="13">
        <v>1</v>
      </c>
      <c r="D1684" s="16">
        <v>2.0681858617461599</v>
      </c>
      <c r="E1684" s="16">
        <v>2.2525334798720982</v>
      </c>
      <c r="F1684" s="16">
        <v>-0.18434761812593831</v>
      </c>
      <c r="G1684" s="16">
        <v>-0.34759230316369016</v>
      </c>
      <c r="H1684" s="16">
        <v>2.694197119569279E-2</v>
      </c>
      <c r="I1684" s="16">
        <v>2.1915865070708658</v>
      </c>
      <c r="J1684" s="16">
        <v>2.3134804526733306</v>
      </c>
      <c r="K1684" s="16">
        <v>0.36291313784161572</v>
      </c>
      <c r="L1684" s="16">
        <v>1.4315669299271938</v>
      </c>
      <c r="M1684" s="16">
        <v>3.0735000298170023</v>
      </c>
    </row>
    <row r="1685" spans="2:13" x14ac:dyDescent="0.35">
      <c r="B1685" s="7" t="s">
        <v>284</v>
      </c>
      <c r="C1685" s="13">
        <v>1</v>
      </c>
      <c r="D1685" s="16">
        <v>2.2304489213782701</v>
      </c>
      <c r="E1685" s="16">
        <v>2.2453899003590454</v>
      </c>
      <c r="F1685" s="16">
        <v>-1.494097898077533E-2</v>
      </c>
      <c r="G1685" s="16">
        <v>-2.8171610505431627E-2</v>
      </c>
      <c r="H1685" s="16">
        <v>4.2471962650135239E-2</v>
      </c>
      <c r="I1685" s="16">
        <v>2.1493116463348341</v>
      </c>
      <c r="J1685" s="16">
        <v>2.3414681543832567</v>
      </c>
      <c r="K1685" s="16">
        <v>0.36439531201360498</v>
      </c>
      <c r="L1685" s="16">
        <v>1.4210704395120106</v>
      </c>
      <c r="M1685" s="16">
        <v>3.0697093612060802</v>
      </c>
    </row>
    <row r="1686" spans="2:13" x14ac:dyDescent="0.35">
      <c r="B1686" s="7" t="s">
        <v>285</v>
      </c>
      <c r="C1686" s="13">
        <v>1</v>
      </c>
      <c r="D1686" s="16">
        <v>2.1931245983544598</v>
      </c>
      <c r="E1686" s="16">
        <v>2.0066491222558898</v>
      </c>
      <c r="F1686" s="16">
        <v>0.18647547609857024</v>
      </c>
      <c r="G1686" s="16">
        <v>0.35160443557435728</v>
      </c>
      <c r="H1686" s="16">
        <v>3.4481821701131565E-2</v>
      </c>
      <c r="I1686" s="16">
        <v>1.928645822716627</v>
      </c>
      <c r="J1686" s="16">
        <v>2.0846524217951528</v>
      </c>
      <c r="K1686" s="16">
        <v>0.36355064548693444</v>
      </c>
      <c r="L1686" s="16">
        <v>1.1842404298323375</v>
      </c>
      <c r="M1686" s="16">
        <v>2.8290578146794418</v>
      </c>
    </row>
    <row r="1687" spans="2:13" x14ac:dyDescent="0.35">
      <c r="B1687" s="7" t="s">
        <v>286</v>
      </c>
      <c r="C1687" s="13">
        <v>1</v>
      </c>
      <c r="D1687" s="16">
        <v>2.47567118832443</v>
      </c>
      <c r="E1687" s="16">
        <v>2.0261225814942705</v>
      </c>
      <c r="F1687" s="16">
        <v>0.44954860683015929</v>
      </c>
      <c r="G1687" s="16">
        <v>0.8476357721387725</v>
      </c>
      <c r="H1687" s="16">
        <v>3.7445632931234971E-2</v>
      </c>
      <c r="I1687" s="16">
        <v>1.9414146751867405</v>
      </c>
      <c r="J1687" s="16">
        <v>2.1108304878018003</v>
      </c>
      <c r="K1687" s="16">
        <v>0.36384371814249977</v>
      </c>
      <c r="L1687" s="16">
        <v>1.2030509126671809</v>
      </c>
      <c r="M1687" s="16">
        <v>2.8491942503213599</v>
      </c>
    </row>
    <row r="1688" spans="2:13" x14ac:dyDescent="0.35">
      <c r="B1688" s="7" t="s">
        <v>287</v>
      </c>
      <c r="C1688" s="13">
        <v>1</v>
      </c>
      <c r="D1688" s="16">
        <v>2.2671717284030102</v>
      </c>
      <c r="E1688" s="16">
        <v>2.0694749781271096</v>
      </c>
      <c r="F1688" s="16">
        <v>0.19769675027590058</v>
      </c>
      <c r="G1688" s="16">
        <v>0.37276244442405604</v>
      </c>
      <c r="H1688" s="16">
        <v>7.0562202959945489E-2</v>
      </c>
      <c r="I1688" s="16">
        <v>1.909852186113941</v>
      </c>
      <c r="J1688" s="16">
        <v>2.2290977701402781</v>
      </c>
      <c r="K1688" s="16">
        <v>0.36872632167055636</v>
      </c>
      <c r="L1688" s="16">
        <v>1.2353580928137355</v>
      </c>
      <c r="M1688" s="16">
        <v>2.9035918634404836</v>
      </c>
    </row>
    <row r="1689" spans="2:13" x14ac:dyDescent="0.35">
      <c r="B1689" s="7" t="s">
        <v>288</v>
      </c>
      <c r="C1689" s="13">
        <v>1</v>
      </c>
      <c r="D1689" s="16">
        <v>2.02530586526477</v>
      </c>
      <c r="E1689" s="16">
        <v>2.0573867250496836</v>
      </c>
      <c r="F1689" s="16">
        <v>-3.2080859784913769E-2</v>
      </c>
      <c r="G1689" s="16">
        <v>-6.0489308478570425E-2</v>
      </c>
      <c r="H1689" s="16">
        <v>7.9009830238639042E-2</v>
      </c>
      <c r="I1689" s="16">
        <v>1.8786540725793932</v>
      </c>
      <c r="J1689" s="16">
        <v>2.2361193775199739</v>
      </c>
      <c r="K1689" s="16">
        <v>0.37043572867702251</v>
      </c>
      <c r="L1689" s="16">
        <v>1.2194028924527349</v>
      </c>
      <c r="M1689" s="16">
        <v>2.8953705576466322</v>
      </c>
    </row>
    <row r="1690" spans="2:13" x14ac:dyDescent="0.35">
      <c r="B1690" s="7" t="s">
        <v>289</v>
      </c>
      <c r="C1690" s="13">
        <v>1</v>
      </c>
      <c r="D1690" s="16">
        <v>1.92941892571429</v>
      </c>
      <c r="E1690" s="16">
        <v>2.0622776097860238</v>
      </c>
      <c r="F1690" s="16">
        <v>-0.13285868407173373</v>
      </c>
      <c r="G1690" s="16">
        <v>-0.25050855802347488</v>
      </c>
      <c r="H1690" s="16">
        <v>8.2785052671517215E-2</v>
      </c>
      <c r="I1690" s="16">
        <v>1.8750048108927422</v>
      </c>
      <c r="J1690" s="16">
        <v>2.2495504086793052</v>
      </c>
      <c r="K1690" s="16">
        <v>0.37125926352343575</v>
      </c>
      <c r="L1690" s="16">
        <v>1.2224308119471985</v>
      </c>
      <c r="M1690" s="16">
        <v>2.9021244076248491</v>
      </c>
    </row>
    <row r="1691" spans="2:13" x14ac:dyDescent="0.35">
      <c r="B1691" s="7" t="s">
        <v>290</v>
      </c>
      <c r="C1691" s="13">
        <v>1</v>
      </c>
      <c r="D1691" s="16">
        <v>2.18184358794477</v>
      </c>
      <c r="E1691" s="16">
        <v>1.9645452025620664</v>
      </c>
      <c r="F1691" s="16">
        <v>0.21729838538270355</v>
      </c>
      <c r="G1691" s="16">
        <v>0.40972184515736676</v>
      </c>
      <c r="H1691" s="16">
        <v>0.11326969207657754</v>
      </c>
      <c r="I1691" s="16">
        <v>1.7083113586442611</v>
      </c>
      <c r="J1691" s="16">
        <v>2.2207790464798718</v>
      </c>
      <c r="K1691" s="16">
        <v>0.37922302006769149</v>
      </c>
      <c r="L1691" s="16">
        <v>1.106683135908167</v>
      </c>
      <c r="M1691" s="16">
        <v>2.8224072692159661</v>
      </c>
    </row>
    <row r="1692" spans="2:13" x14ac:dyDescent="0.35">
      <c r="B1692" s="7" t="s">
        <v>291</v>
      </c>
      <c r="C1692" s="13">
        <v>1</v>
      </c>
      <c r="D1692" s="16">
        <v>2.1105897102992501</v>
      </c>
      <c r="E1692" s="16">
        <v>1.8544861263777643</v>
      </c>
      <c r="F1692" s="16">
        <v>0.25610358392148569</v>
      </c>
      <c r="G1692" s="16">
        <v>0.4828900719668115</v>
      </c>
      <c r="H1692" s="16">
        <v>4.0614840975971789E-2</v>
      </c>
      <c r="I1692" s="16">
        <v>1.7626089734289603</v>
      </c>
      <c r="J1692" s="16">
        <v>1.9463632793265684</v>
      </c>
      <c r="K1692" s="16">
        <v>0.3641835266917513</v>
      </c>
      <c r="L1692" s="16">
        <v>1.0306457572110288</v>
      </c>
      <c r="M1692" s="16">
        <v>2.6783264955444999</v>
      </c>
    </row>
    <row r="1693" spans="2:13" x14ac:dyDescent="0.35">
      <c r="B1693" s="7" t="s">
        <v>292</v>
      </c>
      <c r="C1693" s="13">
        <v>1</v>
      </c>
      <c r="D1693" s="16">
        <v>2.1003705451175598</v>
      </c>
      <c r="E1693" s="16">
        <v>2.0729668650633459</v>
      </c>
      <c r="F1693" s="16">
        <v>2.7403680054213987E-2</v>
      </c>
      <c r="G1693" s="16">
        <v>5.1670362557642818E-2</v>
      </c>
      <c r="H1693" s="16">
        <v>3.1817074316901804E-2</v>
      </c>
      <c r="I1693" s="16">
        <v>2.0009916428748142</v>
      </c>
      <c r="J1693" s="16">
        <v>2.1449420872518776</v>
      </c>
      <c r="K1693" s="16">
        <v>0.36330758597120605</v>
      </c>
      <c r="L1693" s="16">
        <v>1.2511080114614068</v>
      </c>
      <c r="M1693" s="16">
        <v>2.894825718665285</v>
      </c>
    </row>
    <row r="1694" spans="2:13" x14ac:dyDescent="0.35">
      <c r="B1694" s="7" t="s">
        <v>293</v>
      </c>
      <c r="C1694" s="13">
        <v>1</v>
      </c>
      <c r="D1694" s="16">
        <v>2.4927603890268402</v>
      </c>
      <c r="E1694" s="16">
        <v>2.5033494504038898</v>
      </c>
      <c r="F1694" s="16">
        <v>-1.0589061377049538E-2</v>
      </c>
      <c r="G1694" s="16">
        <v>-1.9965954916086017E-2</v>
      </c>
      <c r="H1694" s="16">
        <v>4.0862624328171504E-2</v>
      </c>
      <c r="I1694" s="16">
        <v>2.4109117725730189</v>
      </c>
      <c r="J1694" s="16">
        <v>2.5957871282347607</v>
      </c>
      <c r="K1694" s="16">
        <v>0.3642112434743377</v>
      </c>
      <c r="L1694" s="16">
        <v>1.6794463815192249</v>
      </c>
      <c r="M1694" s="16">
        <v>3.3272525192885549</v>
      </c>
    </row>
    <row r="1695" spans="2:13" x14ac:dyDescent="0.35">
      <c r="B1695" s="7" t="s">
        <v>294</v>
      </c>
      <c r="C1695" s="13">
        <v>1</v>
      </c>
      <c r="D1695" s="16">
        <v>2.5670263661590602</v>
      </c>
      <c r="E1695" s="16">
        <v>2.5126216584915646</v>
      </c>
      <c r="F1695" s="16">
        <v>5.4404707667495784E-2</v>
      </c>
      <c r="G1695" s="16">
        <v>0.10258151330261936</v>
      </c>
      <c r="H1695" s="16">
        <v>3.9320610283680953E-2</v>
      </c>
      <c r="I1695" s="16">
        <v>2.4236722587583155</v>
      </c>
      <c r="J1695" s="16">
        <v>2.6015710582248137</v>
      </c>
      <c r="K1695" s="16">
        <v>0.36404146219794686</v>
      </c>
      <c r="L1695" s="16">
        <v>1.6891026615353861</v>
      </c>
      <c r="M1695" s="16">
        <v>3.3361406554477431</v>
      </c>
    </row>
    <row r="1696" spans="2:13" x14ac:dyDescent="0.35">
      <c r="B1696" s="7" t="s">
        <v>295</v>
      </c>
      <c r="C1696" s="13">
        <v>1</v>
      </c>
      <c r="D1696" s="16">
        <v>2.3729120029701098</v>
      </c>
      <c r="E1696" s="16">
        <v>2.1529348599432363</v>
      </c>
      <c r="F1696" s="16">
        <v>0.2199771430268736</v>
      </c>
      <c r="G1696" s="16">
        <v>0.41477271344967265</v>
      </c>
      <c r="H1696" s="16">
        <v>2.9688365949039338E-2</v>
      </c>
      <c r="I1696" s="16">
        <v>2.085775110611368</v>
      </c>
      <c r="J1696" s="16">
        <v>2.2200946092751046</v>
      </c>
      <c r="K1696" s="16">
        <v>0.36312735352609027</v>
      </c>
      <c r="L1696" s="16">
        <v>1.3314837204558505</v>
      </c>
      <c r="M1696" s="16">
        <v>2.9743859994306221</v>
      </c>
    </row>
    <row r="1697" spans="2:13" x14ac:dyDescent="0.35">
      <c r="B1697" s="7" t="s">
        <v>296</v>
      </c>
      <c r="C1697" s="13">
        <v>1</v>
      </c>
      <c r="D1697" s="16">
        <v>1.7160033436347999</v>
      </c>
      <c r="E1697" s="16">
        <v>1.7918712445842055</v>
      </c>
      <c r="F1697" s="16">
        <v>-7.5867900949405709E-2</v>
      </c>
      <c r="G1697" s="16">
        <v>-0.14305093114456763</v>
      </c>
      <c r="H1697" s="16">
        <v>5.5337609347921236E-2</v>
      </c>
      <c r="I1697" s="16">
        <v>1.6666888758809024</v>
      </c>
      <c r="J1697" s="16">
        <v>1.9170536132875087</v>
      </c>
      <c r="K1697" s="16">
        <v>0.3661179138125874</v>
      </c>
      <c r="L1697" s="16">
        <v>0.96365498775935021</v>
      </c>
      <c r="M1697" s="16">
        <v>2.6200875014090608</v>
      </c>
    </row>
    <row r="1698" spans="2:13" x14ac:dyDescent="0.35">
      <c r="B1698" s="7" t="s">
        <v>297</v>
      </c>
      <c r="C1698" s="13">
        <v>1</v>
      </c>
      <c r="D1698" s="16">
        <v>2.0293837776852102</v>
      </c>
      <c r="E1698" s="16">
        <v>1.8590243056780986</v>
      </c>
      <c r="F1698" s="16">
        <v>0.17035947200711155</v>
      </c>
      <c r="G1698" s="16">
        <v>0.32121728418670725</v>
      </c>
      <c r="H1698" s="16">
        <v>5.5222794316441504E-2</v>
      </c>
      <c r="I1698" s="16">
        <v>1.7341016666192948</v>
      </c>
      <c r="J1698" s="16">
        <v>1.9839469447369025</v>
      </c>
      <c r="K1698" s="16">
        <v>0.36610057746233354</v>
      </c>
      <c r="L1698" s="16">
        <v>1.0308472664019415</v>
      </c>
      <c r="M1698" s="16">
        <v>2.6872013449542558</v>
      </c>
    </row>
    <row r="1699" spans="2:13" x14ac:dyDescent="0.35">
      <c r="B1699" s="7" t="s">
        <v>298</v>
      </c>
      <c r="C1699" s="13">
        <v>1</v>
      </c>
      <c r="D1699" s="16">
        <v>2.4065401804339599</v>
      </c>
      <c r="E1699" s="16">
        <v>2.6450188901669267</v>
      </c>
      <c r="F1699" s="16">
        <v>-0.23847870973296698</v>
      </c>
      <c r="G1699" s="16">
        <v>-0.44965790615725765</v>
      </c>
      <c r="H1699" s="16">
        <v>4.041538953489722E-2</v>
      </c>
      <c r="I1699" s="16">
        <v>2.5535929277218186</v>
      </c>
      <c r="J1699" s="16">
        <v>2.7364448526120349</v>
      </c>
      <c r="K1699" s="16">
        <v>0.36416133720838018</v>
      </c>
      <c r="L1699" s="16">
        <v>1.8212287170986752</v>
      </c>
      <c r="M1699" s="16">
        <v>3.4688090632351782</v>
      </c>
    </row>
    <row r="1700" spans="2:13" x14ac:dyDescent="0.35">
      <c r="B1700" s="7" t="s">
        <v>299</v>
      </c>
      <c r="C1700" s="13">
        <v>1</v>
      </c>
      <c r="D1700" s="16">
        <v>2.6757783416740901</v>
      </c>
      <c r="E1700" s="16">
        <v>2.7384628074914179</v>
      </c>
      <c r="F1700" s="16">
        <v>-6.2684465817327784E-2</v>
      </c>
      <c r="G1700" s="16">
        <v>-0.11819321598799025</v>
      </c>
      <c r="H1700" s="16">
        <v>4.9129703601371942E-2</v>
      </c>
      <c r="I1700" s="16">
        <v>2.6273236971651426</v>
      </c>
      <c r="J1700" s="16">
        <v>2.8496019178176932</v>
      </c>
      <c r="K1700" s="16">
        <v>0.36523116458223648</v>
      </c>
      <c r="L1700" s="16">
        <v>1.9122525167791071</v>
      </c>
      <c r="M1700" s="16">
        <v>3.5646730982037287</v>
      </c>
    </row>
    <row r="1701" spans="2:13" x14ac:dyDescent="0.35">
      <c r="B1701" s="7" t="s">
        <v>300</v>
      </c>
      <c r="C1701" s="13">
        <v>1</v>
      </c>
      <c r="D1701" s="16">
        <v>2.5327543789925002</v>
      </c>
      <c r="E1701" s="16">
        <v>2.4616280984664027</v>
      </c>
      <c r="F1701" s="16">
        <v>7.1126280526097388E-2</v>
      </c>
      <c r="G1701" s="16">
        <v>0.13411048059564984</v>
      </c>
      <c r="H1701" s="16">
        <v>6.5797459854177121E-2</v>
      </c>
      <c r="I1701" s="16">
        <v>2.3127839041424245</v>
      </c>
      <c r="J1701" s="16">
        <v>2.610472292790381</v>
      </c>
      <c r="K1701" s="16">
        <v>0.36784423541684064</v>
      </c>
      <c r="L1701" s="16">
        <v>1.6295066308796331</v>
      </c>
      <c r="M1701" s="16">
        <v>3.2937495660531724</v>
      </c>
    </row>
    <row r="1702" spans="2:13" x14ac:dyDescent="0.35">
      <c r="B1702" s="7" t="s">
        <v>301</v>
      </c>
      <c r="C1702" s="13">
        <v>1</v>
      </c>
      <c r="D1702" s="16">
        <v>2.6627578316815699</v>
      </c>
      <c r="E1702" s="16">
        <v>2.2934087483959051</v>
      </c>
      <c r="F1702" s="16">
        <v>0.36934908328566463</v>
      </c>
      <c r="G1702" s="16">
        <v>0.69641745217969764</v>
      </c>
      <c r="H1702" s="16">
        <v>7.6858162110817557E-2</v>
      </c>
      <c r="I1702" s="16">
        <v>2.119543507367454</v>
      </c>
      <c r="J1702" s="16">
        <v>2.4672739894243563</v>
      </c>
      <c r="K1702" s="16">
        <v>0.36998277377357819</v>
      </c>
      <c r="L1702" s="16">
        <v>1.4564495709728444</v>
      </c>
      <c r="M1702" s="16">
        <v>3.1303679258189661</v>
      </c>
    </row>
    <row r="1703" spans="2:13" x14ac:dyDescent="0.35">
      <c r="B1703" s="7" t="s">
        <v>302</v>
      </c>
      <c r="C1703" s="13">
        <v>1</v>
      </c>
      <c r="D1703" s="16">
        <v>2.4409090820652199</v>
      </c>
      <c r="E1703" s="16">
        <v>2.6353719947079255</v>
      </c>
      <c r="F1703" s="16">
        <v>-0.1944629126427054</v>
      </c>
      <c r="G1703" s="16">
        <v>-0.36666495815107464</v>
      </c>
      <c r="H1703" s="16">
        <v>4.2698053934610118E-2</v>
      </c>
      <c r="I1703" s="16">
        <v>2.5387822866677703</v>
      </c>
      <c r="J1703" s="16">
        <v>2.7319617027480807</v>
      </c>
      <c r="K1703" s="16">
        <v>0.36442173318277948</v>
      </c>
      <c r="L1703" s="16">
        <v>1.810992765024106</v>
      </c>
      <c r="M1703" s="16">
        <v>3.459751224391745</v>
      </c>
    </row>
    <row r="1704" spans="2:13" x14ac:dyDescent="0.35">
      <c r="B1704" s="7" t="s">
        <v>303</v>
      </c>
      <c r="C1704" s="13">
        <v>1</v>
      </c>
      <c r="D1704" s="16">
        <v>2.7979596437372001</v>
      </c>
      <c r="E1704" s="16">
        <v>2.7402485642800585</v>
      </c>
      <c r="F1704" s="16">
        <v>5.7711079457141712E-2</v>
      </c>
      <c r="G1704" s="16">
        <v>0.10881576464343869</v>
      </c>
      <c r="H1704" s="16">
        <v>3.9368667285758156E-2</v>
      </c>
      <c r="I1704" s="16">
        <v>2.6511904520559066</v>
      </c>
      <c r="J1704" s="16">
        <v>2.8293066765042103</v>
      </c>
      <c r="K1704" s="16">
        <v>0.36404665603462805</v>
      </c>
      <c r="L1704" s="16">
        <v>1.9167178180490905</v>
      </c>
      <c r="M1704" s="16">
        <v>3.5637793105110265</v>
      </c>
    </row>
    <row r="1705" spans="2:13" x14ac:dyDescent="0.35">
      <c r="B1705" s="7" t="s">
        <v>304</v>
      </c>
      <c r="C1705" s="13">
        <v>1</v>
      </c>
      <c r="D1705" s="16">
        <v>2.4265112613645798</v>
      </c>
      <c r="E1705" s="16">
        <v>2.8691804934371086</v>
      </c>
      <c r="F1705" s="16">
        <v>-0.44266923207252884</v>
      </c>
      <c r="G1705" s="16">
        <v>-0.83466452932782742</v>
      </c>
      <c r="H1705" s="16">
        <v>4.1261426463293935E-2</v>
      </c>
      <c r="I1705" s="16">
        <v>2.7758406625044536</v>
      </c>
      <c r="J1705" s="16">
        <v>2.9625203243697635</v>
      </c>
      <c r="K1705" s="16">
        <v>0.36425620258263808</v>
      </c>
      <c r="L1705" s="16">
        <v>2.0451757199841012</v>
      </c>
      <c r="M1705" s="16">
        <v>3.6931852668901159</v>
      </c>
    </row>
    <row r="1706" spans="2:13" x14ac:dyDescent="0.35">
      <c r="B1706" s="7" t="s">
        <v>305</v>
      </c>
      <c r="C1706" s="13">
        <v>1</v>
      </c>
      <c r="D1706" s="16">
        <v>2.3710678622717398</v>
      </c>
      <c r="E1706" s="16">
        <v>2.8827203841407707</v>
      </c>
      <c r="F1706" s="16">
        <v>-0.51165252186903065</v>
      </c>
      <c r="G1706" s="16">
        <v>-0.96473434429985272</v>
      </c>
      <c r="H1706" s="16">
        <v>4.1212403247881765E-2</v>
      </c>
      <c r="I1706" s="16">
        <v>2.7894914514254232</v>
      </c>
      <c r="J1706" s="16">
        <v>2.9759493168561182</v>
      </c>
      <c r="K1706" s="16">
        <v>0.36425065269344958</v>
      </c>
      <c r="L1706" s="16">
        <v>2.0587281654092782</v>
      </c>
      <c r="M1706" s="16">
        <v>3.7067126028722632</v>
      </c>
    </row>
    <row r="1707" spans="2:13" x14ac:dyDescent="0.35">
      <c r="B1707" s="7" t="s">
        <v>306</v>
      </c>
      <c r="C1707" s="13">
        <v>1</v>
      </c>
      <c r="D1707" s="16">
        <v>2.4232458739368101</v>
      </c>
      <c r="E1707" s="16">
        <v>2.6430373953908939</v>
      </c>
      <c r="F1707" s="16">
        <v>-0.21979152145408379</v>
      </c>
      <c r="G1707" s="16">
        <v>-0.41442271907134115</v>
      </c>
      <c r="H1707" s="16">
        <v>4.2183412300056691E-2</v>
      </c>
      <c r="I1707" s="16">
        <v>2.547611887604524</v>
      </c>
      <c r="J1707" s="16">
        <v>2.7384629031772638</v>
      </c>
      <c r="K1707" s="16">
        <v>0.36436179283702985</v>
      </c>
      <c r="L1707" s="16">
        <v>1.8187937601888429</v>
      </c>
      <c r="M1707" s="16">
        <v>3.4672810305929449</v>
      </c>
    </row>
    <row r="1708" spans="2:13" x14ac:dyDescent="0.35">
      <c r="B1708" s="7" t="s">
        <v>307</v>
      </c>
      <c r="C1708" s="13">
        <v>1</v>
      </c>
      <c r="D1708" s="16">
        <v>2.3483048630481602</v>
      </c>
      <c r="E1708" s="16">
        <v>2.8916461252745487</v>
      </c>
      <c r="F1708" s="16">
        <v>-0.54334126222638846</v>
      </c>
      <c r="G1708" s="16">
        <v>-1.0244843012406868</v>
      </c>
      <c r="H1708" s="16">
        <v>4.1820964356827681E-2</v>
      </c>
      <c r="I1708" s="16">
        <v>2.7970405316948042</v>
      </c>
      <c r="J1708" s="16">
        <v>2.9862517188542932</v>
      </c>
      <c r="K1708" s="16">
        <v>0.36432000887389249</v>
      </c>
      <c r="L1708" s="16">
        <v>2.0674970119635043</v>
      </c>
      <c r="M1708" s="16">
        <v>3.715795238585593</v>
      </c>
    </row>
    <row r="1709" spans="2:13" x14ac:dyDescent="0.35">
      <c r="B1709" s="7" t="s">
        <v>308</v>
      </c>
      <c r="C1709" s="13">
        <v>1</v>
      </c>
      <c r="D1709" s="16">
        <v>3.0425755124401901</v>
      </c>
      <c r="E1709" s="16">
        <v>2.7892925085807678</v>
      </c>
      <c r="F1709" s="16">
        <v>0.25328300385942221</v>
      </c>
      <c r="G1709" s="16">
        <v>0.47757179375960152</v>
      </c>
      <c r="H1709" s="16">
        <v>4.9662937921980378E-2</v>
      </c>
      <c r="I1709" s="16">
        <v>2.6769471384229919</v>
      </c>
      <c r="J1709" s="16">
        <v>2.9016378787385437</v>
      </c>
      <c r="K1709" s="16">
        <v>0.36530327566171716</v>
      </c>
      <c r="L1709" s="16">
        <v>1.9629190912743466</v>
      </c>
      <c r="M1709" s="16">
        <v>3.615665925887189</v>
      </c>
    </row>
    <row r="1710" spans="2:13" x14ac:dyDescent="0.35">
      <c r="B1710" s="7" t="s">
        <v>309</v>
      </c>
      <c r="C1710" s="13">
        <v>1</v>
      </c>
      <c r="D1710" s="16">
        <v>3.1872386198314802</v>
      </c>
      <c r="E1710" s="16">
        <v>2.927968255431793</v>
      </c>
      <c r="F1710" s="16">
        <v>0.25927036439968743</v>
      </c>
      <c r="G1710" s="16">
        <v>0.48886112020286721</v>
      </c>
      <c r="H1710" s="16">
        <v>4.6295688733797156E-2</v>
      </c>
      <c r="I1710" s="16">
        <v>2.8232401321041225</v>
      </c>
      <c r="J1710" s="16">
        <v>3.0326963787594634</v>
      </c>
      <c r="K1710" s="16">
        <v>0.36486074960383813</v>
      </c>
      <c r="L1710" s="16">
        <v>2.102595901611688</v>
      </c>
      <c r="M1710" s="16">
        <v>3.7533406092518979</v>
      </c>
    </row>
    <row r="1711" spans="2:13" x14ac:dyDescent="0.35">
      <c r="B1711" s="7" t="s">
        <v>310</v>
      </c>
      <c r="C1711" s="13">
        <v>1</v>
      </c>
      <c r="D1711" s="16">
        <v>2.5092025223310999</v>
      </c>
      <c r="E1711" s="16">
        <v>2.700369749531109</v>
      </c>
      <c r="F1711" s="16">
        <v>-0.191167227200009</v>
      </c>
      <c r="G1711" s="16">
        <v>-0.36045085619968792</v>
      </c>
      <c r="H1711" s="16">
        <v>4.7940859574724257E-2</v>
      </c>
      <c r="I1711" s="16">
        <v>2.5919199912210882</v>
      </c>
      <c r="J1711" s="16">
        <v>2.8088195078411298</v>
      </c>
      <c r="K1711" s="16">
        <v>0.36507314585285716</v>
      </c>
      <c r="L1711" s="16">
        <v>1.8745169220174489</v>
      </c>
      <c r="M1711" s="16">
        <v>3.526222577044769</v>
      </c>
    </row>
    <row r="1712" spans="2:13" x14ac:dyDescent="0.35">
      <c r="B1712" s="7" t="s">
        <v>311</v>
      </c>
      <c r="C1712" s="13">
        <v>1</v>
      </c>
      <c r="D1712" s="16">
        <v>2.7024305364455299</v>
      </c>
      <c r="E1712" s="16">
        <v>2.6382106033634161</v>
      </c>
      <c r="F1712" s="16">
        <v>6.4219933082113906E-2</v>
      </c>
      <c r="G1712" s="16">
        <v>0.12108838007215461</v>
      </c>
      <c r="H1712" s="16">
        <v>5.7656791953568466E-2</v>
      </c>
      <c r="I1712" s="16">
        <v>2.5077818791443716</v>
      </c>
      <c r="J1712" s="16">
        <v>2.7686393275824606</v>
      </c>
      <c r="K1712" s="16">
        <v>0.36647562192390798</v>
      </c>
      <c r="L1712" s="16">
        <v>1.8091851545765811</v>
      </c>
      <c r="M1712" s="16">
        <v>3.467236052150251</v>
      </c>
    </row>
    <row r="1713" spans="2:13" x14ac:dyDescent="0.35">
      <c r="B1713" s="7" t="s">
        <v>312</v>
      </c>
      <c r="C1713" s="13">
        <v>1</v>
      </c>
      <c r="D1713" s="16">
        <v>2.5224442335063202</v>
      </c>
      <c r="E1713" s="16">
        <v>2.2625112557279623</v>
      </c>
      <c r="F1713" s="16">
        <v>0.25993297777835805</v>
      </c>
      <c r="G1713" s="16">
        <v>0.49011049523000666</v>
      </c>
      <c r="H1713" s="16">
        <v>0.11960174203190402</v>
      </c>
      <c r="I1713" s="16">
        <v>1.991953319723494</v>
      </c>
      <c r="J1713" s="16">
        <v>2.5330691917324306</v>
      </c>
      <c r="K1713" s="16">
        <v>0.38116223908357472</v>
      </c>
      <c r="L1713" s="16">
        <v>1.4002623709100095</v>
      </c>
      <c r="M1713" s="16">
        <v>3.1247601405459151</v>
      </c>
    </row>
    <row r="1714" spans="2:13" x14ac:dyDescent="0.35">
      <c r="B1714" s="7" t="s">
        <v>313</v>
      </c>
      <c r="C1714" s="13">
        <v>1</v>
      </c>
      <c r="D1714" s="16">
        <v>2.5921767573958698</v>
      </c>
      <c r="E1714" s="16">
        <v>2.2582688976279801</v>
      </c>
      <c r="F1714" s="16">
        <v>0.33390785976788989</v>
      </c>
      <c r="G1714" s="16">
        <v>0.62959208912528264</v>
      </c>
      <c r="H1714" s="16">
        <v>0.1228457035277129</v>
      </c>
      <c r="I1714" s="16">
        <v>1.9803726109283362</v>
      </c>
      <c r="J1714" s="16">
        <v>2.5361651843276238</v>
      </c>
      <c r="K1714" s="16">
        <v>0.38219254660623198</v>
      </c>
      <c r="L1714" s="16">
        <v>1.3936892952799627</v>
      </c>
      <c r="M1714" s="16">
        <v>3.1228484999759978</v>
      </c>
    </row>
    <row r="1715" spans="2:13" x14ac:dyDescent="0.35">
      <c r="B1715" s="7" t="s">
        <v>314</v>
      </c>
      <c r="C1715" s="13">
        <v>1</v>
      </c>
      <c r="D1715" s="16">
        <v>2.8549130223078598</v>
      </c>
      <c r="E1715" s="16">
        <v>2.7523718003993856</v>
      </c>
      <c r="F1715" s="16">
        <v>0.10254122190847445</v>
      </c>
      <c r="G1715" s="16">
        <v>0.19334418233728543</v>
      </c>
      <c r="H1715" s="16">
        <v>6.8605130244628137E-2</v>
      </c>
      <c r="I1715" s="16">
        <v>2.5971762144241164</v>
      </c>
      <c r="J1715" s="16">
        <v>2.9075673863746547</v>
      </c>
      <c r="K1715" s="16">
        <v>0.36835681031035716</v>
      </c>
      <c r="L1715" s="16">
        <v>1.919090807851846</v>
      </c>
      <c r="M1715" s="16">
        <v>3.5856527929469251</v>
      </c>
    </row>
    <row r="1716" spans="2:13" x14ac:dyDescent="0.35">
      <c r="B1716" s="7" t="s">
        <v>315</v>
      </c>
      <c r="C1716" s="13">
        <v>1</v>
      </c>
      <c r="D1716" s="16">
        <v>0.95424250943932498</v>
      </c>
      <c r="E1716" s="16">
        <v>1.8607622697401041</v>
      </c>
      <c r="F1716" s="16">
        <v>-0.90651976030077908</v>
      </c>
      <c r="G1716" s="16">
        <v>-1.7092669520204051</v>
      </c>
      <c r="H1716" s="16">
        <v>6.2939026172182236E-2</v>
      </c>
      <c r="I1716" s="16">
        <v>1.7183843016103888</v>
      </c>
      <c r="J1716" s="16">
        <v>2.0031402378698191</v>
      </c>
      <c r="K1716" s="16">
        <v>0.36734370393630084</v>
      </c>
      <c r="L1716" s="16">
        <v>1.029773083021317</v>
      </c>
      <c r="M1716" s="16">
        <v>2.6917514564588911</v>
      </c>
    </row>
    <row r="1717" spans="2:13" x14ac:dyDescent="0.35">
      <c r="B1717" s="7" t="s">
        <v>316</v>
      </c>
      <c r="C1717" s="13">
        <v>1</v>
      </c>
      <c r="D1717" s="16">
        <v>1.88081359228079</v>
      </c>
      <c r="E1717" s="16">
        <v>1.8692063752257411</v>
      </c>
      <c r="F1717" s="16">
        <v>1.1607217055049045E-2</v>
      </c>
      <c r="G1717" s="16">
        <v>2.1885714339575101E-2</v>
      </c>
      <c r="H1717" s="16">
        <v>6.5196558277531486E-2</v>
      </c>
      <c r="I1717" s="16">
        <v>1.7217215147003935</v>
      </c>
      <c r="J1717" s="16">
        <v>2.0166912357510887</v>
      </c>
      <c r="K1717" s="16">
        <v>0.36773722549855298</v>
      </c>
      <c r="L1717" s="16">
        <v>1.0373269808908492</v>
      </c>
      <c r="M1717" s="16">
        <v>2.701085769560633</v>
      </c>
    </row>
    <row r="1718" spans="2:13" x14ac:dyDescent="0.35">
      <c r="B1718" s="7" t="s">
        <v>317</v>
      </c>
      <c r="C1718" s="13">
        <v>1</v>
      </c>
      <c r="D1718" s="16">
        <v>1.53147891704226</v>
      </c>
      <c r="E1718" s="16">
        <v>1.8695625891192167</v>
      </c>
      <c r="F1718" s="16">
        <v>-0.33808367207695667</v>
      </c>
      <c r="G1718" s="16">
        <v>-0.63746569353006655</v>
      </c>
      <c r="H1718" s="16">
        <v>7.5119178595835015E-2</v>
      </c>
      <c r="I1718" s="16">
        <v>1.6996312020845807</v>
      </c>
      <c r="J1718" s="16">
        <v>2.0394939761538526</v>
      </c>
      <c r="K1718" s="16">
        <v>0.36962544122266666</v>
      </c>
      <c r="L1718" s="16">
        <v>1.0334117540814705</v>
      </c>
      <c r="M1718" s="16">
        <v>2.7057134241569631</v>
      </c>
    </row>
    <row r="1719" spans="2:13" x14ac:dyDescent="0.35">
      <c r="B1719" s="7" t="s">
        <v>318</v>
      </c>
      <c r="C1719" s="13">
        <v>1</v>
      </c>
      <c r="D1719" s="16">
        <v>1.2041199826559199</v>
      </c>
      <c r="E1719" s="16">
        <v>1.7952668056270205</v>
      </c>
      <c r="F1719" s="16">
        <v>-0.59114682297110044</v>
      </c>
      <c r="G1719" s="16">
        <v>-1.114622948716643</v>
      </c>
      <c r="H1719" s="16">
        <v>8.6242601182865489E-2</v>
      </c>
      <c r="I1719" s="16">
        <v>1.6001724886440092</v>
      </c>
      <c r="J1719" s="16">
        <v>1.9903611226100317</v>
      </c>
      <c r="K1719" s="16">
        <v>0.37204551074421638</v>
      </c>
      <c r="L1719" s="16">
        <v>0.95364139301528572</v>
      </c>
      <c r="M1719" s="16">
        <v>2.6368922182387551</v>
      </c>
    </row>
    <row r="1720" spans="2:13" x14ac:dyDescent="0.35">
      <c r="B1720" s="7" t="s">
        <v>319</v>
      </c>
      <c r="C1720" s="13">
        <v>1</v>
      </c>
      <c r="D1720" s="16">
        <v>2.17318626841227</v>
      </c>
      <c r="E1720" s="16">
        <v>2.0274177978655774</v>
      </c>
      <c r="F1720" s="16">
        <v>0.14576847054669265</v>
      </c>
      <c r="G1720" s="16">
        <v>0.27485030140915223</v>
      </c>
      <c r="H1720" s="16">
        <v>4.3422834470301139E-2</v>
      </c>
      <c r="I1720" s="16">
        <v>1.9291885223537337</v>
      </c>
      <c r="J1720" s="16">
        <v>2.1256470733774213</v>
      </c>
      <c r="K1720" s="16">
        <v>0.36450736393051542</v>
      </c>
      <c r="L1720" s="16">
        <v>1.2028448579734252</v>
      </c>
      <c r="M1720" s="16">
        <v>2.8519907377577294</v>
      </c>
    </row>
    <row r="1721" spans="2:13" x14ac:dyDescent="0.35">
      <c r="B1721" s="7" t="s">
        <v>320</v>
      </c>
      <c r="C1721" s="13">
        <v>1</v>
      </c>
      <c r="D1721" s="16">
        <v>2.3926969532596698</v>
      </c>
      <c r="E1721" s="16">
        <v>2.243331770278826</v>
      </c>
      <c r="F1721" s="16">
        <v>0.14936518298084367</v>
      </c>
      <c r="G1721" s="16">
        <v>0.28163199770397473</v>
      </c>
      <c r="H1721" s="16">
        <v>4.8227879441428589E-2</v>
      </c>
      <c r="I1721" s="16">
        <v>2.1342327279248732</v>
      </c>
      <c r="J1721" s="16">
        <v>2.3524308126327789</v>
      </c>
      <c r="K1721" s="16">
        <v>0.36511094774267594</v>
      </c>
      <c r="L1721" s="16">
        <v>1.4173934289497927</v>
      </c>
      <c r="M1721" s="16">
        <v>3.0692701116078593</v>
      </c>
    </row>
    <row r="1722" spans="2:13" x14ac:dyDescent="0.35">
      <c r="B1722" s="7" t="s">
        <v>321</v>
      </c>
      <c r="C1722" s="13">
        <v>1</v>
      </c>
      <c r="D1722" s="16">
        <v>3.14612803567824</v>
      </c>
      <c r="E1722" s="16">
        <v>2.8874771114613318</v>
      </c>
      <c r="F1722" s="16">
        <v>0.25865092421690805</v>
      </c>
      <c r="G1722" s="16">
        <v>0.48769314937691738</v>
      </c>
      <c r="H1722" s="16">
        <v>5.6645188838772557E-2</v>
      </c>
      <c r="I1722" s="16">
        <v>2.7593367924623537</v>
      </c>
      <c r="J1722" s="16">
        <v>3.0156174304603098</v>
      </c>
      <c r="K1722" s="16">
        <v>0.36631783088558251</v>
      </c>
      <c r="L1722" s="16">
        <v>2.0588086108002019</v>
      </c>
      <c r="M1722" s="16">
        <v>3.7161456121224616</v>
      </c>
    </row>
    <row r="1723" spans="2:13" ht="15" thickBot="1" x14ac:dyDescent="0.4">
      <c r="B1723" s="11" t="s">
        <v>322</v>
      </c>
      <c r="C1723" s="14">
        <v>1</v>
      </c>
      <c r="D1723" s="17">
        <v>2.43136376415899</v>
      </c>
      <c r="E1723" s="17">
        <v>1.5406376793839276</v>
      </c>
      <c r="F1723" s="17">
        <v>0.89072608477506232</v>
      </c>
      <c r="G1723" s="17">
        <v>1.6794875596571497</v>
      </c>
      <c r="H1723" s="17">
        <v>6.3234473174261646E-2</v>
      </c>
      <c r="I1723" s="17">
        <v>1.3975913637057296</v>
      </c>
      <c r="J1723" s="17">
        <v>1.6836839950621256</v>
      </c>
      <c r="K1723" s="17">
        <v>0.36739443981062703</v>
      </c>
      <c r="L1723" s="17">
        <v>0.70953372014422345</v>
      </c>
      <c r="M1723" s="17">
        <v>2.3717416386236319</v>
      </c>
    </row>
    <row r="1743" spans="7:7" x14ac:dyDescent="0.35">
      <c r="G1743" t="s">
        <v>49</v>
      </c>
    </row>
    <row r="1763" spans="2:7" x14ac:dyDescent="0.35">
      <c r="G1763" t="s">
        <v>49</v>
      </c>
    </row>
    <row r="1766" spans="2:7" x14ac:dyDescent="0.35">
      <c r="B1766" s="6" t="s">
        <v>371</v>
      </c>
    </row>
    <row r="1767" spans="2:7" ht="15" thickBot="1" x14ac:dyDescent="0.4"/>
    <row r="1768" spans="2:7" ht="43.5" x14ac:dyDescent="0.35">
      <c r="B1768" s="8" t="s">
        <v>80</v>
      </c>
      <c r="C1768" s="9" t="s">
        <v>372</v>
      </c>
      <c r="D1768" s="9" t="s">
        <v>373</v>
      </c>
      <c r="E1768" s="9" t="s">
        <v>374</v>
      </c>
      <c r="F1768" s="9" t="s">
        <v>375</v>
      </c>
    </row>
    <row r="1769" spans="2:7" x14ac:dyDescent="0.35">
      <c r="B1769" s="19" t="s">
        <v>81</v>
      </c>
      <c r="C1769" s="21">
        <v>0.45432929759003071</v>
      </c>
      <c r="D1769" s="21">
        <v>0.3609598023985725</v>
      </c>
      <c r="E1769" s="21">
        <v>0.78261557536771775</v>
      </c>
      <c r="F1769" s="21">
        <v>0.53451157074320632</v>
      </c>
    </row>
    <row r="1770" spans="2:7" x14ac:dyDescent="0.35">
      <c r="B1770" s="7" t="s">
        <v>82</v>
      </c>
      <c r="C1770" s="16">
        <v>0.68961329208531696</v>
      </c>
      <c r="D1770" s="16">
        <v>0.49807297614678675</v>
      </c>
      <c r="E1770" s="16">
        <v>1.1879095322036282</v>
      </c>
      <c r="F1770" s="16">
        <v>0.73754963033527909</v>
      </c>
    </row>
    <row r="1771" spans="2:7" x14ac:dyDescent="0.35">
      <c r="B1771" s="7" t="s">
        <v>83</v>
      </c>
      <c r="C1771" s="16">
        <v>0.6178578965572451</v>
      </c>
      <c r="D1771" s="16">
        <v>0.48400253662978693</v>
      </c>
      <c r="E1771" s="16">
        <v>1.0643055945865258</v>
      </c>
      <c r="F1771" s="16">
        <v>0.71671403402426836</v>
      </c>
    </row>
    <row r="1772" spans="2:7" x14ac:dyDescent="0.35">
      <c r="B1772" s="7" t="s">
        <v>84</v>
      </c>
      <c r="C1772" s="16">
        <v>0.41996261556972231</v>
      </c>
      <c r="D1772" s="16">
        <v>0.41081829704471978</v>
      </c>
      <c r="E1772" s="16">
        <v>0.72341644212786038</v>
      </c>
      <c r="F1772" s="16">
        <v>0.608342346666496</v>
      </c>
    </row>
    <row r="1773" spans="2:7" x14ac:dyDescent="0.35">
      <c r="B1773" s="7" t="s">
        <v>85</v>
      </c>
      <c r="C1773" s="16">
        <v>0.55370301518597265</v>
      </c>
      <c r="D1773" s="16">
        <v>0.97902290284529259</v>
      </c>
      <c r="E1773" s="16">
        <v>0.95379410069133697</v>
      </c>
      <c r="F1773" s="16">
        <v>1.4497433401616922</v>
      </c>
    </row>
    <row r="1774" spans="2:7" x14ac:dyDescent="0.35">
      <c r="B1774" s="7" t="s">
        <v>86</v>
      </c>
      <c r="C1774" s="16">
        <v>0.41046565737558266</v>
      </c>
      <c r="D1774" s="16">
        <v>0.28218987522088324</v>
      </c>
      <c r="E1774" s="16">
        <v>0.70705723430046519</v>
      </c>
      <c r="F1774" s="16">
        <v>0.41786856167876774</v>
      </c>
    </row>
    <row r="1775" spans="2:7" x14ac:dyDescent="0.35">
      <c r="B1775" s="7" t="s">
        <v>87</v>
      </c>
      <c r="C1775" s="16">
        <v>0.43811800908606752</v>
      </c>
      <c r="D1775" s="16">
        <v>0.17175204140309028</v>
      </c>
      <c r="E1775" s="16">
        <v>0.75469044056509793</v>
      </c>
      <c r="F1775" s="16">
        <v>0.25433151508474189</v>
      </c>
    </row>
    <row r="1776" spans="2:7" x14ac:dyDescent="0.35">
      <c r="B1776" s="7" t="s">
        <v>88</v>
      </c>
      <c r="C1776" s="16">
        <v>0.37319830343068217</v>
      </c>
      <c r="D1776" s="16">
        <v>0.74604811630740353</v>
      </c>
      <c r="E1776" s="16">
        <v>0.64286148068138216</v>
      </c>
      <c r="F1776" s="16">
        <v>1.1047527947645441</v>
      </c>
    </row>
    <row r="1777" spans="2:6" x14ac:dyDescent="0.35">
      <c r="B1777" s="7" t="s">
        <v>89</v>
      </c>
      <c r="C1777" s="16">
        <v>0.52752784590369151</v>
      </c>
      <c r="D1777" s="16">
        <v>0.94067725668392022</v>
      </c>
      <c r="E1777" s="16">
        <v>0.90870544962511224</v>
      </c>
      <c r="F1777" s="16">
        <v>1.3929608634851163</v>
      </c>
    </row>
    <row r="1778" spans="2:6" x14ac:dyDescent="0.35">
      <c r="B1778" s="7" t="s">
        <v>90</v>
      </c>
      <c r="C1778" s="16">
        <v>0.53040969989365216</v>
      </c>
      <c r="D1778" s="16">
        <v>1.1660812338070257</v>
      </c>
      <c r="E1778" s="16">
        <v>0.91366965473018125</v>
      </c>
      <c r="F1778" s="26">
        <v>1.7267405061579075</v>
      </c>
    </row>
    <row r="1779" spans="2:6" x14ac:dyDescent="0.35">
      <c r="B1779" s="7" t="s">
        <v>91</v>
      </c>
      <c r="C1779" s="16">
        <v>0.51759902084956844</v>
      </c>
      <c r="D1779" s="16">
        <v>0.20487121135950448</v>
      </c>
      <c r="E1779" s="16">
        <v>0.89160231942048762</v>
      </c>
      <c r="F1779" s="16">
        <v>0.30337459256173738</v>
      </c>
    </row>
    <row r="1780" spans="2:6" x14ac:dyDescent="0.35">
      <c r="B1780" s="7" t="s">
        <v>92</v>
      </c>
      <c r="C1780" s="16">
        <v>0.590370569241085</v>
      </c>
      <c r="D1780" s="16">
        <v>1.5649548221959564</v>
      </c>
      <c r="E1780" s="16">
        <v>1.0169566549584479</v>
      </c>
      <c r="F1780" s="26">
        <v>2.3173950522902436</v>
      </c>
    </row>
    <row r="1781" spans="2:6" x14ac:dyDescent="0.35">
      <c r="B1781" s="7" t="s">
        <v>93</v>
      </c>
      <c r="C1781" s="16">
        <v>0.37010101756803837</v>
      </c>
      <c r="D1781" s="16">
        <v>0.21318361478790146</v>
      </c>
      <c r="E1781" s="16">
        <v>0.63752617835699066</v>
      </c>
      <c r="F1781" s="16">
        <v>0.31568365241726559</v>
      </c>
    </row>
    <row r="1782" spans="2:6" x14ac:dyDescent="0.35">
      <c r="B1782" s="7" t="s">
        <v>94</v>
      </c>
      <c r="C1782" s="16">
        <v>0.50540001939458234</v>
      </c>
      <c r="D1782" s="16">
        <v>0.19109105308138147</v>
      </c>
      <c r="E1782" s="16">
        <v>0.87058864367197686</v>
      </c>
      <c r="F1782" s="16">
        <v>0.28296884655516025</v>
      </c>
    </row>
    <row r="1783" spans="2:6" x14ac:dyDescent="0.35">
      <c r="B1783" s="7" t="s">
        <v>95</v>
      </c>
      <c r="C1783" s="16">
        <v>0.44248638368925075</v>
      </c>
      <c r="D1783" s="16">
        <v>0.4139203390751558</v>
      </c>
      <c r="E1783" s="16">
        <v>0.76221528657794935</v>
      </c>
      <c r="F1783" s="16">
        <v>0.61293587023111984</v>
      </c>
    </row>
    <row r="1784" spans="2:6" x14ac:dyDescent="0.35">
      <c r="B1784" s="7" t="s">
        <v>96</v>
      </c>
      <c r="C1784" s="16">
        <v>0.51658009586649833</v>
      </c>
      <c r="D1784" s="16">
        <v>0.94473817173236474</v>
      </c>
      <c r="E1784" s="16">
        <v>0.88984714632002537</v>
      </c>
      <c r="F1784" s="16">
        <v>1.3989742923123019</v>
      </c>
    </row>
    <row r="1785" spans="2:6" x14ac:dyDescent="0.35">
      <c r="B1785" s="7" t="s">
        <v>97</v>
      </c>
      <c r="C1785" s="16">
        <v>0.56738227038970357</v>
      </c>
      <c r="D1785" s="16">
        <v>0.14306523274697786</v>
      </c>
      <c r="E1785" s="16">
        <v>0.97735762221340716</v>
      </c>
      <c r="F1785" s="16">
        <v>0.21185190640671725</v>
      </c>
    </row>
    <row r="1786" spans="2:6" x14ac:dyDescent="0.35">
      <c r="B1786" s="7" t="s">
        <v>98</v>
      </c>
      <c r="C1786" s="16">
        <v>0.41151464749505251</v>
      </c>
      <c r="D1786" s="16">
        <v>0.44827652481205332</v>
      </c>
      <c r="E1786" s="16">
        <v>0.70886419680598423</v>
      </c>
      <c r="F1786" s="16">
        <v>0.6638107285420658</v>
      </c>
    </row>
    <row r="1787" spans="2:6" x14ac:dyDescent="0.35">
      <c r="B1787" s="7" t="s">
        <v>99</v>
      </c>
      <c r="C1787" s="16">
        <v>0.27283323416658622</v>
      </c>
      <c r="D1787" s="16">
        <v>0.17074883045786507</v>
      </c>
      <c r="E1787" s="16">
        <v>0.46997527931688349</v>
      </c>
      <c r="F1787" s="16">
        <v>0.25284595393761172</v>
      </c>
    </row>
    <row r="1788" spans="2:6" x14ac:dyDescent="0.35">
      <c r="B1788" s="7" t="s">
        <v>100</v>
      </c>
      <c r="C1788" s="16">
        <v>0.51941507137719434</v>
      </c>
      <c r="D1788" s="16">
        <v>0.67471520130409202</v>
      </c>
      <c r="E1788" s="16">
        <v>0.894730599802391</v>
      </c>
      <c r="F1788" s="16">
        <v>0.99912256062004967</v>
      </c>
    </row>
    <row r="1789" spans="2:6" x14ac:dyDescent="0.35">
      <c r="B1789" s="7" t="s">
        <v>101</v>
      </c>
      <c r="C1789" s="16">
        <v>0.90106729683953291</v>
      </c>
      <c r="D1789" s="16">
        <v>0.51550963010995488</v>
      </c>
      <c r="E1789" s="26">
        <v>1.552154581933743</v>
      </c>
      <c r="F1789" s="16">
        <v>0.76336993840400824</v>
      </c>
    </row>
    <row r="1790" spans="2:6" x14ac:dyDescent="0.35">
      <c r="B1790" s="7" t="s">
        <v>102</v>
      </c>
      <c r="C1790" s="16">
        <v>0.70851348995915764</v>
      </c>
      <c r="D1790" s="16">
        <v>0.41256189988393688</v>
      </c>
      <c r="E1790" s="16">
        <v>1.2204665108357808</v>
      </c>
      <c r="F1790" s="16">
        <v>0.61092428483841787</v>
      </c>
    </row>
    <row r="1791" spans="2:6" x14ac:dyDescent="0.35">
      <c r="B1791" s="7" t="s">
        <v>103</v>
      </c>
      <c r="C1791" s="16">
        <v>0.43100548536481592</v>
      </c>
      <c r="D1791" s="16">
        <v>1.277332635202123</v>
      </c>
      <c r="E1791" s="16">
        <v>0.7424385962003377</v>
      </c>
      <c r="F1791" s="26">
        <v>1.8914822887939</v>
      </c>
    </row>
    <row r="1792" spans="2:6" x14ac:dyDescent="0.35">
      <c r="B1792" s="7" t="s">
        <v>104</v>
      </c>
      <c r="C1792" s="16">
        <v>0.59494442637451328</v>
      </c>
      <c r="D1792" s="16">
        <v>0.62970953939923802</v>
      </c>
      <c r="E1792" s="16">
        <v>1.0248354597177169</v>
      </c>
      <c r="F1792" s="16">
        <v>0.93247789027933825</v>
      </c>
    </row>
    <row r="1793" spans="2:6" x14ac:dyDescent="0.35">
      <c r="B1793" s="7" t="s">
        <v>105</v>
      </c>
      <c r="C1793" s="16">
        <v>0.48920375536993765</v>
      </c>
      <c r="D1793" s="16">
        <v>0.68367536052168454</v>
      </c>
      <c r="E1793" s="16">
        <v>0.84268938963819318</v>
      </c>
      <c r="F1793" s="16">
        <v>1.0123908213673121</v>
      </c>
    </row>
    <row r="1794" spans="2:6" x14ac:dyDescent="0.35">
      <c r="B1794" s="7" t="s">
        <v>106</v>
      </c>
      <c r="C1794" s="16">
        <v>0.64468349211564069</v>
      </c>
      <c r="D1794" s="16">
        <v>0.56770282614449463</v>
      </c>
      <c r="E1794" s="16">
        <v>1.1105146526725393</v>
      </c>
      <c r="F1794" s="16">
        <v>0.84065795498964746</v>
      </c>
    </row>
    <row r="1795" spans="2:6" x14ac:dyDescent="0.35">
      <c r="B1795" s="7" t="s">
        <v>107</v>
      </c>
      <c r="C1795" s="16">
        <v>0.84610737404644976</v>
      </c>
      <c r="D1795" s="16">
        <v>0.58066807071225257</v>
      </c>
      <c r="E1795" s="26">
        <v>1.457482079352395</v>
      </c>
      <c r="F1795" s="16">
        <v>0.85985697159186159</v>
      </c>
    </row>
    <row r="1796" spans="2:6" x14ac:dyDescent="0.35">
      <c r="B1796" s="7" t="s">
        <v>108</v>
      </c>
      <c r="C1796" s="16">
        <v>0.30927723350552022</v>
      </c>
      <c r="D1796" s="16">
        <v>3.7346737100952682E-2</v>
      </c>
      <c r="E1796" s="16">
        <v>0.53275274417031093</v>
      </c>
      <c r="F1796" s="16">
        <v>5.5303285787821406E-2</v>
      </c>
    </row>
    <row r="1797" spans="2:6" x14ac:dyDescent="0.35">
      <c r="B1797" s="7" t="s">
        <v>109</v>
      </c>
      <c r="C1797" s="16">
        <v>0.40298317752198698</v>
      </c>
      <c r="D1797" s="16">
        <v>0.22511378333321336</v>
      </c>
      <c r="E1797" s="16">
        <v>0.69416811333278494</v>
      </c>
      <c r="F1797" s="16">
        <v>0.3333499218633702</v>
      </c>
    </row>
    <row r="1798" spans="2:6" x14ac:dyDescent="0.35">
      <c r="B1798" s="7" t="s">
        <v>110</v>
      </c>
      <c r="C1798" s="16">
        <v>1.3811599518790603</v>
      </c>
      <c r="D1798" s="16">
        <v>0.57076495488724932</v>
      </c>
      <c r="E1798" s="26">
        <v>2.3791494322473969</v>
      </c>
      <c r="F1798" s="16">
        <v>0.84519237470406328</v>
      </c>
    </row>
    <row r="1799" spans="2:6" x14ac:dyDescent="0.35">
      <c r="B1799" s="7" t="s">
        <v>111</v>
      </c>
      <c r="C1799" s="16">
        <v>0.37563871263717963</v>
      </c>
      <c r="D1799" s="16">
        <v>0.62569440873003901</v>
      </c>
      <c r="E1799" s="16">
        <v>0.64706526473274462</v>
      </c>
      <c r="F1799" s="16">
        <v>0.92653225925208327</v>
      </c>
    </row>
    <row r="1800" spans="2:6" x14ac:dyDescent="0.35">
      <c r="B1800" s="7" t="s">
        <v>112</v>
      </c>
      <c r="C1800" s="16">
        <v>0.81072478718846241</v>
      </c>
      <c r="D1800" s="16">
        <v>0.53150789936356602</v>
      </c>
      <c r="E1800" s="26">
        <v>1.3965329754342735</v>
      </c>
      <c r="F1800" s="16">
        <v>0.78706027724810512</v>
      </c>
    </row>
    <row r="1801" spans="2:6" x14ac:dyDescent="0.35">
      <c r="B1801" s="7" t="s">
        <v>113</v>
      </c>
      <c r="C1801" s="16">
        <v>0.45919755500909171</v>
      </c>
      <c r="D1801" s="16">
        <v>1.2371644474104024</v>
      </c>
      <c r="E1801" s="16">
        <v>0.79100150623606902</v>
      </c>
      <c r="F1801" s="26">
        <v>1.8320009808815219</v>
      </c>
    </row>
    <row r="1802" spans="2:6" x14ac:dyDescent="0.35">
      <c r="B1802" s="7" t="s">
        <v>114</v>
      </c>
      <c r="C1802" s="16">
        <v>0.41770429892216909</v>
      </c>
      <c r="D1802" s="16">
        <v>0.55048042722045121</v>
      </c>
      <c r="E1802" s="16">
        <v>0.71952632587988252</v>
      </c>
      <c r="F1802" s="16">
        <v>0.81515491714530675</v>
      </c>
    </row>
    <row r="1803" spans="2:6" x14ac:dyDescent="0.35">
      <c r="B1803" s="7" t="s">
        <v>115</v>
      </c>
      <c r="C1803" s="16">
        <v>0.7942757063014414</v>
      </c>
      <c r="D1803" s="16">
        <v>1.4779679935912535</v>
      </c>
      <c r="E1803" s="26">
        <v>1.3681982257913339</v>
      </c>
      <c r="F1803" s="26">
        <v>2.1885844033412245</v>
      </c>
    </row>
    <row r="1804" spans="2:6" x14ac:dyDescent="0.35">
      <c r="B1804" s="7" t="s">
        <v>116</v>
      </c>
      <c r="C1804" s="16">
        <v>0.28254727422257597</v>
      </c>
      <c r="D1804" s="16">
        <v>1.2689331708189753</v>
      </c>
      <c r="E1804" s="16">
        <v>0.48670842659109592</v>
      </c>
      <c r="F1804" s="26">
        <v>1.8790443085229542</v>
      </c>
    </row>
    <row r="1805" spans="2:6" x14ac:dyDescent="0.35">
      <c r="B1805" s="7" t="s">
        <v>117</v>
      </c>
      <c r="C1805" s="16">
        <v>0.90592498695754553</v>
      </c>
      <c r="D1805" s="16">
        <v>1.1504061976516471</v>
      </c>
      <c r="E1805" s="26">
        <v>1.5605223098501078</v>
      </c>
      <c r="F1805" s="26">
        <v>1.7035288129411199</v>
      </c>
    </row>
    <row r="1806" spans="2:6" x14ac:dyDescent="0.35">
      <c r="B1806" s="7" t="s">
        <v>118</v>
      </c>
      <c r="C1806" s="16">
        <v>0.80750902769799027</v>
      </c>
      <c r="D1806" s="16">
        <v>0.43027143093239745</v>
      </c>
      <c r="E1806" s="26">
        <v>1.3909935935867241</v>
      </c>
      <c r="F1806" s="16">
        <v>0.6371486710302795</v>
      </c>
    </row>
    <row r="1807" spans="2:6" x14ac:dyDescent="0.35">
      <c r="B1807" s="7" t="s">
        <v>119</v>
      </c>
      <c r="C1807" s="16">
        <v>0.57268392394528023</v>
      </c>
      <c r="D1807" s="16">
        <v>0.19070189517629937</v>
      </c>
      <c r="E1807" s="16">
        <v>0.98649010975010565</v>
      </c>
      <c r="F1807" s="16">
        <v>0.28239257905465093</v>
      </c>
    </row>
    <row r="1808" spans="2:6" x14ac:dyDescent="0.35">
      <c r="B1808" s="7" t="s">
        <v>120</v>
      </c>
      <c r="C1808" s="16">
        <v>0.52837930291643354</v>
      </c>
      <c r="D1808" s="16">
        <v>2.0630340275330981</v>
      </c>
      <c r="E1808" s="16">
        <v>0.91017214684992842</v>
      </c>
      <c r="F1808" s="26">
        <v>3.0549539068502116</v>
      </c>
    </row>
    <row r="1809" spans="2:6" x14ac:dyDescent="0.35">
      <c r="B1809" s="7" t="s">
        <v>121</v>
      </c>
      <c r="C1809" s="16">
        <v>1.0329353483733266</v>
      </c>
      <c r="D1809" s="16">
        <v>2.2297799670536511</v>
      </c>
      <c r="E1809" s="26">
        <v>1.779306983443331</v>
      </c>
      <c r="F1809" s="26">
        <v>3.3018723544333795</v>
      </c>
    </row>
    <row r="1810" spans="2:6" x14ac:dyDescent="0.35">
      <c r="B1810" s="7" t="s">
        <v>122</v>
      </c>
      <c r="C1810" s="16">
        <v>0.44022520331791176</v>
      </c>
      <c r="D1810" s="16">
        <v>0.73237662941621828</v>
      </c>
      <c r="E1810" s="16">
        <v>0.75832023735547438</v>
      </c>
      <c r="F1810" s="16">
        <v>1.0845079700387883</v>
      </c>
    </row>
    <row r="1811" spans="2:6" x14ac:dyDescent="0.35">
      <c r="B1811" s="7" t="s">
        <v>123</v>
      </c>
      <c r="C1811" s="16">
        <v>0.51739323861368147</v>
      </c>
      <c r="D1811" s="16">
        <v>1.5889165767999462</v>
      </c>
      <c r="E1811" s="16">
        <v>0.89124784440909521</v>
      </c>
      <c r="F1811" s="26">
        <v>2.3528777708811615</v>
      </c>
    </row>
    <row r="1812" spans="2:6" x14ac:dyDescent="0.35">
      <c r="B1812" s="7" t="s">
        <v>124</v>
      </c>
      <c r="C1812" s="16">
        <v>0.57964090192488404</v>
      </c>
      <c r="D1812" s="16">
        <v>1.1112475850111989</v>
      </c>
      <c r="E1812" s="16">
        <v>0.99847401515354106</v>
      </c>
      <c r="F1812" s="26">
        <v>1.6455424903326568</v>
      </c>
    </row>
    <row r="1813" spans="2:6" x14ac:dyDescent="0.35">
      <c r="B1813" s="7" t="s">
        <v>125</v>
      </c>
      <c r="C1813" s="16">
        <v>0.51147438193597261</v>
      </c>
      <c r="D1813" s="16">
        <v>0.26592065644594226</v>
      </c>
      <c r="E1813" s="16">
        <v>0.8810521791748358</v>
      </c>
      <c r="F1813" s="16">
        <v>0.39377699906051161</v>
      </c>
    </row>
    <row r="1814" spans="2:6" x14ac:dyDescent="0.35">
      <c r="B1814" s="7" t="s">
        <v>126</v>
      </c>
      <c r="C1814" s="16">
        <v>0.40595425237452454</v>
      </c>
      <c r="D1814" s="16">
        <v>1.2569370167619052</v>
      </c>
      <c r="E1814" s="16">
        <v>0.69928600792490825</v>
      </c>
      <c r="F1814" s="26">
        <v>1.8612803273114347</v>
      </c>
    </row>
    <row r="1815" spans="2:6" x14ac:dyDescent="0.35">
      <c r="B1815" s="7" t="s">
        <v>127</v>
      </c>
      <c r="C1815" s="16">
        <v>0.40908279184906154</v>
      </c>
      <c r="D1815" s="16">
        <v>0.67123472958963437</v>
      </c>
      <c r="E1815" s="16">
        <v>0.7046751468906608</v>
      </c>
      <c r="F1815" s="16">
        <v>0.99396865597288386</v>
      </c>
    </row>
    <row r="1816" spans="2:6" x14ac:dyDescent="0.35">
      <c r="B1816" s="7" t="s">
        <v>128</v>
      </c>
      <c r="C1816" s="16">
        <v>0.54433658784688099</v>
      </c>
      <c r="D1816" s="16">
        <v>0.44236701130034378</v>
      </c>
      <c r="E1816" s="16">
        <v>0.93765974184631762</v>
      </c>
      <c r="F1816" s="16">
        <v>0.65505988335519871</v>
      </c>
    </row>
    <row r="1817" spans="2:6" x14ac:dyDescent="0.35">
      <c r="B1817" s="7" t="s">
        <v>129</v>
      </c>
      <c r="C1817" s="16">
        <v>0.47784968597264088</v>
      </c>
      <c r="D1817" s="16">
        <v>2.211875251819353</v>
      </c>
      <c r="E1817" s="16">
        <v>0.82313117140030911</v>
      </c>
      <c r="F1817" s="26">
        <v>3.2753589382579489</v>
      </c>
    </row>
    <row r="1818" spans="2:6" x14ac:dyDescent="0.35">
      <c r="B1818" s="7" t="s">
        <v>130</v>
      </c>
      <c r="C1818" s="16">
        <v>0.25709732723944545</v>
      </c>
      <c r="D1818" s="16">
        <v>0.42222959769867013</v>
      </c>
      <c r="E1818" s="16">
        <v>0.44286902418642549</v>
      </c>
      <c r="F1818" s="16">
        <v>0.62524027323957998</v>
      </c>
    </row>
    <row r="1819" spans="2:6" x14ac:dyDescent="0.35">
      <c r="B1819" s="7" t="s">
        <v>131</v>
      </c>
      <c r="C1819" s="16">
        <v>0.43316382154859717</v>
      </c>
      <c r="D1819" s="16">
        <v>0.22467486389980798</v>
      </c>
      <c r="E1819" s="16">
        <v>0.74615648875815188</v>
      </c>
      <c r="F1819" s="16">
        <v>0.33269996717528511</v>
      </c>
    </row>
    <row r="1820" spans="2:6" x14ac:dyDescent="0.35">
      <c r="B1820" s="7" t="s">
        <v>132</v>
      </c>
      <c r="C1820" s="16">
        <v>0.5029214746330164</v>
      </c>
      <c r="D1820" s="16">
        <v>1.1440549996112248E-2</v>
      </c>
      <c r="E1820" s="16">
        <v>0.86631916832681011</v>
      </c>
      <c r="F1820" s="16">
        <v>1.6941239184954531E-2</v>
      </c>
    </row>
    <row r="1821" spans="2:6" x14ac:dyDescent="0.35">
      <c r="B1821" s="7" t="s">
        <v>133</v>
      </c>
      <c r="C1821" s="16">
        <v>0.45707244594617347</v>
      </c>
      <c r="D1821" s="16">
        <v>0.25226976830982634</v>
      </c>
      <c r="E1821" s="16">
        <v>0.7873408498337261</v>
      </c>
      <c r="F1821" s="16">
        <v>0.37356267710225033</v>
      </c>
    </row>
    <row r="1822" spans="2:6" x14ac:dyDescent="0.35">
      <c r="B1822" s="7" t="s">
        <v>134</v>
      </c>
      <c r="C1822" s="16">
        <v>0.44340144298046041</v>
      </c>
      <c r="D1822" s="16">
        <v>0.15270130423505585</v>
      </c>
      <c r="E1822" s="16">
        <v>0.76379154339758304</v>
      </c>
      <c r="F1822" s="16">
        <v>0.22612106234225574</v>
      </c>
    </row>
    <row r="1823" spans="2:6" x14ac:dyDescent="0.35">
      <c r="B1823" s="7" t="s">
        <v>135</v>
      </c>
      <c r="C1823" s="16">
        <v>0.4122013846579457</v>
      </c>
      <c r="D1823" s="16">
        <v>0.14553902735919569</v>
      </c>
      <c r="E1823" s="16">
        <v>0.71004715199446733</v>
      </c>
      <c r="F1823" s="16">
        <v>0.2155151171994043</v>
      </c>
    </row>
    <row r="1824" spans="2:6" x14ac:dyDescent="0.35">
      <c r="B1824" s="7" t="s">
        <v>136</v>
      </c>
      <c r="C1824" s="16">
        <v>0.70921580634615067</v>
      </c>
      <c r="D1824" s="16">
        <v>0.74192409996003972</v>
      </c>
      <c r="E1824" s="16">
        <v>1.2216763023817196</v>
      </c>
      <c r="F1824" s="16">
        <v>1.0986459251326561</v>
      </c>
    </row>
    <row r="1825" spans="2:6" x14ac:dyDescent="0.35">
      <c r="B1825" s="7" t="s">
        <v>137</v>
      </c>
      <c r="C1825" s="16">
        <v>0.30735960220676689</v>
      </c>
      <c r="D1825" s="16">
        <v>0.26088819372794009</v>
      </c>
      <c r="E1825" s="16">
        <v>0.52944948345131759</v>
      </c>
      <c r="F1825" s="16">
        <v>0.3863248962661518</v>
      </c>
    </row>
    <row r="1826" spans="2:6" x14ac:dyDescent="0.35">
      <c r="B1826" s="7" t="s">
        <v>138</v>
      </c>
      <c r="C1826" s="16">
        <v>0.48569370894227648</v>
      </c>
      <c r="D1826" s="16">
        <v>0.53133193888586305</v>
      </c>
      <c r="E1826" s="16">
        <v>0.83664307693257889</v>
      </c>
      <c r="F1826" s="16">
        <v>0.786799713853786</v>
      </c>
    </row>
    <row r="1827" spans="2:6" x14ac:dyDescent="0.35">
      <c r="B1827" s="7" t="s">
        <v>139</v>
      </c>
      <c r="C1827" s="16">
        <v>0.48266761603306757</v>
      </c>
      <c r="D1827" s="16">
        <v>1.0668547310080527</v>
      </c>
      <c r="E1827" s="16">
        <v>0.83143040969800019</v>
      </c>
      <c r="F1827" s="26">
        <v>1.5798052698296532</v>
      </c>
    </row>
    <row r="1828" spans="2:6" x14ac:dyDescent="0.35">
      <c r="B1828" s="7" t="s">
        <v>140</v>
      </c>
      <c r="C1828" s="16">
        <v>0.36757023977101061</v>
      </c>
      <c r="D1828" s="16">
        <v>0.6917729360327437</v>
      </c>
      <c r="E1828" s="16">
        <v>0.63316672777289917</v>
      </c>
      <c r="F1828" s="16">
        <v>1.0243817626767511</v>
      </c>
    </row>
    <row r="1829" spans="2:6" x14ac:dyDescent="0.35">
      <c r="B1829" s="7" t="s">
        <v>141</v>
      </c>
      <c r="C1829" s="16">
        <v>0.30308670603603183</v>
      </c>
      <c r="D1829" s="16">
        <v>0.6294134332903456</v>
      </c>
      <c r="E1829" s="16">
        <v>0.52208910604910164</v>
      </c>
      <c r="F1829" s="16">
        <v>0.932039414470345</v>
      </c>
    </row>
    <row r="1830" spans="2:6" x14ac:dyDescent="0.35">
      <c r="B1830" s="7" t="s">
        <v>142</v>
      </c>
      <c r="C1830" s="16">
        <v>0.35590139635127527</v>
      </c>
      <c r="D1830" s="16">
        <v>6.8923227677686869E-2</v>
      </c>
      <c r="E1830" s="16">
        <v>0.61306628816829201</v>
      </c>
      <c r="F1830" s="16">
        <v>0.10206195382945427</v>
      </c>
    </row>
    <row r="1831" spans="2:6" x14ac:dyDescent="0.35">
      <c r="B1831" s="7" t="s">
        <v>143</v>
      </c>
      <c r="C1831" s="16">
        <v>0.37343802766218964</v>
      </c>
      <c r="D1831" s="16">
        <v>1.8947388758265684</v>
      </c>
      <c r="E1831" s="16">
        <v>0.64327442327250706</v>
      </c>
      <c r="F1831" s="26">
        <v>2.8057413760105749</v>
      </c>
    </row>
    <row r="1832" spans="2:6" x14ac:dyDescent="0.35">
      <c r="B1832" s="7" t="s">
        <v>144</v>
      </c>
      <c r="C1832" s="16">
        <v>0.44973393517933807</v>
      </c>
      <c r="D1832" s="16">
        <v>0.42656620904710796</v>
      </c>
      <c r="E1832" s="16">
        <v>0.77469972618928185</v>
      </c>
      <c r="F1832" s="16">
        <v>0.63166195490095467</v>
      </c>
    </row>
    <row r="1833" spans="2:6" x14ac:dyDescent="0.35">
      <c r="B1833" s="7" t="s">
        <v>145</v>
      </c>
      <c r="C1833" s="16">
        <v>0.42251051874669715</v>
      </c>
      <c r="D1833" s="16">
        <v>1.2003275043129142</v>
      </c>
      <c r="E1833" s="16">
        <v>0.72780539243638465</v>
      </c>
      <c r="F1833" s="26">
        <v>1.7774526012958221</v>
      </c>
    </row>
    <row r="1834" spans="2:6" x14ac:dyDescent="0.35">
      <c r="B1834" s="7" t="s">
        <v>146</v>
      </c>
      <c r="C1834" s="16">
        <v>0.53608369155873825</v>
      </c>
      <c r="D1834" s="16">
        <v>0.39026842059954647</v>
      </c>
      <c r="E1834" s="16">
        <v>0.92344352200036983</v>
      </c>
      <c r="F1834" s="16">
        <v>0.57791195894936265</v>
      </c>
    </row>
    <row r="1835" spans="2:6" x14ac:dyDescent="0.35">
      <c r="B1835" s="7" t="s">
        <v>147</v>
      </c>
      <c r="C1835" s="16">
        <v>0.74701854634944442</v>
      </c>
      <c r="D1835" s="16">
        <v>1.0222797206682452</v>
      </c>
      <c r="E1835" s="16">
        <v>1.2867942977984501</v>
      </c>
      <c r="F1835" s="16">
        <v>1.5137983110649855</v>
      </c>
    </row>
    <row r="1836" spans="2:6" x14ac:dyDescent="0.35">
      <c r="B1836" s="7" t="s">
        <v>148</v>
      </c>
      <c r="C1836" s="16">
        <v>0.30508405489009799</v>
      </c>
      <c r="D1836" s="16">
        <v>0.34334082619776335</v>
      </c>
      <c r="E1836" s="16">
        <v>0.52552968611058293</v>
      </c>
      <c r="F1836" s="16">
        <v>0.50842127874558718</v>
      </c>
    </row>
    <row r="1837" spans="2:6" x14ac:dyDescent="0.35">
      <c r="B1837" s="7" t="s">
        <v>149</v>
      </c>
      <c r="C1837" s="16">
        <v>0.57584761691951736</v>
      </c>
      <c r="D1837" s="16">
        <v>3.6421477191755432E-2</v>
      </c>
      <c r="E1837" s="16">
        <v>0.9919398032003256</v>
      </c>
      <c r="F1837" s="16">
        <v>5.3933155030533808E-2</v>
      </c>
    </row>
    <row r="1838" spans="2:6" x14ac:dyDescent="0.35">
      <c r="B1838" s="7" t="s">
        <v>150</v>
      </c>
      <c r="C1838" s="16">
        <v>0.30494745248397459</v>
      </c>
      <c r="D1838" s="16">
        <v>5.8003373370716224E-3</v>
      </c>
      <c r="E1838" s="16">
        <v>0.52529437843566085</v>
      </c>
      <c r="F1838" s="16">
        <v>8.5891764132096076E-3</v>
      </c>
    </row>
    <row r="1839" spans="2:6" x14ac:dyDescent="0.35">
      <c r="B1839" s="7" t="s">
        <v>151</v>
      </c>
      <c r="C1839" s="16">
        <v>0.75595160958143293</v>
      </c>
      <c r="D1839" s="16">
        <v>0.23426856121420905</v>
      </c>
      <c r="E1839" s="16">
        <v>1.302182155148137</v>
      </c>
      <c r="F1839" s="16">
        <v>0.34690637516498452</v>
      </c>
    </row>
    <row r="1840" spans="2:6" x14ac:dyDescent="0.35">
      <c r="B1840" s="7" t="s">
        <v>152</v>
      </c>
      <c r="C1840" s="16">
        <v>0.32449938069633155</v>
      </c>
      <c r="D1840" s="16">
        <v>0.94358478536014823</v>
      </c>
      <c r="E1840" s="16">
        <v>0.55897401043084349</v>
      </c>
      <c r="F1840" s="16">
        <v>1.3972663504379141</v>
      </c>
    </row>
    <row r="1841" spans="2:6" x14ac:dyDescent="0.35">
      <c r="B1841" s="7" t="s">
        <v>153</v>
      </c>
      <c r="C1841" s="16">
        <v>0.53222978378615982</v>
      </c>
      <c r="D1841" s="16">
        <v>1.0073280009338599</v>
      </c>
      <c r="E1841" s="16">
        <v>0.91680488287925321</v>
      </c>
      <c r="F1841" s="16">
        <v>1.4916577094039898</v>
      </c>
    </row>
    <row r="1842" spans="2:6" x14ac:dyDescent="0.35">
      <c r="B1842" s="7" t="s">
        <v>154</v>
      </c>
      <c r="C1842" s="16">
        <v>0.54781041484402238</v>
      </c>
      <c r="D1842" s="16">
        <v>0.21813485242743005</v>
      </c>
      <c r="E1842" s="16">
        <v>0.94364366392335908</v>
      </c>
      <c r="F1842" s="16">
        <v>0.32301547659890967</v>
      </c>
    </row>
    <row r="1843" spans="2:6" x14ac:dyDescent="0.35">
      <c r="B1843" s="7" t="s">
        <v>155</v>
      </c>
      <c r="C1843" s="16">
        <v>0.30920938012608024</v>
      </c>
      <c r="D1843" s="16">
        <v>0.78288942086047864</v>
      </c>
      <c r="E1843" s="16">
        <v>0.5326358617419209</v>
      </c>
      <c r="F1843" s="16">
        <v>1.1593076328214116</v>
      </c>
    </row>
    <row r="1844" spans="2:6" x14ac:dyDescent="0.35">
      <c r="B1844" s="7" t="s">
        <v>156</v>
      </c>
      <c r="C1844" s="16">
        <v>0.3895885584082856</v>
      </c>
      <c r="D1844" s="16">
        <v>0.96479133286245089</v>
      </c>
      <c r="E1844" s="16">
        <v>0.67109489837590985</v>
      </c>
      <c r="F1844" s="16">
        <v>1.4286691408322305</v>
      </c>
    </row>
    <row r="1845" spans="2:6" x14ac:dyDescent="0.35">
      <c r="B1845" s="7" t="s">
        <v>157</v>
      </c>
      <c r="C1845" s="16">
        <v>0.41909546514598967</v>
      </c>
      <c r="D1845" s="16">
        <v>0.61531635011653507</v>
      </c>
      <c r="E1845" s="16">
        <v>0.72192271185028478</v>
      </c>
      <c r="F1845" s="16">
        <v>0.91116436406290136</v>
      </c>
    </row>
    <row r="1846" spans="2:6" x14ac:dyDescent="0.35">
      <c r="B1846" s="7" t="s">
        <v>158</v>
      </c>
      <c r="C1846" s="16">
        <v>0.43754844115464137</v>
      </c>
      <c r="D1846" s="16">
        <v>0.2379364480658408</v>
      </c>
      <c r="E1846" s="16">
        <v>0.75370931798126151</v>
      </c>
      <c r="F1846" s="16">
        <v>0.35233780533905473</v>
      </c>
    </row>
    <row r="1847" spans="2:6" x14ac:dyDescent="0.35">
      <c r="B1847" s="7" t="s">
        <v>159</v>
      </c>
      <c r="C1847" s="16">
        <v>0.4908718433499773</v>
      </c>
      <c r="D1847" s="16">
        <v>0.50508783674966373</v>
      </c>
      <c r="E1847" s="16">
        <v>0.84556279366735776</v>
      </c>
      <c r="F1847" s="16">
        <v>0.7479372805236737</v>
      </c>
    </row>
    <row r="1848" spans="2:6" x14ac:dyDescent="0.35">
      <c r="B1848" s="7" t="s">
        <v>160</v>
      </c>
      <c r="C1848" s="16">
        <v>0.51804614940504423</v>
      </c>
      <c r="D1848" s="16">
        <v>0.664910906694684</v>
      </c>
      <c r="E1848" s="16">
        <v>0.89237253118883109</v>
      </c>
      <c r="F1848" s="16">
        <v>0.98460429881671108</v>
      </c>
    </row>
    <row r="1849" spans="2:6" x14ac:dyDescent="0.35">
      <c r="B1849" s="7" t="s">
        <v>161</v>
      </c>
      <c r="C1849" s="16">
        <v>0.44158270434294289</v>
      </c>
      <c r="D1849" s="16">
        <v>0.54833207428063335</v>
      </c>
      <c r="E1849" s="16">
        <v>0.76065863254901023</v>
      </c>
      <c r="F1849" s="16">
        <v>0.81197362245060045</v>
      </c>
    </row>
    <row r="1850" spans="2:6" x14ac:dyDescent="0.35">
      <c r="B1850" s="7" t="s">
        <v>162</v>
      </c>
      <c r="C1850" s="16">
        <v>0.49921791071350358</v>
      </c>
      <c r="D1850" s="16">
        <v>0.71737769075282465</v>
      </c>
      <c r="E1850" s="16">
        <v>0.85993950753197379</v>
      </c>
      <c r="F1850" s="16">
        <v>1.0622974462874508</v>
      </c>
    </row>
    <row r="1851" spans="2:6" x14ac:dyDescent="0.35">
      <c r="B1851" s="7" t="s">
        <v>163</v>
      </c>
      <c r="C1851" s="16">
        <v>0.351535883053474</v>
      </c>
      <c r="D1851" s="16">
        <v>0.13229405249941753</v>
      </c>
      <c r="E1851" s="16">
        <v>0.6055463709640595</v>
      </c>
      <c r="F1851" s="16">
        <v>0.19590187420195551</v>
      </c>
    </row>
    <row r="1852" spans="2:6" x14ac:dyDescent="0.35">
      <c r="B1852" s="7" t="s">
        <v>164</v>
      </c>
      <c r="C1852" s="16">
        <v>0.34491599726647887</v>
      </c>
      <c r="D1852" s="16">
        <v>0.36182552925278572</v>
      </c>
      <c r="E1852" s="16">
        <v>0.59414313161423271</v>
      </c>
      <c r="F1852" s="16">
        <v>0.53579354457410155</v>
      </c>
    </row>
    <row r="1853" spans="2:6" x14ac:dyDescent="0.35">
      <c r="B1853" s="7" t="s">
        <v>165</v>
      </c>
      <c r="C1853" s="16">
        <v>0.37740501634423163</v>
      </c>
      <c r="D1853" s="16">
        <v>0.61013980594398443</v>
      </c>
      <c r="E1853" s="16">
        <v>0.65010785256342418</v>
      </c>
      <c r="F1853" s="16">
        <v>0.90349890453442905</v>
      </c>
    </row>
    <row r="1854" spans="2:6" x14ac:dyDescent="0.35">
      <c r="B1854" s="7" t="s">
        <v>166</v>
      </c>
      <c r="C1854" s="16">
        <v>0.37104219745517797</v>
      </c>
      <c r="D1854" s="16">
        <v>0.46546502746803992</v>
      </c>
      <c r="E1854" s="16">
        <v>0.63914742982108386</v>
      </c>
      <c r="F1854" s="16">
        <v>0.6892635725771209</v>
      </c>
    </row>
    <row r="1855" spans="2:6" x14ac:dyDescent="0.35">
      <c r="B1855" s="7" t="s">
        <v>167</v>
      </c>
      <c r="C1855" s="16">
        <v>0.46563341929326779</v>
      </c>
      <c r="D1855" s="16">
        <v>0.38437688673294113</v>
      </c>
      <c r="E1855" s="16">
        <v>0.80208775503504925</v>
      </c>
      <c r="F1855" s="16">
        <v>0.56918773813529877</v>
      </c>
    </row>
    <row r="1856" spans="2:6" x14ac:dyDescent="0.35">
      <c r="B1856" s="7" t="s">
        <v>168</v>
      </c>
      <c r="C1856" s="16">
        <v>0.47921558172164336</v>
      </c>
      <c r="D1856" s="16">
        <v>0.33889340531452244</v>
      </c>
      <c r="E1856" s="16">
        <v>0.82548402712228919</v>
      </c>
      <c r="F1856" s="16">
        <v>0.50183550962043588</v>
      </c>
    </row>
    <row r="1857" spans="2:6" x14ac:dyDescent="0.35">
      <c r="B1857" s="7" t="s">
        <v>169</v>
      </c>
      <c r="C1857" s="16">
        <v>0.47991883905828536</v>
      </c>
      <c r="D1857" s="16">
        <v>0.40049911537301414</v>
      </c>
      <c r="E1857" s="16">
        <v>0.82669543952308988</v>
      </c>
      <c r="F1857" s="16">
        <v>0.59306163682712887</v>
      </c>
    </row>
    <row r="1858" spans="2:6" x14ac:dyDescent="0.35">
      <c r="B1858" s="7" t="s">
        <v>170</v>
      </c>
      <c r="C1858" s="16">
        <v>0.49201507633674019</v>
      </c>
      <c r="D1858" s="16">
        <v>0.46538663638530015</v>
      </c>
      <c r="E1858" s="16">
        <v>0.84753209643180805</v>
      </c>
      <c r="F1858" s="16">
        <v>0.68914749056330926</v>
      </c>
    </row>
    <row r="1859" spans="2:6" x14ac:dyDescent="0.35">
      <c r="B1859" s="7" t="s">
        <v>171</v>
      </c>
      <c r="C1859" s="16">
        <v>0.4603984615819009</v>
      </c>
      <c r="D1859" s="16">
        <v>1.0882988972517644</v>
      </c>
      <c r="E1859" s="16">
        <v>0.7930701559873119</v>
      </c>
      <c r="F1859" s="26">
        <v>1.611559927567271</v>
      </c>
    </row>
    <row r="1860" spans="2:6" x14ac:dyDescent="0.35">
      <c r="B1860" s="7" t="s">
        <v>172</v>
      </c>
      <c r="C1860" s="16">
        <v>0.47741490145872745</v>
      </c>
      <c r="D1860" s="16">
        <v>5.0345247019472822E-2</v>
      </c>
      <c r="E1860" s="16">
        <v>0.82238222314994913</v>
      </c>
      <c r="F1860" s="16">
        <v>7.4551561932979293E-2</v>
      </c>
    </row>
    <row r="1861" spans="2:6" x14ac:dyDescent="0.35">
      <c r="B1861" s="7" t="s">
        <v>173</v>
      </c>
      <c r="C1861" s="16">
        <v>0.38246512435931157</v>
      </c>
      <c r="D1861" s="16">
        <v>0.73092560202956536</v>
      </c>
      <c r="E1861" s="16">
        <v>0.65882426017052964</v>
      </c>
      <c r="F1861" s="16">
        <v>1.0823592794575172</v>
      </c>
    </row>
    <row r="1862" spans="2:6" x14ac:dyDescent="0.35">
      <c r="B1862" s="7" t="s">
        <v>174</v>
      </c>
      <c r="C1862" s="16">
        <v>0.35042425361408924</v>
      </c>
      <c r="D1862" s="16">
        <v>0.4641560944965667</v>
      </c>
      <c r="E1862" s="16">
        <v>0.60363150763053786</v>
      </c>
      <c r="F1862" s="16">
        <v>0.68732529630942951</v>
      </c>
    </row>
    <row r="1863" spans="2:6" x14ac:dyDescent="0.35">
      <c r="B1863" s="7" t="s">
        <v>175</v>
      </c>
      <c r="C1863" s="16">
        <v>0.63979447476893403</v>
      </c>
      <c r="D1863" s="16">
        <v>0.30377331252123529</v>
      </c>
      <c r="E1863" s="16">
        <v>1.1020929613044685</v>
      </c>
      <c r="F1863" s="16">
        <v>0.44982945288268622</v>
      </c>
    </row>
    <row r="1864" spans="2:6" x14ac:dyDescent="0.35">
      <c r="B1864" s="7" t="s">
        <v>176</v>
      </c>
      <c r="C1864" s="16">
        <v>0.36175942477638962</v>
      </c>
      <c r="D1864" s="16">
        <v>0.38852273205612764</v>
      </c>
      <c r="E1864" s="16">
        <v>0.62315717227099032</v>
      </c>
      <c r="F1864" s="16">
        <v>0.57532693225339582</v>
      </c>
    </row>
    <row r="1865" spans="2:6" x14ac:dyDescent="0.35">
      <c r="B1865" s="7" t="s">
        <v>177</v>
      </c>
      <c r="C1865" s="16">
        <v>0.43173041127893103</v>
      </c>
      <c r="D1865" s="16">
        <v>0.27615212201414108</v>
      </c>
      <c r="E1865" s="16">
        <v>0.74368733431690559</v>
      </c>
      <c r="F1865" s="16">
        <v>0.40892781833601721</v>
      </c>
    </row>
    <row r="1866" spans="2:6" x14ac:dyDescent="0.35">
      <c r="B1866" s="7" t="s">
        <v>178</v>
      </c>
      <c r="C1866" s="16">
        <v>0.34981425186597159</v>
      </c>
      <c r="D1866" s="16">
        <v>0.52940544396099654</v>
      </c>
      <c r="E1866" s="16">
        <v>0.60258073482849595</v>
      </c>
      <c r="F1866" s="16">
        <v>0.78394694791841968</v>
      </c>
    </row>
    <row r="1867" spans="2:6" x14ac:dyDescent="0.35">
      <c r="B1867" s="7" t="s">
        <v>179</v>
      </c>
      <c r="C1867" s="16">
        <v>0.35719627761253719</v>
      </c>
      <c r="D1867" s="16">
        <v>0.40889981630292033</v>
      </c>
      <c r="E1867" s="16">
        <v>0.61529681622072208</v>
      </c>
      <c r="F1867" s="16">
        <v>0.60550144818437779</v>
      </c>
    </row>
    <row r="1868" spans="2:6" x14ac:dyDescent="0.35">
      <c r="B1868" s="7" t="s">
        <v>180</v>
      </c>
      <c r="C1868" s="16">
        <v>0.71181983705874718</v>
      </c>
      <c r="D1868" s="16">
        <v>0.23876718686416365</v>
      </c>
      <c r="E1868" s="16">
        <v>1.2261619364916574</v>
      </c>
      <c r="F1868" s="16">
        <v>0.35356796863429768</v>
      </c>
    </row>
    <row r="1869" spans="2:6" x14ac:dyDescent="0.35">
      <c r="B1869" s="7" t="s">
        <v>181</v>
      </c>
      <c r="C1869" s="16">
        <v>0.59916735005053579</v>
      </c>
      <c r="D1869" s="16">
        <v>0.62199354445129629</v>
      </c>
      <c r="E1869" s="16">
        <v>1.0321097558284347</v>
      </c>
      <c r="F1869" s="16">
        <v>0.92105199589424291</v>
      </c>
    </row>
    <row r="1870" spans="2:6" x14ac:dyDescent="0.35">
      <c r="B1870" s="7" t="s">
        <v>182</v>
      </c>
      <c r="C1870" s="16">
        <v>0.473007563191918</v>
      </c>
      <c r="D1870" s="16">
        <v>0.44807017996750576</v>
      </c>
      <c r="E1870" s="16">
        <v>0.81479025936549665</v>
      </c>
      <c r="F1870" s="16">
        <v>0.66350517178410839</v>
      </c>
    </row>
    <row r="1871" spans="2:6" x14ac:dyDescent="0.35">
      <c r="B1871" s="7" t="s">
        <v>183</v>
      </c>
      <c r="C1871" s="16">
        <v>0.70569518910323981</v>
      </c>
      <c r="D1871" s="16">
        <v>0.26198639032146775</v>
      </c>
      <c r="E1871" s="16">
        <v>1.215611780670649</v>
      </c>
      <c r="F1871" s="16">
        <v>0.38795111276530408</v>
      </c>
    </row>
    <row r="1872" spans="2:6" x14ac:dyDescent="0.35">
      <c r="B1872" s="7" t="s">
        <v>184</v>
      </c>
      <c r="C1872" s="16">
        <v>0.50384396839949686</v>
      </c>
      <c r="D1872" s="16">
        <v>0.18042337393981672</v>
      </c>
      <c r="E1872" s="16">
        <v>0.86790823157599262</v>
      </c>
      <c r="F1872" s="16">
        <v>0.2671720794463226</v>
      </c>
    </row>
    <row r="1873" spans="2:6" x14ac:dyDescent="0.35">
      <c r="B1873" s="7" t="s">
        <v>185</v>
      </c>
      <c r="C1873" s="16">
        <v>1.5683146163343105</v>
      </c>
      <c r="D1873" s="16">
        <v>0.20400445113404528</v>
      </c>
      <c r="E1873" s="26">
        <v>2.7015370840724984</v>
      </c>
      <c r="F1873" s="16">
        <v>0.30209108850812982</v>
      </c>
    </row>
    <row r="1874" spans="2:6" x14ac:dyDescent="0.35">
      <c r="B1874" s="7" t="s">
        <v>186</v>
      </c>
      <c r="C1874" s="16">
        <v>0.41694614110351502</v>
      </c>
      <c r="D1874" s="16">
        <v>0.85690107571736096</v>
      </c>
      <c r="E1874" s="16">
        <v>0.71822034336761031</v>
      </c>
      <c r="F1874" s="16">
        <v>1.2689045619752399</v>
      </c>
    </row>
    <row r="1875" spans="2:6" x14ac:dyDescent="0.35">
      <c r="B1875" s="7" t="s">
        <v>187</v>
      </c>
      <c r="C1875" s="16">
        <v>0.66787047995415494</v>
      </c>
      <c r="D1875" s="16">
        <v>0.63323333130699688</v>
      </c>
      <c r="E1875" s="16">
        <v>1.1504559417871536</v>
      </c>
      <c r="F1875" s="16">
        <v>0.93769594374421861</v>
      </c>
    </row>
    <row r="1876" spans="2:6" x14ac:dyDescent="0.35">
      <c r="B1876" s="7" t="s">
        <v>188</v>
      </c>
      <c r="C1876" s="16">
        <v>0.58086284290421353</v>
      </c>
      <c r="D1876" s="16">
        <v>1.117058384121475</v>
      </c>
      <c r="E1876" s="16">
        <v>1.0005788982145192</v>
      </c>
      <c r="F1876" s="26">
        <v>1.654147158606154</v>
      </c>
    </row>
    <row r="1877" spans="2:6" x14ac:dyDescent="0.35">
      <c r="B1877" s="7" t="s">
        <v>189</v>
      </c>
      <c r="C1877" s="16">
        <v>0.55588095723875897</v>
      </c>
      <c r="D1877" s="16">
        <v>0.28796276416021949</v>
      </c>
      <c r="E1877" s="16">
        <v>0.95754576579812256</v>
      </c>
      <c r="F1877" s="16">
        <v>0.42641709233006581</v>
      </c>
    </row>
    <row r="1878" spans="2:6" x14ac:dyDescent="0.35">
      <c r="B1878" s="7" t="s">
        <v>190</v>
      </c>
      <c r="C1878" s="16">
        <v>0.47083530073729535</v>
      </c>
      <c r="D1878" s="16">
        <v>0.89930457869403679</v>
      </c>
      <c r="E1878" s="16">
        <v>0.81104837778358674</v>
      </c>
      <c r="F1878" s="16">
        <v>1.3316959388279186</v>
      </c>
    </row>
    <row r="1879" spans="2:6" x14ac:dyDescent="0.35">
      <c r="B1879" s="7" t="s">
        <v>191</v>
      </c>
      <c r="C1879" s="16">
        <v>0.45003198701971792</v>
      </c>
      <c r="D1879" s="16">
        <v>1.1298264866111341</v>
      </c>
      <c r="E1879" s="16">
        <v>0.77521314236954053</v>
      </c>
      <c r="F1879" s="26">
        <v>1.6730542459654885</v>
      </c>
    </row>
    <row r="1880" spans="2:6" x14ac:dyDescent="0.35">
      <c r="B1880" s="7" t="s">
        <v>192</v>
      </c>
      <c r="C1880" s="16">
        <v>0.6438293245023764</v>
      </c>
      <c r="D1880" s="16">
        <v>0.3952814858249602</v>
      </c>
      <c r="E1880" s="16">
        <v>1.1090432862392909</v>
      </c>
      <c r="F1880" s="16">
        <v>0.58533533781334846</v>
      </c>
    </row>
    <row r="1881" spans="2:6" x14ac:dyDescent="0.35">
      <c r="B1881" s="7" t="s">
        <v>193</v>
      </c>
      <c r="C1881" s="16">
        <v>0.43409030003200683</v>
      </c>
      <c r="D1881" s="16">
        <v>0.35709458860673166</v>
      </c>
      <c r="E1881" s="16">
        <v>0.74775241597483288</v>
      </c>
      <c r="F1881" s="16">
        <v>0.52878793758126807</v>
      </c>
    </row>
    <row r="1882" spans="2:6" x14ac:dyDescent="0.35">
      <c r="B1882" s="7" t="s">
        <v>194</v>
      </c>
      <c r="C1882" s="16">
        <v>0.44158780708156348</v>
      </c>
      <c r="D1882" s="16">
        <v>1.0077532802145384</v>
      </c>
      <c r="E1882" s="16">
        <v>0.76066742239096552</v>
      </c>
      <c r="F1882" s="16">
        <v>1.492287465667179</v>
      </c>
    </row>
    <row r="1883" spans="2:6" x14ac:dyDescent="0.35">
      <c r="B1883" s="7" t="s">
        <v>195</v>
      </c>
      <c r="C1883" s="16">
        <v>0.56584613946267637</v>
      </c>
      <c r="D1883" s="16">
        <v>0.5778154732406503</v>
      </c>
      <c r="E1883" s="16">
        <v>0.9747115238973344</v>
      </c>
      <c r="F1883" s="16">
        <v>0.85563282711618227</v>
      </c>
    </row>
    <row r="1884" spans="2:6" x14ac:dyDescent="0.35">
      <c r="B1884" s="7" t="s">
        <v>196</v>
      </c>
      <c r="C1884" s="16">
        <v>0.54691610959748249</v>
      </c>
      <c r="D1884" s="16">
        <v>0.14407997761544925</v>
      </c>
      <c r="E1884" s="16">
        <v>0.94210315746958706</v>
      </c>
      <c r="F1884" s="16">
        <v>0.21335454706073484</v>
      </c>
    </row>
    <row r="1885" spans="2:6" x14ac:dyDescent="0.35">
      <c r="B1885" s="7" t="s">
        <v>197</v>
      </c>
      <c r="C1885" s="16">
        <v>0.55117300845500772</v>
      </c>
      <c r="D1885" s="16">
        <v>5.4380501080724612E-2</v>
      </c>
      <c r="E1885" s="16">
        <v>0.94943597832515625</v>
      </c>
      <c r="F1885" s="16">
        <v>8.0526991807151144E-2</v>
      </c>
    </row>
    <row r="1886" spans="2:6" x14ac:dyDescent="0.35">
      <c r="B1886" s="7" t="s">
        <v>198</v>
      </c>
      <c r="C1886" s="16">
        <v>0.41117076775905614</v>
      </c>
      <c r="D1886" s="16">
        <v>0.55656580680357437</v>
      </c>
      <c r="E1886" s="16">
        <v>0.70827183871049781</v>
      </c>
      <c r="F1886" s="16">
        <v>0.82416618592905944</v>
      </c>
    </row>
    <row r="1887" spans="2:6" x14ac:dyDescent="0.35">
      <c r="B1887" s="7" t="s">
        <v>199</v>
      </c>
      <c r="C1887" s="16">
        <v>0.57902826141168273</v>
      </c>
      <c r="D1887" s="16">
        <v>0.68430566922311076</v>
      </c>
      <c r="E1887" s="16">
        <v>0.9974186968848846</v>
      </c>
      <c r="F1887" s="16">
        <v>1.0133241865005311</v>
      </c>
    </row>
    <row r="1888" spans="2:6" x14ac:dyDescent="0.35">
      <c r="B1888" s="7" t="s">
        <v>200</v>
      </c>
      <c r="C1888" s="16">
        <v>0.58152243814411508</v>
      </c>
      <c r="D1888" s="16">
        <v>3.5528174533474552E-2</v>
      </c>
      <c r="E1888" s="16">
        <v>1.0017150994476856</v>
      </c>
      <c r="F1888" s="16">
        <v>5.2610346773620038E-2</v>
      </c>
    </row>
    <row r="1889" spans="2:6" x14ac:dyDescent="0.35">
      <c r="B1889" s="7" t="s">
        <v>201</v>
      </c>
      <c r="C1889" s="16">
        <v>0.55467636830744327</v>
      </c>
      <c r="D1889" s="16">
        <v>0.23097319665136948</v>
      </c>
      <c r="E1889" s="16">
        <v>0.95547077291396587</v>
      </c>
      <c r="F1889" s="16">
        <v>0.34202657836503525</v>
      </c>
    </row>
    <row r="1890" spans="2:6" x14ac:dyDescent="0.35">
      <c r="B1890" s="7" t="s">
        <v>202</v>
      </c>
      <c r="C1890" s="16">
        <v>0.51956012862787238</v>
      </c>
      <c r="D1890" s="16">
        <v>0.23889212684353969</v>
      </c>
      <c r="E1890" s="16">
        <v>0.89498047156787652</v>
      </c>
      <c r="F1890" s="16">
        <v>0.35375298055025384</v>
      </c>
    </row>
    <row r="1891" spans="2:6" x14ac:dyDescent="0.35">
      <c r="B1891" s="7" t="s">
        <v>203</v>
      </c>
      <c r="C1891" s="16">
        <v>0.54685299953530919</v>
      </c>
      <c r="D1891" s="16">
        <v>0.42933035537016978</v>
      </c>
      <c r="E1891" s="16">
        <v>0.94199444575347879</v>
      </c>
      <c r="F1891" s="16">
        <v>0.63575512035341242</v>
      </c>
    </row>
    <row r="1892" spans="2:6" x14ac:dyDescent="0.35">
      <c r="B1892" s="7" t="s">
        <v>204</v>
      </c>
      <c r="C1892" s="16">
        <v>0.37633741453235009</v>
      </c>
      <c r="D1892" s="16">
        <v>0.62902614772193222</v>
      </c>
      <c r="E1892" s="16">
        <v>0.64826883005111591</v>
      </c>
      <c r="F1892" s="16">
        <v>0.93146591953788094</v>
      </c>
    </row>
    <row r="1893" spans="2:6" x14ac:dyDescent="0.35">
      <c r="B1893" s="7" t="s">
        <v>205</v>
      </c>
      <c r="C1893" s="16">
        <v>0.46975252982381971</v>
      </c>
      <c r="D1893" s="16">
        <v>0.18115955963949185</v>
      </c>
      <c r="E1893" s="16">
        <v>0.80918322537995324</v>
      </c>
      <c r="F1893" s="16">
        <v>0.26826222791182275</v>
      </c>
    </row>
    <row r="1894" spans="2:6" x14ac:dyDescent="0.35">
      <c r="B1894" s="7" t="s">
        <v>206</v>
      </c>
      <c r="C1894" s="16">
        <v>0.41329757367668185</v>
      </c>
      <c r="D1894" s="16">
        <v>0.12003843640455523</v>
      </c>
      <c r="E1894" s="16">
        <v>0.7119354180696702</v>
      </c>
      <c r="F1894" s="16">
        <v>0.17775367995494848</v>
      </c>
    </row>
    <row r="1895" spans="2:6" x14ac:dyDescent="0.35">
      <c r="B1895" s="7" t="s">
        <v>207</v>
      </c>
      <c r="C1895" s="16">
        <v>0.64648147908720188</v>
      </c>
      <c r="D1895" s="16">
        <v>0.57513924609300793</v>
      </c>
      <c r="E1895" s="16">
        <v>1.1136118172527592</v>
      </c>
      <c r="F1895" s="16">
        <v>0.85166985293776565</v>
      </c>
    </row>
    <row r="1896" spans="2:6" x14ac:dyDescent="0.35">
      <c r="B1896" s="7" t="s">
        <v>208</v>
      </c>
      <c r="C1896" s="16">
        <v>0.49385571525662902</v>
      </c>
      <c r="D1896" s="16">
        <v>2.203179456520032</v>
      </c>
      <c r="E1896" s="16">
        <v>0.85070273212484859</v>
      </c>
      <c r="F1896" s="26">
        <v>3.2624821492819587</v>
      </c>
    </row>
    <row r="1897" spans="2:6" x14ac:dyDescent="0.35">
      <c r="B1897" s="7" t="s">
        <v>209</v>
      </c>
      <c r="C1897" s="16">
        <v>0.7210306070494531</v>
      </c>
      <c r="D1897" s="16">
        <v>0.19979940844972618</v>
      </c>
      <c r="E1897" s="16">
        <v>1.242028164124551</v>
      </c>
      <c r="F1897" s="16">
        <v>0.29586423456123029</v>
      </c>
    </row>
    <row r="1898" spans="2:6" x14ac:dyDescent="0.35">
      <c r="B1898" s="7" t="s">
        <v>210</v>
      </c>
      <c r="C1898" s="16">
        <v>0.67187155762849626</v>
      </c>
      <c r="D1898" s="16">
        <v>0.16600272038535507</v>
      </c>
      <c r="E1898" s="16">
        <v>1.1573480918703762</v>
      </c>
      <c r="F1898" s="16">
        <v>0.24581788396161955</v>
      </c>
    </row>
    <row r="1899" spans="2:6" x14ac:dyDescent="0.35">
      <c r="B1899" s="7" t="s">
        <v>211</v>
      </c>
      <c r="C1899" s="16">
        <v>0.57893454129734412</v>
      </c>
      <c r="D1899" s="16">
        <v>0.19484004525359058</v>
      </c>
      <c r="E1899" s="16">
        <v>0.99725725710630175</v>
      </c>
      <c r="F1899" s="16">
        <v>0.28852037800369201</v>
      </c>
    </row>
    <row r="1900" spans="2:6" x14ac:dyDescent="0.35">
      <c r="B1900" s="7" t="s">
        <v>212</v>
      </c>
      <c r="C1900" s="16">
        <v>1.2963610243539092</v>
      </c>
      <c r="D1900" s="16">
        <v>0.12100015729892606</v>
      </c>
      <c r="E1900" s="26">
        <v>2.2330770530112538</v>
      </c>
      <c r="F1900" s="16">
        <v>0.17917780237093733</v>
      </c>
    </row>
    <row r="1901" spans="2:6" x14ac:dyDescent="0.35">
      <c r="B1901" s="7" t="s">
        <v>213</v>
      </c>
      <c r="C1901" s="16">
        <v>1.2479651318041471</v>
      </c>
      <c r="D1901" s="16">
        <v>0.69526980212823375</v>
      </c>
      <c r="E1901" s="26">
        <v>2.1497115745044204</v>
      </c>
      <c r="F1901" s="16">
        <v>1.0295599442276018</v>
      </c>
    </row>
    <row r="1902" spans="2:6" x14ac:dyDescent="0.35">
      <c r="B1902" s="7" t="s">
        <v>214</v>
      </c>
      <c r="C1902" s="16">
        <v>0.60734062237409614</v>
      </c>
      <c r="D1902" s="16">
        <v>0.22575266325996421</v>
      </c>
      <c r="E1902" s="16">
        <v>1.0461888175487999</v>
      </c>
      <c r="F1902" s="16">
        <v>0.33429597932155453</v>
      </c>
    </row>
    <row r="1903" spans="2:6" x14ac:dyDescent="0.35">
      <c r="B1903" s="7" t="s">
        <v>215</v>
      </c>
      <c r="C1903" s="16">
        <v>0.67810585889472808</v>
      </c>
      <c r="D1903" s="16">
        <v>0.67631939961687615</v>
      </c>
      <c r="E1903" s="16">
        <v>1.1680871335706771</v>
      </c>
      <c r="F1903" s="16">
        <v>1.0014980676827532</v>
      </c>
    </row>
    <row r="1904" spans="2:6" x14ac:dyDescent="0.35">
      <c r="B1904" s="7" t="s">
        <v>216</v>
      </c>
      <c r="C1904" s="16">
        <v>1.1127456684347632</v>
      </c>
      <c r="D1904" s="16">
        <v>3.2228244494997754E-2</v>
      </c>
      <c r="E1904" s="26">
        <v>1.9167861200222034</v>
      </c>
      <c r="F1904" s="16">
        <v>4.7723789388315188E-2</v>
      </c>
    </row>
    <row r="1905" spans="2:6" x14ac:dyDescent="0.35">
      <c r="B1905" s="7" t="s">
        <v>217</v>
      </c>
      <c r="C1905" s="16">
        <v>0.76352467125211076</v>
      </c>
      <c r="D1905" s="16">
        <v>1.0140975365166132</v>
      </c>
      <c r="E1905" s="16">
        <v>1.3152273099469387</v>
      </c>
      <c r="F1905" s="16">
        <v>1.5016820807425582</v>
      </c>
    </row>
    <row r="1906" spans="2:6" x14ac:dyDescent="0.35">
      <c r="B1906" s="7" t="s">
        <v>218</v>
      </c>
      <c r="C1906" s="16">
        <v>1.8758325999939736</v>
      </c>
      <c r="D1906" s="16">
        <v>1.3140423335151927</v>
      </c>
      <c r="E1906" s="26">
        <v>3.2312593912059855</v>
      </c>
      <c r="F1906" s="26">
        <v>1.9458422434936804</v>
      </c>
    </row>
    <row r="1907" spans="2:6" x14ac:dyDescent="0.35">
      <c r="B1907" s="7" t="s">
        <v>219</v>
      </c>
      <c r="C1907" s="16">
        <v>0.84940479001058256</v>
      </c>
      <c r="D1907" s="16">
        <v>0.72710173086013885</v>
      </c>
      <c r="E1907" s="26">
        <v>1.4631621204716565</v>
      </c>
      <c r="F1907" s="16">
        <v>1.0766968667137486</v>
      </c>
    </row>
    <row r="1908" spans="2:6" x14ac:dyDescent="0.35">
      <c r="B1908" s="7" t="s">
        <v>220</v>
      </c>
      <c r="C1908" s="16">
        <v>2.2160832637935157</v>
      </c>
      <c r="D1908" s="16">
        <v>0.86148824108012634</v>
      </c>
      <c r="E1908" s="26">
        <v>3.8173661433596013</v>
      </c>
      <c r="F1908" s="16">
        <v>1.2756972656143093</v>
      </c>
    </row>
    <row r="1909" spans="2:6" x14ac:dyDescent="0.35">
      <c r="B1909" s="7" t="s">
        <v>221</v>
      </c>
      <c r="C1909" s="16">
        <v>0.60516794475556324</v>
      </c>
      <c r="D1909" s="16">
        <v>0.10901320290411054</v>
      </c>
      <c r="E1909" s="16">
        <v>1.0424462208165701</v>
      </c>
      <c r="F1909" s="16">
        <v>0.16142744407778528</v>
      </c>
    </row>
    <row r="1910" spans="2:6" x14ac:dyDescent="0.35">
      <c r="B1910" s="7" t="s">
        <v>222</v>
      </c>
      <c r="C1910" s="16">
        <v>0.55233074082355926</v>
      </c>
      <c r="D1910" s="16">
        <v>0.67720462305898299</v>
      </c>
      <c r="E1910" s="16">
        <v>0.95143025733939091</v>
      </c>
      <c r="F1910" s="16">
        <v>1.0028089121849804</v>
      </c>
    </row>
    <row r="1911" spans="2:6" x14ac:dyDescent="0.35">
      <c r="B1911" s="7" t="s">
        <v>223</v>
      </c>
      <c r="C1911" s="16">
        <v>0.4901578659350912</v>
      </c>
      <c r="D1911" s="16">
        <v>0.25198718796780972</v>
      </c>
      <c r="E1911" s="16">
        <v>0.84433291514463293</v>
      </c>
      <c r="F1911" s="16">
        <v>0.37314423033485744</v>
      </c>
    </row>
    <row r="1912" spans="2:6" x14ac:dyDescent="0.35">
      <c r="B1912" s="7" t="s">
        <v>224</v>
      </c>
      <c r="C1912" s="16">
        <v>0.51027928123338273</v>
      </c>
      <c r="D1912" s="16">
        <v>4.671067057487191E-2</v>
      </c>
      <c r="E1912" s="16">
        <v>0.87899353046135642</v>
      </c>
      <c r="F1912" s="16">
        <v>6.9169458021461933E-2</v>
      </c>
    </row>
    <row r="1913" spans="2:6" x14ac:dyDescent="0.35">
      <c r="B1913" s="7" t="s">
        <v>225</v>
      </c>
      <c r="C1913" s="16">
        <v>0.36468179181363614</v>
      </c>
      <c r="D1913" s="16">
        <v>8.7039802111949713E-2</v>
      </c>
      <c r="E1913" s="16">
        <v>0.62819116407478126</v>
      </c>
      <c r="F1913" s="16">
        <v>0.12888909245540989</v>
      </c>
    </row>
    <row r="1914" spans="2:6" x14ac:dyDescent="0.35">
      <c r="B1914" s="7" t="s">
        <v>226</v>
      </c>
      <c r="C1914" s="16">
        <v>0.35644985900046339</v>
      </c>
      <c r="D1914" s="16">
        <v>5.2317391033011855E-2</v>
      </c>
      <c r="E1914" s="16">
        <v>0.61401105535376499</v>
      </c>
      <c r="F1914" s="16">
        <v>7.747192532913548E-2</v>
      </c>
    </row>
    <row r="1915" spans="2:6" x14ac:dyDescent="0.35">
      <c r="B1915" s="7" t="s">
        <v>227</v>
      </c>
      <c r="C1915" s="16">
        <v>0.32487435138208415</v>
      </c>
      <c r="D1915" s="16">
        <v>0.20417728130830684</v>
      </c>
      <c r="E1915" s="16">
        <v>0.55961992497021595</v>
      </c>
      <c r="F1915" s="16">
        <v>0.30234701652920726</v>
      </c>
    </row>
    <row r="1916" spans="2:6" x14ac:dyDescent="0.35">
      <c r="B1916" s="7" t="s">
        <v>228</v>
      </c>
      <c r="C1916" s="16">
        <v>0.33491023970614631</v>
      </c>
      <c r="D1916" s="16">
        <v>0.31682373414071446</v>
      </c>
      <c r="E1916" s="16">
        <v>0.57690747951869992</v>
      </c>
      <c r="F1916" s="16">
        <v>0.46915460020473188</v>
      </c>
    </row>
    <row r="1917" spans="2:6" x14ac:dyDescent="0.35">
      <c r="B1917" s="7" t="s">
        <v>229</v>
      </c>
      <c r="C1917" s="16">
        <v>0.46257629682319928</v>
      </c>
      <c r="D1917" s="16">
        <v>0.29384383569719047</v>
      </c>
      <c r="E1917" s="16">
        <v>0.79682163710346654</v>
      </c>
      <c r="F1917" s="16">
        <v>0.43512582045987697</v>
      </c>
    </row>
    <row r="1918" spans="2:6" x14ac:dyDescent="0.35">
      <c r="B1918" s="7" t="s">
        <v>230</v>
      </c>
      <c r="C1918" s="16">
        <v>0.5162333978385647</v>
      </c>
      <c r="D1918" s="16">
        <v>0.15235645546667778</v>
      </c>
      <c r="E1918" s="16">
        <v>0.88924993350973691</v>
      </c>
      <c r="F1918" s="16">
        <v>0.22561040809314054</v>
      </c>
    </row>
    <row r="1919" spans="2:6" x14ac:dyDescent="0.35">
      <c r="B1919" s="7" t="s">
        <v>231</v>
      </c>
      <c r="C1919" s="16">
        <v>0.48432283974808971</v>
      </c>
      <c r="D1919" s="16">
        <v>0.35905131097678783</v>
      </c>
      <c r="E1919" s="16">
        <v>0.83428165408608113</v>
      </c>
      <c r="F1919" s="16">
        <v>0.53168546450968823</v>
      </c>
    </row>
    <row r="1920" spans="2:6" x14ac:dyDescent="0.35">
      <c r="B1920" s="7" t="s">
        <v>232</v>
      </c>
      <c r="C1920" s="16">
        <v>0.44261659037044893</v>
      </c>
      <c r="D1920" s="16">
        <v>0.2871225395571666</v>
      </c>
      <c r="E1920" s="16">
        <v>0.76243957714706556</v>
      </c>
      <c r="F1920" s="16">
        <v>0.42517288239485818</v>
      </c>
    </row>
    <row r="1921" spans="2:6" x14ac:dyDescent="0.35">
      <c r="B1921" s="7" t="s">
        <v>233</v>
      </c>
      <c r="C1921" s="16">
        <v>0.45537682646736188</v>
      </c>
      <c r="D1921" s="16">
        <v>0.39981325422763037</v>
      </c>
      <c r="E1921" s="16">
        <v>0.78442002077635753</v>
      </c>
      <c r="F1921" s="16">
        <v>0.59204600928163831</v>
      </c>
    </row>
    <row r="1922" spans="2:6" x14ac:dyDescent="0.35">
      <c r="B1922" s="7" t="s">
        <v>234</v>
      </c>
      <c r="C1922" s="16">
        <v>0.49399259597212147</v>
      </c>
      <c r="D1922" s="16">
        <v>0.27505652977555445</v>
      </c>
      <c r="E1922" s="16">
        <v>0.85093851920809438</v>
      </c>
      <c r="F1922" s="16">
        <v>0.40730545838222276</v>
      </c>
    </row>
    <row r="1923" spans="2:6" x14ac:dyDescent="0.35">
      <c r="B1923" s="7" t="s">
        <v>235</v>
      </c>
      <c r="C1923" s="16">
        <v>0.56823351477191109</v>
      </c>
      <c r="D1923" s="16">
        <v>0.37109932621008618</v>
      </c>
      <c r="E1923" s="16">
        <v>0.97882395316651472</v>
      </c>
      <c r="F1923" s="16">
        <v>0.54952624208075296</v>
      </c>
    </row>
    <row r="1924" spans="2:6" x14ac:dyDescent="0.35">
      <c r="B1924" s="7" t="s">
        <v>236</v>
      </c>
      <c r="C1924" s="16">
        <v>0.36513250399781344</v>
      </c>
      <c r="D1924" s="16">
        <v>0.4161096091113442</v>
      </c>
      <c r="E1924" s="16">
        <v>0.62896754890669992</v>
      </c>
      <c r="F1924" s="16">
        <v>0.61617775522232443</v>
      </c>
    </row>
    <row r="1925" spans="2:6" x14ac:dyDescent="0.35">
      <c r="B1925" s="7" t="s">
        <v>237</v>
      </c>
      <c r="C1925" s="16">
        <v>0.3811458929635233</v>
      </c>
      <c r="D1925" s="16">
        <v>0.66737018028278261</v>
      </c>
      <c r="E1925" s="16">
        <v>0.65655178722340823</v>
      </c>
      <c r="F1925" s="16">
        <v>0.98824600678454289</v>
      </c>
    </row>
    <row r="1926" spans="2:6" x14ac:dyDescent="0.35">
      <c r="B1926" s="7" t="s">
        <v>238</v>
      </c>
      <c r="C1926" s="16">
        <v>0.42258304355806353</v>
      </c>
      <c r="D1926" s="16">
        <v>0.5192296345885512</v>
      </c>
      <c r="E1926" s="16">
        <v>0.72793032174927952</v>
      </c>
      <c r="F1926" s="16">
        <v>0.76887854469150485</v>
      </c>
    </row>
    <row r="1927" spans="2:6" x14ac:dyDescent="0.35">
      <c r="B1927" s="7" t="s">
        <v>239</v>
      </c>
      <c r="C1927" s="16">
        <v>0.19605029553054065</v>
      </c>
      <c r="D1927" s="16">
        <v>0.14010690557835828</v>
      </c>
      <c r="E1927" s="16">
        <v>0.33771102953632615</v>
      </c>
      <c r="F1927" s="16">
        <v>0.20747119672335723</v>
      </c>
    </row>
    <row r="1928" spans="2:6" x14ac:dyDescent="0.35">
      <c r="B1928" s="7" t="s">
        <v>240</v>
      </c>
      <c r="C1928" s="16">
        <v>0.21636625819558486</v>
      </c>
      <c r="D1928" s="16">
        <v>0.63910120759837552</v>
      </c>
      <c r="E1928" s="16">
        <v>0.37270676697740979</v>
      </c>
      <c r="F1928" s="16">
        <v>0.94638513227044774</v>
      </c>
    </row>
    <row r="1929" spans="2:6" x14ac:dyDescent="0.35">
      <c r="B1929" s="7" t="s">
        <v>241</v>
      </c>
      <c r="C1929" s="16">
        <v>0.36653941990153449</v>
      </c>
      <c r="D1929" s="16">
        <v>1.3680455535952192E-2</v>
      </c>
      <c r="E1929" s="16">
        <v>0.63139106485719054</v>
      </c>
      <c r="F1929" s="16">
        <v>2.0258105551958595E-2</v>
      </c>
    </row>
    <row r="1930" spans="2:6" x14ac:dyDescent="0.35">
      <c r="B1930" s="7" t="s">
        <v>242</v>
      </c>
      <c r="C1930" s="16">
        <v>0.39125331316803619</v>
      </c>
      <c r="D1930" s="16">
        <v>0.38795990410973163</v>
      </c>
      <c r="E1930" s="16">
        <v>0.67396256068837646</v>
      </c>
      <c r="F1930" s="16">
        <v>0.57449349305133723</v>
      </c>
    </row>
    <row r="1931" spans="2:6" x14ac:dyDescent="0.35">
      <c r="B1931" s="7" t="s">
        <v>243</v>
      </c>
      <c r="C1931" s="16">
        <v>0.45576824077734085</v>
      </c>
      <c r="D1931" s="16">
        <v>0.80807768557056359</v>
      </c>
      <c r="E1931" s="16">
        <v>0.78509426066587429</v>
      </c>
      <c r="F1931" s="16">
        <v>1.19660657537684</v>
      </c>
    </row>
    <row r="1932" spans="2:6" x14ac:dyDescent="0.35">
      <c r="B1932" s="7" t="s">
        <v>244</v>
      </c>
      <c r="C1932" s="16">
        <v>0.47846838577339862</v>
      </c>
      <c r="D1932" s="16">
        <v>0.80084572036467605</v>
      </c>
      <c r="E1932" s="16">
        <v>0.82419692723669991</v>
      </c>
      <c r="F1932" s="16">
        <v>1.1858974353117344</v>
      </c>
    </row>
    <row r="1933" spans="2:6" x14ac:dyDescent="0.35">
      <c r="B1933" s="7" t="s">
        <v>245</v>
      </c>
      <c r="C1933" s="16">
        <v>0.92733109919049594</v>
      </c>
      <c r="D1933" s="16">
        <v>2.6027489061085145E-2</v>
      </c>
      <c r="E1933" s="26">
        <v>1.5973959099688777</v>
      </c>
      <c r="F1933" s="16">
        <v>3.8541671311035877E-2</v>
      </c>
    </row>
    <row r="1934" spans="2:6" x14ac:dyDescent="0.35">
      <c r="B1934" s="7" t="s">
        <v>246</v>
      </c>
      <c r="C1934" s="16">
        <v>0.61227626979482974</v>
      </c>
      <c r="D1934" s="16">
        <v>0.86891361262133815</v>
      </c>
      <c r="E1934" s="16">
        <v>1.0546908326433122</v>
      </c>
      <c r="F1934" s="16">
        <v>1.2866928030106384</v>
      </c>
    </row>
    <row r="1935" spans="2:6" x14ac:dyDescent="0.35">
      <c r="B1935" s="7" t="s">
        <v>247</v>
      </c>
      <c r="C1935" s="16">
        <v>1.5300907389562879</v>
      </c>
      <c r="D1935" s="16">
        <v>0.74145575589841406</v>
      </c>
      <c r="E1935" s="26">
        <v>2.6356936486047289</v>
      </c>
      <c r="F1935" s="16">
        <v>1.0979523982679906</v>
      </c>
    </row>
    <row r="1936" spans="2:6" x14ac:dyDescent="0.35">
      <c r="B1936" s="7" t="s">
        <v>248</v>
      </c>
      <c r="C1936" s="16">
        <v>0.4138627997505438</v>
      </c>
      <c r="D1936" s="16">
        <v>0.2335455133994683</v>
      </c>
      <c r="E1936" s="16">
        <v>0.71290906148504041</v>
      </c>
      <c r="F1936" s="16">
        <v>0.34583568136303927</v>
      </c>
    </row>
    <row r="1937" spans="2:6" x14ac:dyDescent="0.35">
      <c r="B1937" s="7" t="s">
        <v>249</v>
      </c>
      <c r="C1937" s="16">
        <v>0.43959605890895037</v>
      </c>
      <c r="D1937" s="16">
        <v>0.26642264645678143</v>
      </c>
      <c r="E1937" s="16">
        <v>0.7572364899145313</v>
      </c>
      <c r="F1937" s="16">
        <v>0.39452034906072786</v>
      </c>
    </row>
    <row r="1938" spans="2:6" x14ac:dyDescent="0.35">
      <c r="B1938" s="7" t="s">
        <v>250</v>
      </c>
      <c r="C1938" s="16">
        <v>0.40663352067924963</v>
      </c>
      <c r="D1938" s="16">
        <v>2.0332983114004881E-2</v>
      </c>
      <c r="E1938" s="16">
        <v>0.70045609745677728</v>
      </c>
      <c r="F1938" s="16">
        <v>3.0109210693109636E-2</v>
      </c>
    </row>
    <row r="1939" spans="2:6" x14ac:dyDescent="0.35">
      <c r="B1939" s="7" t="s">
        <v>251</v>
      </c>
      <c r="C1939" s="16">
        <v>0.3679275866074615</v>
      </c>
      <c r="D1939" s="16">
        <v>7.8373922531680712E-2</v>
      </c>
      <c r="E1939" s="16">
        <v>0.63378228393777403</v>
      </c>
      <c r="F1939" s="16">
        <v>0.11605660286642683</v>
      </c>
    </row>
    <row r="1940" spans="2:6" x14ac:dyDescent="0.35">
      <c r="B1940" s="7" t="s">
        <v>252</v>
      </c>
      <c r="C1940" s="16">
        <v>0.39205171239133368</v>
      </c>
      <c r="D1940" s="16">
        <v>0.55301568571092075</v>
      </c>
      <c r="E1940" s="16">
        <v>0.67533786197497303</v>
      </c>
      <c r="F1940" s="16">
        <v>0.81890914403975912</v>
      </c>
    </row>
    <row r="1941" spans="2:6" x14ac:dyDescent="0.35">
      <c r="B1941" s="7" t="s">
        <v>253</v>
      </c>
      <c r="C1941" s="16">
        <v>0.40840675377846003</v>
      </c>
      <c r="D1941" s="16">
        <v>0.66105235330250922</v>
      </c>
      <c r="E1941" s="16">
        <v>0.70351062167425771</v>
      </c>
      <c r="F1941" s="16">
        <v>0.9788905284169519</v>
      </c>
    </row>
    <row r="1942" spans="2:6" x14ac:dyDescent="0.35">
      <c r="B1942" s="7" t="s">
        <v>254</v>
      </c>
      <c r="C1942" s="16">
        <v>0.49200905900849318</v>
      </c>
      <c r="D1942" s="16">
        <v>4.8914663435771534E-2</v>
      </c>
      <c r="E1942" s="16">
        <v>0.84752173114206508</v>
      </c>
      <c r="F1942" s="16">
        <v>7.2433144665121643E-2</v>
      </c>
    </row>
    <row r="1943" spans="2:6" x14ac:dyDescent="0.35">
      <c r="B1943" s="7" t="s">
        <v>255</v>
      </c>
      <c r="C1943" s="16">
        <v>0.3980915549026276</v>
      </c>
      <c r="D1943" s="16">
        <v>0.59257001578186619</v>
      </c>
      <c r="E1943" s="16">
        <v>0.68574193419127116</v>
      </c>
      <c r="F1943" s="16">
        <v>0.87748144753567847</v>
      </c>
    </row>
    <row r="1944" spans="2:6" x14ac:dyDescent="0.35">
      <c r="B1944" s="7" t="s">
        <v>256</v>
      </c>
      <c r="C1944" s="16">
        <v>0.39767433815591191</v>
      </c>
      <c r="D1944" s="16">
        <v>0.91179631055476806</v>
      </c>
      <c r="E1944" s="16">
        <v>0.68502324770986678</v>
      </c>
      <c r="F1944" s="16">
        <v>1.3501937748024899</v>
      </c>
    </row>
    <row r="1945" spans="2:6" x14ac:dyDescent="0.35">
      <c r="B1945" s="7" t="s">
        <v>257</v>
      </c>
      <c r="C1945" s="16">
        <v>0.47213212362354157</v>
      </c>
      <c r="D1945" s="16">
        <v>0.256956074501694</v>
      </c>
      <c r="E1945" s="16">
        <v>0.81328225042762092</v>
      </c>
      <c r="F1945" s="16">
        <v>0.38050218911149308</v>
      </c>
    </row>
    <row r="1946" spans="2:6" x14ac:dyDescent="0.35">
      <c r="B1946" s="7" t="s">
        <v>258</v>
      </c>
      <c r="C1946" s="16">
        <v>0.54841140258837295</v>
      </c>
      <c r="D1946" s="16">
        <v>0.15762835980346382</v>
      </c>
      <c r="E1946" s="16">
        <v>0.94467890944203636</v>
      </c>
      <c r="F1946" s="16">
        <v>0.23341707755921007</v>
      </c>
    </row>
    <row r="1947" spans="2:6" x14ac:dyDescent="0.35">
      <c r="B1947" s="7" t="s">
        <v>259</v>
      </c>
      <c r="C1947" s="16">
        <v>0.4609851849619131</v>
      </c>
      <c r="D1947" s="16">
        <v>0.42883238861734263</v>
      </c>
      <c r="E1947" s="16">
        <v>0.79408083009101949</v>
      </c>
      <c r="F1947" s="16">
        <v>0.63501772801924439</v>
      </c>
    </row>
    <row r="1948" spans="2:6" x14ac:dyDescent="0.35">
      <c r="B1948" s="7" t="s">
        <v>260</v>
      </c>
      <c r="C1948" s="16">
        <v>0.31171489549423675</v>
      </c>
      <c r="D1948" s="16">
        <v>1.0823355117052329</v>
      </c>
      <c r="E1948" s="16">
        <v>0.53695179593732445</v>
      </c>
      <c r="F1948" s="26">
        <v>1.602729308328666</v>
      </c>
    </row>
    <row r="1949" spans="2:6" x14ac:dyDescent="0.35">
      <c r="B1949" s="7" t="s">
        <v>261</v>
      </c>
      <c r="C1949" s="16">
        <v>0.28968850451454931</v>
      </c>
      <c r="D1949" s="16">
        <v>0.85431636092658736</v>
      </c>
      <c r="E1949" s="16">
        <v>0.49900972013177625</v>
      </c>
      <c r="F1949" s="16">
        <v>1.2650770998768037</v>
      </c>
    </row>
    <row r="1950" spans="2:6" x14ac:dyDescent="0.35">
      <c r="B1950" s="7" t="s">
        <v>262</v>
      </c>
      <c r="C1950" s="16">
        <v>0.55676745611322043</v>
      </c>
      <c r="D1950" s="16">
        <v>0.55195456443494317</v>
      </c>
      <c r="E1950" s="16">
        <v>0.95907282520278714</v>
      </c>
      <c r="F1950" s="16">
        <v>0.81733782890659767</v>
      </c>
    </row>
    <row r="1951" spans="2:6" x14ac:dyDescent="0.35">
      <c r="B1951" s="7" t="s">
        <v>263</v>
      </c>
      <c r="C1951" s="16">
        <v>0.38435491816810691</v>
      </c>
      <c r="D1951" s="16">
        <v>0.68047113941246029</v>
      </c>
      <c r="E1951" s="16">
        <v>0.66207956876903273</v>
      </c>
      <c r="F1951" s="16">
        <v>1.0076459903730597</v>
      </c>
    </row>
    <row r="1952" spans="2:6" x14ac:dyDescent="0.35">
      <c r="B1952" s="7" t="s">
        <v>264</v>
      </c>
      <c r="C1952" s="16">
        <v>0.37969020479889454</v>
      </c>
      <c r="D1952" s="16">
        <v>0.78543507503752519</v>
      </c>
      <c r="E1952" s="16">
        <v>0.65404425747227846</v>
      </c>
      <c r="F1952" s="16">
        <v>1.1630772537146536</v>
      </c>
    </row>
    <row r="1953" spans="2:6" x14ac:dyDescent="0.35">
      <c r="B1953" s="7" t="s">
        <v>265</v>
      </c>
      <c r="C1953" s="16">
        <v>0.50185727520000445</v>
      </c>
      <c r="D1953" s="16">
        <v>0.14749752096750085</v>
      </c>
      <c r="E1953" s="16">
        <v>0.86448600666193287</v>
      </c>
      <c r="F1953" s="16">
        <v>0.21841526698868693</v>
      </c>
    </row>
    <row r="1954" spans="2:6" x14ac:dyDescent="0.35">
      <c r="B1954" s="7" t="s">
        <v>266</v>
      </c>
      <c r="C1954" s="16">
        <v>0.37071553645978245</v>
      </c>
      <c r="D1954" s="16">
        <v>3.0825554622802811E-2</v>
      </c>
      <c r="E1954" s="16">
        <v>0.63858473227061163</v>
      </c>
      <c r="F1954" s="16">
        <v>4.564667730583287E-2</v>
      </c>
    </row>
    <row r="1955" spans="2:6" x14ac:dyDescent="0.35">
      <c r="B1955" s="7" t="s">
        <v>267</v>
      </c>
      <c r="C1955" s="16">
        <v>0.29101134445371729</v>
      </c>
      <c r="D1955" s="16">
        <v>0.47467474113573932</v>
      </c>
      <c r="E1955" s="16">
        <v>0.50128840905983552</v>
      </c>
      <c r="F1955" s="16">
        <v>0.70290137514102391</v>
      </c>
    </row>
    <row r="1956" spans="2:6" x14ac:dyDescent="0.35">
      <c r="B1956" s="7" t="s">
        <v>268</v>
      </c>
      <c r="C1956" s="16">
        <v>0.3307774826603983</v>
      </c>
      <c r="D1956" s="16">
        <v>0.59054715659242807</v>
      </c>
      <c r="E1956" s="16">
        <v>0.56978850204934106</v>
      </c>
      <c r="F1956" s="16">
        <v>0.87448598478455197</v>
      </c>
    </row>
    <row r="1957" spans="2:6" x14ac:dyDescent="0.35">
      <c r="B1957" s="7" t="s">
        <v>269</v>
      </c>
      <c r="C1957" s="16">
        <v>0.38438968677876878</v>
      </c>
      <c r="D1957" s="16">
        <v>0.16789936333771527</v>
      </c>
      <c r="E1957" s="16">
        <v>0.66213946025387027</v>
      </c>
      <c r="F1957" s="16">
        <v>0.2486264449062692</v>
      </c>
    </row>
    <row r="1958" spans="2:6" x14ac:dyDescent="0.35">
      <c r="B1958" s="7" t="s">
        <v>270</v>
      </c>
      <c r="C1958" s="16">
        <v>0.2281526161721156</v>
      </c>
      <c r="D1958" s="16">
        <v>0.67953994840811716</v>
      </c>
      <c r="E1958" s="16">
        <v>0.39300963403489819</v>
      </c>
      <c r="F1958" s="16">
        <v>1.006267076812364</v>
      </c>
    </row>
    <row r="1959" spans="2:6" x14ac:dyDescent="0.35">
      <c r="B1959" s="7" t="s">
        <v>271</v>
      </c>
      <c r="C1959" s="16">
        <v>0.40117372307469445</v>
      </c>
      <c r="D1959" s="16">
        <v>0.17100667957571822</v>
      </c>
      <c r="E1959" s="16">
        <v>0.69105119518358959</v>
      </c>
      <c r="F1959" s="16">
        <v>0.25322777855099693</v>
      </c>
    </row>
    <row r="1960" spans="2:6" x14ac:dyDescent="0.35">
      <c r="B1960" s="7" t="s">
        <v>272</v>
      </c>
      <c r="C1960" s="16">
        <v>0.75260375945973546</v>
      </c>
      <c r="D1960" s="16">
        <v>0.92053021580655681</v>
      </c>
      <c r="E1960" s="16">
        <v>1.2964152374892159</v>
      </c>
      <c r="F1960" s="16">
        <v>1.3631269972384361</v>
      </c>
    </row>
    <row r="1961" spans="2:6" x14ac:dyDescent="0.35">
      <c r="B1961" s="7" t="s">
        <v>273</v>
      </c>
      <c r="C1961" s="16">
        <v>0.7391723166617139</v>
      </c>
      <c r="D1961" s="16">
        <v>0.44200468371976076</v>
      </c>
      <c r="E1961" s="16">
        <v>1.273278591032228</v>
      </c>
      <c r="F1961" s="16">
        <v>0.65452334636982223</v>
      </c>
    </row>
    <row r="1962" spans="2:6" x14ac:dyDescent="0.35">
      <c r="B1962" s="7" t="s">
        <v>274</v>
      </c>
      <c r="C1962" s="16">
        <v>0.29261664223657041</v>
      </c>
      <c r="D1962" s="16">
        <v>0.39053953133756791</v>
      </c>
      <c r="E1962" s="16">
        <v>0.50405365236381849</v>
      </c>
      <c r="F1962" s="16">
        <v>0.57831342145422404</v>
      </c>
    </row>
    <row r="1963" spans="2:6" x14ac:dyDescent="0.35">
      <c r="B1963" s="7" t="s">
        <v>275</v>
      </c>
      <c r="C1963" s="16">
        <v>0.32365233999876292</v>
      </c>
      <c r="D1963" s="16">
        <v>0.93202346512641598</v>
      </c>
      <c r="E1963" s="16">
        <v>0.55751492063319252</v>
      </c>
      <c r="F1963" s="16">
        <v>1.3801462739171113</v>
      </c>
    </row>
    <row r="1964" spans="2:6" x14ac:dyDescent="0.35">
      <c r="B1964" s="7" t="s">
        <v>276</v>
      </c>
      <c r="C1964" s="16">
        <v>0.64801176222959733</v>
      </c>
      <c r="D1964" s="16">
        <v>0.38459020750624756</v>
      </c>
      <c r="E1964" s="16">
        <v>1.1162478423304156</v>
      </c>
      <c r="F1964" s="16">
        <v>0.5695036248929225</v>
      </c>
    </row>
    <row r="1965" spans="2:6" x14ac:dyDescent="0.35">
      <c r="B1965" s="7" t="s">
        <v>277</v>
      </c>
      <c r="C1965" s="16">
        <v>0.31802146359755801</v>
      </c>
      <c r="D1965" s="16">
        <v>0.65854909114639137</v>
      </c>
      <c r="E1965" s="16">
        <v>0.54781532257088561</v>
      </c>
      <c r="F1965" s="16">
        <v>0.97518368189787297</v>
      </c>
    </row>
    <row r="1966" spans="2:6" x14ac:dyDescent="0.35">
      <c r="B1966" s="7" t="s">
        <v>278</v>
      </c>
      <c r="C1966" s="16">
        <v>0.30455313945496137</v>
      </c>
      <c r="D1966" s="16">
        <v>0.24019340999153749</v>
      </c>
      <c r="E1966" s="16">
        <v>0.52461514528976183</v>
      </c>
      <c r="F1966" s="16">
        <v>0.35567992891069744</v>
      </c>
    </row>
    <row r="1967" spans="2:6" x14ac:dyDescent="0.35">
      <c r="B1967" s="7" t="s">
        <v>279</v>
      </c>
      <c r="C1967" s="16">
        <v>0.37068644535195538</v>
      </c>
      <c r="D1967" s="16">
        <v>0.30033886997315501</v>
      </c>
      <c r="E1967" s="16">
        <v>0.63853462070129197</v>
      </c>
      <c r="F1967" s="16">
        <v>0.44474370851779249</v>
      </c>
    </row>
    <row r="1968" spans="2:6" x14ac:dyDescent="0.35">
      <c r="B1968" s="7" t="s">
        <v>280</v>
      </c>
      <c r="C1968" s="16">
        <v>0.25449506416235129</v>
      </c>
      <c r="D1968" s="16">
        <v>0.78783725623347334</v>
      </c>
      <c r="E1968" s="16">
        <v>0.4383864349584336</v>
      </c>
      <c r="F1968" s="16">
        <v>1.1666344189051372</v>
      </c>
    </row>
    <row r="1969" spans="2:6" x14ac:dyDescent="0.35">
      <c r="B1969" s="7" t="s">
        <v>281</v>
      </c>
      <c r="C1969" s="16">
        <v>0.27978723381398479</v>
      </c>
      <c r="D1969" s="16">
        <v>0.54737535101514079</v>
      </c>
      <c r="E1969" s="16">
        <v>0.48195405432440386</v>
      </c>
      <c r="F1969" s="16">
        <v>0.81055690055523455</v>
      </c>
    </row>
    <row r="1970" spans="2:6" x14ac:dyDescent="0.35">
      <c r="B1970" s="7" t="s">
        <v>282</v>
      </c>
      <c r="C1970" s="16">
        <v>0.27420076742373295</v>
      </c>
      <c r="D1970" s="16">
        <v>0.2761928673758699</v>
      </c>
      <c r="E1970" s="16">
        <v>0.47233095576688017</v>
      </c>
      <c r="F1970" s="16">
        <v>0.40898815432676588</v>
      </c>
    </row>
    <row r="1971" spans="2:6" x14ac:dyDescent="0.35">
      <c r="B1971" s="7" t="s">
        <v>283</v>
      </c>
      <c r="C1971" s="16">
        <v>0.29854441157012629</v>
      </c>
      <c r="D1971" s="16">
        <v>0.34759230316369016</v>
      </c>
      <c r="E1971" s="16">
        <v>0.51426467030220857</v>
      </c>
      <c r="F1971" s="16">
        <v>0.51471689287196809</v>
      </c>
    </row>
    <row r="1972" spans="2:6" x14ac:dyDescent="0.35">
      <c r="B1972" s="7" t="s">
        <v>284</v>
      </c>
      <c r="C1972" s="16">
        <v>0.25584215182541459</v>
      </c>
      <c r="D1972" s="16">
        <v>2.8171610505431627E-2</v>
      </c>
      <c r="E1972" s="16">
        <v>0.44070689237135252</v>
      </c>
      <c r="F1972" s="16">
        <v>4.1716699980340034E-2</v>
      </c>
    </row>
    <row r="1973" spans="2:6" x14ac:dyDescent="0.35">
      <c r="B1973" s="7" t="s">
        <v>285</v>
      </c>
      <c r="C1973" s="16">
        <v>0.38971423957311968</v>
      </c>
      <c r="D1973" s="16">
        <v>0.35160443557435728</v>
      </c>
      <c r="E1973" s="16">
        <v>0.67131139341079149</v>
      </c>
      <c r="F1973" s="16">
        <v>0.520658084058923</v>
      </c>
    </row>
    <row r="1974" spans="2:6" x14ac:dyDescent="0.35">
      <c r="B1974" s="7" t="s">
        <v>286</v>
      </c>
      <c r="C1974" s="16">
        <v>0.40869473436223969</v>
      </c>
      <c r="D1974" s="16">
        <v>0.8476357721387725</v>
      </c>
      <c r="E1974" s="16">
        <v>0.70400668937551525</v>
      </c>
      <c r="F1974" s="16">
        <v>1.2551844415177948</v>
      </c>
    </row>
    <row r="1975" spans="2:6" x14ac:dyDescent="0.35">
      <c r="B1975" s="7" t="s">
        <v>287</v>
      </c>
      <c r="C1975" s="16">
        <v>0.40486093769659742</v>
      </c>
      <c r="D1975" s="16">
        <v>0.37276244442405604</v>
      </c>
      <c r="E1975" s="16">
        <v>0.69740269311280478</v>
      </c>
      <c r="F1975" s="16">
        <v>0.55198899810780511</v>
      </c>
    </row>
    <row r="1976" spans="2:6" x14ac:dyDescent="0.35">
      <c r="B1976" s="7" t="s">
        <v>288</v>
      </c>
      <c r="C1976" s="16">
        <v>0.46434109336922763</v>
      </c>
      <c r="D1976" s="16">
        <v>6.0489308478570425E-2</v>
      </c>
      <c r="E1976" s="16">
        <v>0.79986162873861588</v>
      </c>
      <c r="F1976" s="16">
        <v>8.9572952647923143E-2</v>
      </c>
    </row>
    <row r="1977" spans="2:6" x14ac:dyDescent="0.35">
      <c r="B1977" s="7" t="s">
        <v>289</v>
      </c>
      <c r="C1977" s="16">
        <v>0.50213764218803225</v>
      </c>
      <c r="D1977" s="16">
        <v>0.25050855802347488</v>
      </c>
      <c r="E1977" s="16">
        <v>0.86496895938546048</v>
      </c>
      <c r="F1977" s="16">
        <v>0.37095466571064573</v>
      </c>
    </row>
    <row r="1978" spans="2:6" x14ac:dyDescent="0.35">
      <c r="B1978" s="7" t="s">
        <v>290</v>
      </c>
      <c r="C1978" s="16">
        <v>1.1253397313828195</v>
      </c>
      <c r="D1978" s="16">
        <v>0.40972184515736676</v>
      </c>
      <c r="E1978" s="26">
        <v>1.9384803182009092</v>
      </c>
      <c r="F1978" s="16">
        <v>0.60671871373934172</v>
      </c>
    </row>
    <row r="1979" spans="2:6" x14ac:dyDescent="0.35">
      <c r="B1979" s="7" t="s">
        <v>291</v>
      </c>
      <c r="C1979" s="16">
        <v>0.39538981123974215</v>
      </c>
      <c r="D1979" s="16">
        <v>0.4828900719668115</v>
      </c>
      <c r="E1979" s="16">
        <v>0.68108798234964207</v>
      </c>
      <c r="F1979" s="16">
        <v>0.71506668927714689</v>
      </c>
    </row>
    <row r="1980" spans="2:6" x14ac:dyDescent="0.35">
      <c r="B1980" s="7" t="s">
        <v>292</v>
      </c>
      <c r="C1980" s="16">
        <v>0.39945525325444986</v>
      </c>
      <c r="D1980" s="16">
        <v>5.1670362557642818E-2</v>
      </c>
      <c r="E1980" s="16">
        <v>0.68809100473525897</v>
      </c>
      <c r="F1980" s="16">
        <v>7.6513801448340565E-2</v>
      </c>
    </row>
    <row r="1981" spans="2:6" x14ac:dyDescent="0.35">
      <c r="B1981" s="7" t="s">
        <v>293</v>
      </c>
      <c r="C1981" s="16">
        <v>0.30739153969771993</v>
      </c>
      <c r="D1981" s="16">
        <v>1.9965954916086017E-2</v>
      </c>
      <c r="E1981" s="16">
        <v>0.52950449812457467</v>
      </c>
      <c r="F1981" s="16">
        <v>2.956571300369092E-2</v>
      </c>
    </row>
    <row r="1982" spans="2:6" x14ac:dyDescent="0.35">
      <c r="B1982" s="7" t="s">
        <v>294</v>
      </c>
      <c r="C1982" s="16">
        <v>0.3202506440864929</v>
      </c>
      <c r="D1982" s="16">
        <v>0.10258151330261936</v>
      </c>
      <c r="E1982" s="16">
        <v>0.5516552496462479</v>
      </c>
      <c r="F1982" s="16">
        <v>0.15190335721664011</v>
      </c>
    </row>
    <row r="1983" spans="2:6" x14ac:dyDescent="0.35">
      <c r="B1983" s="7" t="s">
        <v>295</v>
      </c>
      <c r="C1983" s="16">
        <v>0.45409998753659464</v>
      </c>
      <c r="D1983" s="16">
        <v>0.41477271344967265</v>
      </c>
      <c r="E1983" s="16">
        <v>0.78222057196300798</v>
      </c>
      <c r="F1983" s="16">
        <v>0.61419807162517193</v>
      </c>
    </row>
    <row r="1984" spans="2:6" x14ac:dyDescent="0.35">
      <c r="B1984" s="7" t="s">
        <v>296</v>
      </c>
      <c r="C1984" s="16">
        <v>0.5771249893891619</v>
      </c>
      <c r="D1984" s="16">
        <v>0.14305093114456763</v>
      </c>
      <c r="E1984" s="16">
        <v>0.99414017107356767</v>
      </c>
      <c r="F1984" s="16">
        <v>0.21183072850292398</v>
      </c>
    </row>
    <row r="1985" spans="2:6" x14ac:dyDescent="0.35">
      <c r="B1985" s="7" t="s">
        <v>297</v>
      </c>
      <c r="C1985" s="16">
        <v>0.41878672203269179</v>
      </c>
      <c r="D1985" s="16">
        <v>0.32121728418670725</v>
      </c>
      <c r="E1985" s="16">
        <v>0.72139087916739131</v>
      </c>
      <c r="F1985" s="16">
        <v>0.47566059705152031</v>
      </c>
    </row>
    <row r="1986" spans="2:6" x14ac:dyDescent="0.35">
      <c r="B1986" s="7" t="s">
        <v>298</v>
      </c>
      <c r="C1986" s="16">
        <v>0.31428120571172674</v>
      </c>
      <c r="D1986" s="16">
        <v>0.44965790615725765</v>
      </c>
      <c r="E1986" s="16">
        <v>0.5413724537247192</v>
      </c>
      <c r="F1986" s="16">
        <v>0.66585628682227904</v>
      </c>
    </row>
    <row r="1987" spans="2:6" x14ac:dyDescent="0.35">
      <c r="B1987" s="7" t="s">
        <v>299</v>
      </c>
      <c r="C1987" s="16">
        <v>0.43999818435515181</v>
      </c>
      <c r="D1987" s="16">
        <v>0.11819321598799025</v>
      </c>
      <c r="E1987" s="16">
        <v>0.75792918052268332</v>
      </c>
      <c r="F1987" s="16">
        <v>0.17502126582830144</v>
      </c>
    </row>
    <row r="1988" spans="2:6" x14ac:dyDescent="0.35">
      <c r="B1988" s="7" t="s">
        <v>300</v>
      </c>
      <c r="C1988" s="16">
        <v>0.74280492308907942</v>
      </c>
      <c r="D1988" s="16">
        <v>0.13411048059564984</v>
      </c>
      <c r="E1988" s="16">
        <v>1.2795360223366086</v>
      </c>
      <c r="F1988" s="16">
        <v>0.19859165247756291</v>
      </c>
    </row>
    <row r="1989" spans="2:6" x14ac:dyDescent="0.35">
      <c r="B1989" s="7" t="s">
        <v>301</v>
      </c>
      <c r="C1989" s="16">
        <v>0.8136948235415421</v>
      </c>
      <c r="D1989" s="16">
        <v>0.69641745217969764</v>
      </c>
      <c r="E1989" s="26">
        <v>1.4016490811348263</v>
      </c>
      <c r="F1989" s="16">
        <v>1.0312593917217419</v>
      </c>
    </row>
    <row r="1990" spans="2:6" x14ac:dyDescent="0.35">
      <c r="B1990" s="7" t="s">
        <v>302</v>
      </c>
      <c r="C1990" s="16">
        <v>0.22839118369001957</v>
      </c>
      <c r="D1990" s="16">
        <v>0.36666495815107464</v>
      </c>
      <c r="E1990" s="16">
        <v>0.3934205841019065</v>
      </c>
      <c r="F1990" s="16">
        <v>0.54295980166072366</v>
      </c>
    </row>
    <row r="1991" spans="2:6" x14ac:dyDescent="0.35">
      <c r="B1991" s="7" t="s">
        <v>303</v>
      </c>
      <c r="C1991" s="16">
        <v>0.26131743983041733</v>
      </c>
      <c r="D1991" s="16">
        <v>0.10881576464343869</v>
      </c>
      <c r="E1991" s="16">
        <v>0.45013847799673262</v>
      </c>
      <c r="F1991" s="16">
        <v>0.16113507624586812</v>
      </c>
    </row>
    <row r="1992" spans="2:6" x14ac:dyDescent="0.35">
      <c r="B1992" s="7" t="s">
        <v>304</v>
      </c>
      <c r="C1992" s="16">
        <v>0.37913834642744226</v>
      </c>
      <c r="D1992" s="16">
        <v>0.83466452932782742</v>
      </c>
      <c r="E1992" s="16">
        <v>0.65309364090586597</v>
      </c>
      <c r="F1992" s="16">
        <v>1.2359765426789264</v>
      </c>
    </row>
    <row r="1993" spans="2:6" x14ac:dyDescent="0.35">
      <c r="B1993" s="7" t="s">
        <v>305</v>
      </c>
      <c r="C1993" s="16">
        <v>0.36551527740893486</v>
      </c>
      <c r="D1993" s="16">
        <v>0.96473434429985272</v>
      </c>
      <c r="E1993" s="16">
        <v>0.62962690421345491</v>
      </c>
      <c r="F1993" s="16">
        <v>1.4285847518063435</v>
      </c>
    </row>
    <row r="1994" spans="2:6" x14ac:dyDescent="0.35">
      <c r="B1994" s="7" t="s">
        <v>306</v>
      </c>
      <c r="C1994" s="16">
        <v>0.54470414148129165</v>
      </c>
      <c r="D1994" s="16">
        <v>0.41442271907134115</v>
      </c>
      <c r="E1994" s="16">
        <v>0.93829287997013811</v>
      </c>
      <c r="F1994" s="16">
        <v>0.61367979772411663</v>
      </c>
    </row>
    <row r="1995" spans="2:6" x14ac:dyDescent="0.35">
      <c r="B1995" s="7" t="s">
        <v>307</v>
      </c>
      <c r="C1995" s="16">
        <v>0.39344767231947064</v>
      </c>
      <c r="D1995" s="16">
        <v>1.0244843012406868</v>
      </c>
      <c r="E1995" s="16">
        <v>0.67774250545305015</v>
      </c>
      <c r="F1995" s="16">
        <v>1.5170628679956339</v>
      </c>
    </row>
    <row r="1996" spans="2:6" x14ac:dyDescent="0.35">
      <c r="B1996" s="7" t="s">
        <v>308</v>
      </c>
      <c r="C1996" s="16">
        <v>0.49140298578093261</v>
      </c>
      <c r="D1996" s="16">
        <v>0.47757179375960152</v>
      </c>
      <c r="E1996" s="16">
        <v>0.84647772550514422</v>
      </c>
      <c r="F1996" s="16">
        <v>0.70719134908886105</v>
      </c>
    </row>
    <row r="1997" spans="2:6" x14ac:dyDescent="0.35">
      <c r="B1997" s="7" t="s">
        <v>309</v>
      </c>
      <c r="C1997" s="16">
        <v>0.40340156353412659</v>
      </c>
      <c r="D1997" s="16">
        <v>0.48886112020286721</v>
      </c>
      <c r="E1997" s="16">
        <v>0.69488881395973834</v>
      </c>
      <c r="F1997" s="16">
        <v>0.72390865547512651</v>
      </c>
    </row>
    <row r="1998" spans="2:6" x14ac:dyDescent="0.35">
      <c r="B1998" s="7" t="s">
        <v>310</v>
      </c>
      <c r="C1998" s="16">
        <v>0.29493944650815923</v>
      </c>
      <c r="D1998" s="16">
        <v>0.36045085619968792</v>
      </c>
      <c r="E1998" s="16">
        <v>0.50805485327936339</v>
      </c>
      <c r="F1998" s="16">
        <v>0.53375791997549793</v>
      </c>
    </row>
    <row r="1999" spans="2:6" x14ac:dyDescent="0.35">
      <c r="B1999" s="7" t="s">
        <v>311</v>
      </c>
      <c r="C1999" s="16">
        <v>0.4143493904788072</v>
      </c>
      <c r="D1999" s="16">
        <v>0.12108838007215461</v>
      </c>
      <c r="E1999" s="16">
        <v>0.71374724974361947</v>
      </c>
      <c r="F1999" s="16">
        <v>0.17930844321454473</v>
      </c>
    </row>
    <row r="2000" spans="2:6" x14ac:dyDescent="0.35">
      <c r="B2000" s="7" t="s">
        <v>312</v>
      </c>
      <c r="C2000" s="16">
        <v>1.3118021650788521</v>
      </c>
      <c r="D2000" s="16">
        <v>0.49011049523000666</v>
      </c>
      <c r="E2000" s="26">
        <v>2.2596755517144778</v>
      </c>
      <c r="F2000" s="16">
        <v>0.72575873796011814</v>
      </c>
    </row>
    <row r="2001" spans="2:6" x14ac:dyDescent="0.35">
      <c r="B2001" s="7" t="s">
        <v>313</v>
      </c>
      <c r="C2001" s="16">
        <v>1.2992914233564068</v>
      </c>
      <c r="D2001" s="16">
        <v>0.62959208912528264</v>
      </c>
      <c r="E2001" s="26">
        <v>2.2381248804649569</v>
      </c>
      <c r="F2001" s="16">
        <v>0.93230396916679625</v>
      </c>
    </row>
    <row r="2002" spans="2:6" x14ac:dyDescent="0.35">
      <c r="B2002" s="7" t="s">
        <v>314</v>
      </c>
      <c r="C2002" s="16">
        <v>0.49148577738555271</v>
      </c>
      <c r="D2002" s="16">
        <v>0.19334418233728543</v>
      </c>
      <c r="E2002" s="16">
        <v>0.8466203401232838</v>
      </c>
      <c r="F2002" s="16">
        <v>0.28630529468500182</v>
      </c>
    </row>
    <row r="2003" spans="2:6" x14ac:dyDescent="0.35">
      <c r="B2003" s="7" t="s">
        <v>315</v>
      </c>
      <c r="C2003" s="16">
        <v>0.44738248043362183</v>
      </c>
      <c r="D2003" s="16">
        <v>1.7092669520204051</v>
      </c>
      <c r="E2003" s="16">
        <v>0.77064917272831956</v>
      </c>
      <c r="F2003" s="26">
        <v>2.5310933718183257</v>
      </c>
    </row>
    <row r="2004" spans="2:6" x14ac:dyDescent="0.35">
      <c r="B2004" s="7" t="s">
        <v>316</v>
      </c>
      <c r="C2004" s="16">
        <v>0.46774290610464703</v>
      </c>
      <c r="D2004" s="16">
        <v>2.1885714339575101E-2</v>
      </c>
      <c r="E2004" s="16">
        <v>0.80572150096201323</v>
      </c>
      <c r="F2004" s="16">
        <v>3.2408504965786365E-2</v>
      </c>
    </row>
    <row r="2005" spans="2:6" x14ac:dyDescent="0.35">
      <c r="B2005" s="7" t="s">
        <v>317</v>
      </c>
      <c r="C2005" s="16">
        <v>0.59802022279048594</v>
      </c>
      <c r="D2005" s="16">
        <v>0.63746569353006655</v>
      </c>
      <c r="E2005" s="16">
        <v>1.0301337448923009</v>
      </c>
      <c r="F2005" s="16">
        <v>0.94396325263782555</v>
      </c>
    </row>
    <row r="2006" spans="2:6" x14ac:dyDescent="0.35">
      <c r="B2006" s="7" t="s">
        <v>318</v>
      </c>
      <c r="C2006" s="16">
        <v>0.77797689031984907</v>
      </c>
      <c r="D2006" s="16">
        <v>1.114622948716643</v>
      </c>
      <c r="E2006" s="16">
        <v>1.3401223184815731</v>
      </c>
      <c r="F2006" s="26">
        <v>1.6505407503716911</v>
      </c>
    </row>
    <row r="2007" spans="2:6" x14ac:dyDescent="0.35">
      <c r="B2007" s="7" t="s">
        <v>319</v>
      </c>
      <c r="C2007" s="16">
        <v>0.57449003953265687</v>
      </c>
      <c r="D2007" s="16">
        <v>0.27485030140915223</v>
      </c>
      <c r="E2007" s="16">
        <v>0.98960127646793172</v>
      </c>
      <c r="F2007" s="16">
        <v>0.40700007410584355</v>
      </c>
    </row>
    <row r="2008" spans="2:6" x14ac:dyDescent="0.35">
      <c r="B2008" s="7" t="s">
        <v>320</v>
      </c>
      <c r="C2008" s="16">
        <v>0.55902264388605694</v>
      </c>
      <c r="D2008" s="16">
        <v>0.28163199770397473</v>
      </c>
      <c r="E2008" s="16">
        <v>0.96295755173431996</v>
      </c>
      <c r="F2008" s="16">
        <v>0.41704245310417409</v>
      </c>
    </row>
    <row r="2009" spans="2:6" x14ac:dyDescent="0.35">
      <c r="B2009" s="7" t="s">
        <v>321</v>
      </c>
      <c r="C2009" s="16">
        <v>0.28327227608117383</v>
      </c>
      <c r="D2009" s="16">
        <v>0.48769314937691738</v>
      </c>
      <c r="E2009" s="16">
        <v>0.48795729552761169</v>
      </c>
      <c r="F2009" s="16">
        <v>0.72217911684890757</v>
      </c>
    </row>
    <row r="2010" spans="2:6" ht="15" thickBot="1" x14ac:dyDescent="0.4">
      <c r="B2010" s="11" t="s">
        <v>322</v>
      </c>
      <c r="C2010" s="17">
        <v>0.39148507052690068</v>
      </c>
      <c r="D2010" s="17">
        <v>1.6794875596571497</v>
      </c>
      <c r="E2010" s="17">
        <v>0.67436177975638623</v>
      </c>
      <c r="F2010" s="44">
        <v>2.4869958582389997</v>
      </c>
    </row>
    <row r="2011" spans="2:6" x14ac:dyDescent="0.35">
      <c r="B2011" s="45" t="s">
        <v>376</v>
      </c>
    </row>
    <row r="2031" spans="7:7" x14ac:dyDescent="0.35">
      <c r="G2031" t="s">
        <v>49</v>
      </c>
    </row>
  </sheetData>
  <mergeCells count="1">
    <mergeCell ref="B1:L2"/>
  </mergeCells>
  <pageMargins left="0.7" right="0.7" top="0.75" bottom="0.75" header="0.3" footer="0.3"/>
  <pageSetup paperSize="9" orientation="portrait" horizontalDpi="300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D821752">
              <controlPr defaultSize="0" autoFill="0" autoPict="0" macro="[0]!GoToResultsNew2309202110534135">
                <anchor moveWithCells="1">
                  <from>
                    <xdr:col>1</xdr:col>
                    <xdr:colOff>6350</xdr:colOff>
                    <xdr:row>12</xdr:row>
                    <xdr:rowOff>6350</xdr:rowOff>
                  </from>
                  <to>
                    <xdr:col>6</xdr:col>
                    <xdr:colOff>6350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026A-CBBE-461C-9436-E071A6F22CA4}">
  <sheetPr codeName="XLSTAT_20210923_105258_1_HID3"/>
  <dimension ref="B2:C101"/>
  <sheetViews>
    <sheetView workbookViewId="0">
      <selection activeCell="B2" sqref="B2"/>
    </sheetView>
  </sheetViews>
  <sheetFormatPr defaultRowHeight="14.5" x14ac:dyDescent="0.35"/>
  <sheetData>
    <row r="2" spans="2:3" x14ac:dyDescent="0.35">
      <c r="B2">
        <v>3.597611606399731</v>
      </c>
      <c r="C2">
        <v>3.0456566753448389</v>
      </c>
    </row>
    <row r="3" spans="2:3" x14ac:dyDescent="0.35">
      <c r="B3">
        <v>-0.9082279507348836</v>
      </c>
      <c r="C3">
        <v>-0.24559832827604902</v>
      </c>
    </row>
    <row r="4" spans="2:3" x14ac:dyDescent="0.35">
      <c r="B4">
        <v>-0.21351185453036203</v>
      </c>
      <c r="C4">
        <v>2.2958392815751272</v>
      </c>
    </row>
    <row r="5" spans="2:3" x14ac:dyDescent="0.35">
      <c r="B5">
        <v>4.232626861129889</v>
      </c>
      <c r="C5">
        <v>3.8041656082299808</v>
      </c>
    </row>
    <row r="6" spans="2:3" x14ac:dyDescent="0.35">
      <c r="B6">
        <v>5.5683554489987745</v>
      </c>
      <c r="C6">
        <v>5.3509186694276236</v>
      </c>
    </row>
    <row r="7" spans="2:3" x14ac:dyDescent="0.35">
      <c r="B7">
        <v>4.5050086859740102</v>
      </c>
      <c r="C7">
        <v>3.1138618051676201</v>
      </c>
    </row>
    <row r="8" spans="2:3" x14ac:dyDescent="0.35">
      <c r="B8">
        <v>3.5492542859702096</v>
      </c>
      <c r="C8">
        <v>1.6889267742827405</v>
      </c>
    </row>
    <row r="9" spans="2:3" x14ac:dyDescent="0.35">
      <c r="B9">
        <v>5.8333059262802056</v>
      </c>
      <c r="C9">
        <v>4.6970560177281886</v>
      </c>
    </row>
    <row r="10" spans="2:3" x14ac:dyDescent="0.35">
      <c r="B10">
        <v>4.1367005134341541</v>
      </c>
      <c r="C10">
        <v>3.1148818428822875</v>
      </c>
    </row>
    <row r="11" spans="2:3" x14ac:dyDescent="0.35">
      <c r="B11">
        <v>-2.093161931180632</v>
      </c>
      <c r="C11">
        <v>-1.5930739286200712</v>
      </c>
    </row>
    <row r="12" spans="2:3" x14ac:dyDescent="0.35">
      <c r="B12">
        <v>3.5828201668189195</v>
      </c>
      <c r="C12">
        <v>1.2977794918249084</v>
      </c>
    </row>
    <row r="13" spans="2:3" x14ac:dyDescent="0.35">
      <c r="B13">
        <v>8.342005472558137</v>
      </c>
      <c r="C13">
        <v>5.8501227417758077</v>
      </c>
    </row>
    <row r="14" spans="2:3" x14ac:dyDescent="0.35">
      <c r="B14">
        <v>5.0884693438188782</v>
      </c>
      <c r="C14">
        <v>2.8175154601247692</v>
      </c>
    </row>
    <row r="15" spans="2:3" x14ac:dyDescent="0.35">
      <c r="B15">
        <v>7.1650354387080215</v>
      </c>
      <c r="C15">
        <v>3.2695815130915911</v>
      </c>
    </row>
    <row r="16" spans="2:3" x14ac:dyDescent="0.35">
      <c r="B16">
        <v>3.4148027445107889</v>
      </c>
      <c r="C16">
        <v>2.6673596093657612</v>
      </c>
    </row>
    <row r="17" spans="2:3" x14ac:dyDescent="0.35">
      <c r="B17">
        <v>-4.1402658292489125</v>
      </c>
      <c r="C17">
        <v>-1.5004169948448616</v>
      </c>
    </row>
    <row r="18" spans="2:3" x14ac:dyDescent="0.35">
      <c r="B18">
        <v>4.2089481088769185</v>
      </c>
      <c r="C18">
        <v>4.1426475771911182</v>
      </c>
    </row>
    <row r="19" spans="2:3" x14ac:dyDescent="0.35">
      <c r="B19">
        <v>3.4304956059410614</v>
      </c>
      <c r="C19">
        <v>1.4321265893269526</v>
      </c>
    </row>
    <row r="20" spans="2:3" x14ac:dyDescent="0.35">
      <c r="B20">
        <v>3.1726268002330889</v>
      </c>
      <c r="C20">
        <v>1.4693476830092698</v>
      </c>
    </row>
    <row r="21" spans="2:3" x14ac:dyDescent="0.35">
      <c r="B21">
        <v>7.9019088678847362</v>
      </c>
      <c r="C21">
        <v>4.1017323967588517</v>
      </c>
    </row>
    <row r="22" spans="2:3" x14ac:dyDescent="0.35">
      <c r="B22">
        <v>5.0884693438188782</v>
      </c>
      <c r="C22">
        <v>2.962751528721387</v>
      </c>
    </row>
    <row r="23" spans="2:3" x14ac:dyDescent="0.35">
      <c r="B23">
        <v>3.6776120372756513</v>
      </c>
      <c r="C23">
        <v>1.1368371245815103</v>
      </c>
    </row>
    <row r="24" spans="2:3" x14ac:dyDescent="0.35">
      <c r="B24">
        <v>6.0817239533644267</v>
      </c>
      <c r="C24">
        <v>3.639149229889298</v>
      </c>
    </row>
    <row r="25" spans="2:3" x14ac:dyDescent="0.35">
      <c r="B25">
        <v>4.3453083332744766</v>
      </c>
      <c r="C25">
        <v>4.2710525830651918</v>
      </c>
    </row>
    <row r="26" spans="2:3" x14ac:dyDescent="0.35">
      <c r="B26">
        <v>7.2617611821466506</v>
      </c>
      <c r="C26">
        <v>4.048574221286656</v>
      </c>
    </row>
    <row r="27" spans="2:3" x14ac:dyDescent="0.35">
      <c r="B27">
        <v>2.3247060815816547</v>
      </c>
      <c r="C27">
        <v>9.2726125733078785E-2</v>
      </c>
    </row>
    <row r="28" spans="2:3" x14ac:dyDescent="0.35">
      <c r="B28">
        <v>-5.7826331681815768</v>
      </c>
      <c r="C28">
        <v>-1.6169822935159506</v>
      </c>
    </row>
    <row r="29" spans="2:3" x14ac:dyDescent="0.35">
      <c r="B29">
        <v>3.2695117058528873</v>
      </c>
      <c r="C29">
        <v>1.202712884562839</v>
      </c>
    </row>
    <row r="30" spans="2:3" x14ac:dyDescent="0.35">
      <c r="B30">
        <v>3.9508409735518257</v>
      </c>
      <c r="C30">
        <v>3.0619192077108197</v>
      </c>
    </row>
    <row r="31" spans="2:3" x14ac:dyDescent="0.35">
      <c r="B31">
        <v>-1.1836342323440248</v>
      </c>
      <c r="C31">
        <v>0.92025064291031866</v>
      </c>
    </row>
    <row r="32" spans="2:3" x14ac:dyDescent="0.35">
      <c r="B32">
        <v>5.2141918976520207</v>
      </c>
      <c r="C32">
        <v>2.3401121387415631</v>
      </c>
    </row>
    <row r="33" spans="2:3" x14ac:dyDescent="0.35">
      <c r="B33">
        <v>-6.1036428166081897</v>
      </c>
      <c r="C33">
        <v>-1.6528774267298345</v>
      </c>
    </row>
    <row r="34" spans="2:3" x14ac:dyDescent="0.35">
      <c r="B34">
        <v>-2.9542460936338273</v>
      </c>
      <c r="C34">
        <v>-1.1387431668402552</v>
      </c>
    </row>
    <row r="35" spans="2:3" x14ac:dyDescent="0.35">
      <c r="B35">
        <v>5.4900309866015018</v>
      </c>
      <c r="C35">
        <v>2.8271449743230956</v>
      </c>
    </row>
    <row r="36" spans="2:3" x14ac:dyDescent="0.35">
      <c r="B36">
        <v>1.8609599302870299</v>
      </c>
      <c r="C36">
        <v>4.165021358707107</v>
      </c>
    </row>
    <row r="37" spans="2:3" x14ac:dyDescent="0.35">
      <c r="B37">
        <v>-0.4651310858310822</v>
      </c>
      <c r="C37">
        <v>-1.9227013456443418</v>
      </c>
    </row>
    <row r="38" spans="2:3" x14ac:dyDescent="0.35">
      <c r="B38">
        <v>5.6459399681104847E-2</v>
      </c>
      <c r="C38">
        <v>2.7831012985045418</v>
      </c>
    </row>
    <row r="39" spans="2:3" x14ac:dyDescent="0.35">
      <c r="B39">
        <v>5.8946154311678276</v>
      </c>
      <c r="C39">
        <v>0.94754314768975478</v>
      </c>
    </row>
    <row r="40" spans="2:3" x14ac:dyDescent="0.35">
      <c r="B40">
        <v>1.9082265328951025</v>
      </c>
      <c r="C40">
        <v>-0.78537859982380154</v>
      </c>
    </row>
    <row r="41" spans="2:3" x14ac:dyDescent="0.35">
      <c r="B41">
        <v>-10.662463004413034</v>
      </c>
      <c r="C41">
        <v>-5.4045975643965356</v>
      </c>
    </row>
    <row r="42" spans="2:3" x14ac:dyDescent="0.35">
      <c r="B42">
        <v>-6.1036428166081897</v>
      </c>
      <c r="C42">
        <v>-3.6124705678656963</v>
      </c>
    </row>
    <row r="43" spans="2:3" x14ac:dyDescent="0.35">
      <c r="B43">
        <v>6.9305472687734598E-2</v>
      </c>
      <c r="C43">
        <v>-0.53176821002904573</v>
      </c>
    </row>
    <row r="44" spans="2:3" x14ac:dyDescent="0.35">
      <c r="B44">
        <v>-1.3478862850448698</v>
      </c>
      <c r="C44">
        <v>-3.8007079225252625</v>
      </c>
    </row>
    <row r="45" spans="2:3" x14ac:dyDescent="0.35">
      <c r="B45">
        <v>5.0709843855633219</v>
      </c>
      <c r="C45">
        <v>1.912039581359251</v>
      </c>
    </row>
    <row r="46" spans="2:3" x14ac:dyDescent="0.35">
      <c r="B46">
        <v>-1.9069175876782374</v>
      </c>
      <c r="C46">
        <v>6.7515478961417671E-2</v>
      </c>
    </row>
    <row r="47" spans="2:3" x14ac:dyDescent="0.35">
      <c r="B47">
        <v>5.0555960049127417</v>
      </c>
      <c r="C47">
        <v>3.8673885600408728</v>
      </c>
    </row>
    <row r="48" spans="2:3" x14ac:dyDescent="0.35">
      <c r="B48">
        <v>-6.3092032405192482</v>
      </c>
      <c r="C48">
        <v>-2.8737540317134602</v>
      </c>
    </row>
    <row r="49" spans="2:3" x14ac:dyDescent="0.35">
      <c r="B49">
        <v>-4.9176230809931036</v>
      </c>
      <c r="C49">
        <v>-2.1179236649933202</v>
      </c>
    </row>
    <row r="50" spans="2:3" x14ac:dyDescent="0.35">
      <c r="B50">
        <v>-8.9975253927311858</v>
      </c>
      <c r="C50">
        <v>-6.5707197075858739</v>
      </c>
    </row>
    <row r="51" spans="2:3" x14ac:dyDescent="0.35">
      <c r="B51">
        <v>1.4118089681014749</v>
      </c>
      <c r="C51">
        <v>-0.87717873412007874</v>
      </c>
    </row>
    <row r="52" spans="2:3" x14ac:dyDescent="0.35">
      <c r="B52">
        <v>-0.43434214961581047</v>
      </c>
      <c r="C52">
        <v>-1.9210108754177537</v>
      </c>
    </row>
    <row r="53" spans="2:3" x14ac:dyDescent="0.35">
      <c r="B53">
        <v>-4.1974910935824585</v>
      </c>
      <c r="C53">
        <v>-1.5146380004808702</v>
      </c>
    </row>
    <row r="54" spans="2:3" x14ac:dyDescent="0.35">
      <c r="B54">
        <v>-2.8089550549759239</v>
      </c>
      <c r="C54">
        <v>-0.78791376558985804</v>
      </c>
    </row>
    <row r="55" spans="2:3" x14ac:dyDescent="0.35">
      <c r="B55">
        <v>3.3910992233995541</v>
      </c>
      <c r="C55">
        <v>0.16626015802893521</v>
      </c>
    </row>
    <row r="56" spans="2:3" x14ac:dyDescent="0.35">
      <c r="B56">
        <v>-3.3538588757396854</v>
      </c>
      <c r="C56">
        <v>-0.57861056016805612</v>
      </c>
    </row>
    <row r="57" spans="2:3" x14ac:dyDescent="0.35">
      <c r="B57">
        <v>-0.79295944784128958</v>
      </c>
      <c r="C57">
        <v>-3.3534537333500083</v>
      </c>
    </row>
    <row r="58" spans="2:3" x14ac:dyDescent="0.35">
      <c r="B58">
        <v>2.0198363870403804</v>
      </c>
      <c r="C58">
        <v>-0.48110411263797959</v>
      </c>
    </row>
    <row r="59" spans="2:3" x14ac:dyDescent="0.35">
      <c r="B59">
        <v>-5.5872071173104283</v>
      </c>
      <c r="C59">
        <v>-2.6748468456854666</v>
      </c>
    </row>
    <row r="60" spans="2:3" x14ac:dyDescent="0.35">
      <c r="B60">
        <v>-5.8856464929878278</v>
      </c>
      <c r="C60">
        <v>-3.4865086336847027</v>
      </c>
    </row>
    <row r="61" spans="2:3" x14ac:dyDescent="0.35">
      <c r="B61">
        <v>-5.5872071173104283</v>
      </c>
      <c r="C61">
        <v>-2.5942957929916561</v>
      </c>
    </row>
    <row r="62" spans="2:3" x14ac:dyDescent="0.35">
      <c r="B62">
        <v>-3.4901290333876154</v>
      </c>
      <c r="C62">
        <v>-1.909225722888211</v>
      </c>
    </row>
    <row r="63" spans="2:3" x14ac:dyDescent="0.35">
      <c r="B63">
        <v>-1.0473338512739159</v>
      </c>
      <c r="C63">
        <v>-0.82394396554761262</v>
      </c>
    </row>
    <row r="64" spans="2:3" x14ac:dyDescent="0.35">
      <c r="B64">
        <v>-9.3667823130525711</v>
      </c>
      <c r="C64">
        <v>-5.595409071150149</v>
      </c>
    </row>
    <row r="65" spans="2:3" x14ac:dyDescent="0.35">
      <c r="B65">
        <v>-2.7390118904108158</v>
      </c>
      <c r="C65">
        <v>-2.4641491626581415</v>
      </c>
    </row>
    <row r="66" spans="2:3" x14ac:dyDescent="0.35">
      <c r="B66">
        <v>2.3247060815816547</v>
      </c>
      <c r="C66">
        <v>2.4801654877968682</v>
      </c>
    </row>
    <row r="67" spans="2:3" x14ac:dyDescent="0.35">
      <c r="B67">
        <v>0.55135465872353806</v>
      </c>
      <c r="C67">
        <v>-2.3851219787524869</v>
      </c>
    </row>
    <row r="68" spans="2:3" x14ac:dyDescent="0.35">
      <c r="B68">
        <v>-4.7723320423351989</v>
      </c>
      <c r="C68">
        <v>-3.1879452091157536</v>
      </c>
    </row>
    <row r="69" spans="2:3" x14ac:dyDescent="0.35">
      <c r="B69">
        <v>-2.2984266659382051</v>
      </c>
      <c r="C69">
        <v>-0.87253956850344505</v>
      </c>
    </row>
    <row r="70" spans="2:3" x14ac:dyDescent="0.35">
      <c r="B70">
        <v>1.1177989197426921</v>
      </c>
      <c r="C70">
        <v>-1.7336022232975252</v>
      </c>
    </row>
    <row r="71" spans="2:3" x14ac:dyDescent="0.35">
      <c r="B71">
        <v>1.7498651328289132</v>
      </c>
      <c r="C71">
        <v>-0.73201976503432997</v>
      </c>
    </row>
    <row r="72" spans="2:3" x14ac:dyDescent="0.35">
      <c r="B72">
        <v>-3.0297853500613088</v>
      </c>
      <c r="C72">
        <v>0.13263983526311388</v>
      </c>
    </row>
    <row r="73" spans="2:3" x14ac:dyDescent="0.35">
      <c r="B73">
        <v>1.2895214495026084</v>
      </c>
      <c r="C73">
        <v>2.6387763003982347</v>
      </c>
    </row>
    <row r="74" spans="2:3" x14ac:dyDescent="0.35">
      <c r="B74">
        <v>-5.0707714180126011</v>
      </c>
      <c r="C74">
        <v>-3.2104314599233157</v>
      </c>
    </row>
    <row r="75" spans="2:3" x14ac:dyDescent="0.35">
      <c r="B75">
        <v>-3.7198581139963367</v>
      </c>
      <c r="C75">
        <v>-1.4741154913159018</v>
      </c>
    </row>
    <row r="76" spans="2:3" x14ac:dyDescent="0.35">
      <c r="B76">
        <v>-5.7826331681815768</v>
      </c>
      <c r="C76">
        <v>-3.1030818217619038</v>
      </c>
    </row>
    <row r="77" spans="2:3" x14ac:dyDescent="0.35">
      <c r="B77">
        <v>-1.4337278313452357</v>
      </c>
      <c r="C77">
        <v>-2.7562067318186712</v>
      </c>
    </row>
    <row r="78" spans="2:3" x14ac:dyDescent="0.35">
      <c r="B78">
        <v>-0.28522591896118732</v>
      </c>
      <c r="C78">
        <v>-2.8670642127213513</v>
      </c>
    </row>
    <row r="79" spans="2:3" x14ac:dyDescent="0.35">
      <c r="B79">
        <v>-2.7046774792033257</v>
      </c>
      <c r="C79">
        <v>-0.55901444739572526</v>
      </c>
    </row>
    <row r="80" spans="2:3" x14ac:dyDescent="0.35">
      <c r="B80">
        <v>-2.5389838007644587</v>
      </c>
      <c r="C80">
        <v>-2.4699401246664365</v>
      </c>
    </row>
    <row r="81" spans="2:3" x14ac:dyDescent="0.35">
      <c r="B81">
        <v>3.0723103153791778</v>
      </c>
      <c r="C81">
        <v>-0.1654545491988586</v>
      </c>
    </row>
    <row r="82" spans="2:3" x14ac:dyDescent="0.35">
      <c r="B82">
        <v>-3.975215986303946</v>
      </c>
      <c r="C82">
        <v>-2.0371665505334162</v>
      </c>
    </row>
    <row r="83" spans="2:3" x14ac:dyDescent="0.35">
      <c r="B83">
        <v>-7.3677752427807643</v>
      </c>
      <c r="C83">
        <v>-4.4123648092390422</v>
      </c>
    </row>
    <row r="84" spans="2:3" x14ac:dyDescent="0.35">
      <c r="B84">
        <v>-1.0095659018346264</v>
      </c>
      <c r="C84">
        <v>-1.716934422513116</v>
      </c>
    </row>
    <row r="85" spans="2:3" x14ac:dyDescent="0.35">
      <c r="B85">
        <v>-0.84557806761664711</v>
      </c>
      <c r="C85">
        <v>-2.2979006601034011</v>
      </c>
    </row>
    <row r="86" spans="2:3" x14ac:dyDescent="0.35">
      <c r="B86">
        <v>0.60490170215810846</v>
      </c>
      <c r="C86">
        <v>1.1784639305182325</v>
      </c>
    </row>
    <row r="87" spans="2:3" x14ac:dyDescent="0.35">
      <c r="B87">
        <v>-3.7691211686090553</v>
      </c>
      <c r="C87">
        <v>-1.3036104440095029</v>
      </c>
    </row>
    <row r="88" spans="2:3" x14ac:dyDescent="0.35">
      <c r="B88">
        <v>-0.60797921425301304</v>
      </c>
      <c r="C88">
        <v>-2.4988596965234562</v>
      </c>
    </row>
    <row r="89" spans="2:3" x14ac:dyDescent="0.35">
      <c r="B89">
        <v>-0.84557806761664711</v>
      </c>
      <c r="C89">
        <v>-0.3413597805768569</v>
      </c>
    </row>
    <row r="90" spans="2:3" x14ac:dyDescent="0.35">
      <c r="B90">
        <v>-0.4651310858310822</v>
      </c>
      <c r="C90">
        <v>-7.8612126057789347E-2</v>
      </c>
    </row>
    <row r="91" spans="2:3" x14ac:dyDescent="0.35">
      <c r="B91">
        <v>1.9744107177324621</v>
      </c>
      <c r="C91">
        <v>-0.28070558235002346</v>
      </c>
    </row>
    <row r="92" spans="2:3" x14ac:dyDescent="0.35">
      <c r="B92">
        <v>-7.1960527130207819</v>
      </c>
      <c r="C92">
        <v>-4.7150473113627545</v>
      </c>
    </row>
    <row r="93" spans="2:3" x14ac:dyDescent="0.35">
      <c r="B93">
        <v>-4.1402658292489125</v>
      </c>
      <c r="C93">
        <v>-1.4039710160450594</v>
      </c>
    </row>
    <row r="94" spans="2:3" x14ac:dyDescent="0.35">
      <c r="B94">
        <v>-7.6859537522979497</v>
      </c>
      <c r="C94">
        <v>-4.5828118723698212</v>
      </c>
    </row>
    <row r="95" spans="2:3" x14ac:dyDescent="0.35">
      <c r="B95">
        <v>-2.5069771975852806</v>
      </c>
      <c r="C95">
        <v>-0.72723111548831409</v>
      </c>
    </row>
    <row r="96" spans="2:3" x14ac:dyDescent="0.35">
      <c r="B96">
        <v>-1.2238129803767399</v>
      </c>
      <c r="C96">
        <v>-0.16736314403081246</v>
      </c>
    </row>
    <row r="97" spans="2:3" x14ac:dyDescent="0.35">
      <c r="B97">
        <v>1.7498651328289132</v>
      </c>
      <c r="C97">
        <v>-1.3531527829657506</v>
      </c>
    </row>
    <row r="98" spans="2:3" x14ac:dyDescent="0.35">
      <c r="B98">
        <v>-6.219273330396649</v>
      </c>
      <c r="C98">
        <v>-2.4269489695605939</v>
      </c>
    </row>
    <row r="99" spans="2:3" x14ac:dyDescent="0.35">
      <c r="B99">
        <v>-0.84557806761664711</v>
      </c>
      <c r="C99">
        <v>-2.2496376429822611</v>
      </c>
    </row>
    <row r="100" spans="2:3" x14ac:dyDescent="0.35">
      <c r="B100">
        <v>-2.9917639168648642</v>
      </c>
      <c r="C100">
        <v>-0.60689845945550935</v>
      </c>
    </row>
    <row r="101" spans="2:3" x14ac:dyDescent="0.35">
      <c r="B101">
        <v>-2.1768888418896375</v>
      </c>
      <c r="C101">
        <v>-1.2702511152285196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0197B-84F4-4480-8D46-FC411D6BCB86}">
  <sheetPr codeName="XLSTAT_20210923_105258_1_HID2"/>
  <dimension ref="B2:C101"/>
  <sheetViews>
    <sheetView workbookViewId="0">
      <selection activeCell="B2" sqref="B2"/>
    </sheetView>
  </sheetViews>
  <sheetFormatPr defaultRowHeight="14.5" x14ac:dyDescent="0.35"/>
  <sheetData>
    <row r="2" spans="2:3" x14ac:dyDescent="0.35">
      <c r="B2">
        <v>-1.1578226740187438E-2</v>
      </c>
      <c r="C2">
        <v>6.7234191721343844E-2</v>
      </c>
    </row>
    <row r="3" spans="2:3" x14ac:dyDescent="0.35">
      <c r="B3">
        <v>-1.8504743300883985E-2</v>
      </c>
      <c r="C3">
        <v>1.1119683255315482E-2</v>
      </c>
    </row>
    <row r="4" spans="2:3" x14ac:dyDescent="0.35">
      <c r="B4">
        <v>-0.10072511055180627</v>
      </c>
      <c r="C4">
        <v>5.9950417723186114E-2</v>
      </c>
    </row>
    <row r="5" spans="2:3" x14ac:dyDescent="0.35">
      <c r="B5">
        <v>-2.2668171330960087E-2</v>
      </c>
      <c r="C5">
        <v>9.6022405365827943E-2</v>
      </c>
    </row>
    <row r="6" spans="2:3" x14ac:dyDescent="0.35">
      <c r="B6">
        <v>-4.3999619999588166E-2</v>
      </c>
      <c r="C6">
        <v>0.11968401789503845</v>
      </c>
    </row>
    <row r="7" spans="2:3" x14ac:dyDescent="0.35">
      <c r="B7">
        <v>1.4164334739341851E-2</v>
      </c>
      <c r="C7">
        <v>7.7727466269633727E-2</v>
      </c>
    </row>
    <row r="8" spans="2:3" x14ac:dyDescent="0.35">
      <c r="B8">
        <v>4.245681372214459E-2</v>
      </c>
      <c r="C8">
        <v>2.3707590433613625E-2</v>
      </c>
    </row>
    <row r="9" spans="2:3" x14ac:dyDescent="0.35">
      <c r="B9">
        <v>-8.8930144596253841E-3</v>
      </c>
      <c r="C9">
        <v>0.10071889189622309</v>
      </c>
    </row>
    <row r="10" spans="2:3" x14ac:dyDescent="0.35">
      <c r="B10">
        <v>2.5401643100977332E-3</v>
      </c>
      <c r="C10">
        <v>-3.3342942779772764E-3</v>
      </c>
    </row>
    <row r="11" spans="2:3" x14ac:dyDescent="0.35">
      <c r="B11">
        <v>-5.9123883694172524E-4</v>
      </c>
      <c r="C11">
        <v>4.0969167772665689E-2</v>
      </c>
    </row>
    <row r="12" spans="2:3" x14ac:dyDescent="0.35">
      <c r="B12">
        <v>5.9529189532412242E-2</v>
      </c>
      <c r="C12">
        <v>7.6959896986849219E-3</v>
      </c>
    </row>
    <row r="13" spans="2:3" x14ac:dyDescent="0.35">
      <c r="B13">
        <v>2.2783417773094814E-2</v>
      </c>
      <c r="C13">
        <v>3.1909144699545221E-2</v>
      </c>
    </row>
    <row r="14" spans="2:3" x14ac:dyDescent="0.35">
      <c r="B14">
        <v>4.4647636198634828E-2</v>
      </c>
      <c r="C14">
        <v>6.9104187434355202E-2</v>
      </c>
    </row>
    <row r="15" spans="2:3" x14ac:dyDescent="0.35">
      <c r="B15">
        <v>9.1439290630983591E-2</v>
      </c>
      <c r="C15">
        <v>0.10561414340062397</v>
      </c>
    </row>
    <row r="16" spans="2:3" x14ac:dyDescent="0.35">
      <c r="B16">
        <v>-1.8365078131606961E-3</v>
      </c>
      <c r="C16">
        <v>4.9350189227846113E-2</v>
      </c>
    </row>
    <row r="17" spans="2:3" x14ac:dyDescent="0.35">
      <c r="B17">
        <v>-6.8761849961137197E-2</v>
      </c>
      <c r="C17">
        <v>1.4491790367736061E-2</v>
      </c>
    </row>
    <row r="18" spans="2:3" x14ac:dyDescent="0.35">
      <c r="B18">
        <v>-3.7273066635751841E-2</v>
      </c>
      <c r="C18">
        <v>0.17858732641177644</v>
      </c>
    </row>
    <row r="19" spans="2:3" x14ac:dyDescent="0.35">
      <c r="B19">
        <v>4.9237667238345127E-2</v>
      </c>
      <c r="C19">
        <v>8.9945784834556198E-5</v>
      </c>
    </row>
    <row r="20" spans="2:3" x14ac:dyDescent="0.35">
      <c r="B20">
        <v>3.960417678648212E-2</v>
      </c>
      <c r="C20">
        <v>3.6329206299892884E-2</v>
      </c>
    </row>
    <row r="21" spans="2:3" x14ac:dyDescent="0.35">
      <c r="B21">
        <v>8.0537027868580024E-2</v>
      </c>
      <c r="C21">
        <v>8.3570984289670455E-2</v>
      </c>
    </row>
    <row r="22" spans="2:3" x14ac:dyDescent="0.35">
      <c r="B22">
        <v>3.8700468416278326E-2</v>
      </c>
      <c r="C22">
        <v>2.9224171368203659E-2</v>
      </c>
    </row>
    <row r="23" spans="2:3" x14ac:dyDescent="0.35">
      <c r="B23">
        <v>6.9100478457110245E-2</v>
      </c>
      <c r="C23">
        <v>-3.0228728827359141E-3</v>
      </c>
    </row>
    <row r="24" spans="2:3" x14ac:dyDescent="0.35">
      <c r="B24">
        <v>4.223859951988343E-2</v>
      </c>
      <c r="C24">
        <v>-2.0905307388005079E-3</v>
      </c>
    </row>
    <row r="25" spans="2:3" x14ac:dyDescent="0.35">
      <c r="B25">
        <v>-3.8242831877722192E-2</v>
      </c>
      <c r="C25">
        <v>0.1192407362310295</v>
      </c>
    </row>
    <row r="26" spans="2:3" x14ac:dyDescent="0.35">
      <c r="B26">
        <v>6.2582666785410079E-2</v>
      </c>
      <c r="C26">
        <v>8.9623206843088249E-2</v>
      </c>
    </row>
    <row r="27" spans="2:3" x14ac:dyDescent="0.35">
      <c r="B27">
        <v>6.930941052026332E-2</v>
      </c>
      <c r="C27">
        <v>6.791932624847595E-2</v>
      </c>
    </row>
    <row r="28" spans="2:3" x14ac:dyDescent="0.35">
      <c r="B28">
        <v>-0.11563718336685712</v>
      </c>
      <c r="C28">
        <v>2.0435945559038025E-2</v>
      </c>
    </row>
    <row r="29" spans="2:3" x14ac:dyDescent="0.35">
      <c r="B29">
        <v>5.3569210295512655E-2</v>
      </c>
      <c r="C29">
        <v>5.0616196877170026E-2</v>
      </c>
    </row>
    <row r="30" spans="2:3" x14ac:dyDescent="0.35">
      <c r="B30">
        <v>-1.1359398748488415E-3</v>
      </c>
      <c r="C30">
        <v>9.2078858830142732E-2</v>
      </c>
    </row>
    <row r="31" spans="2:3" x14ac:dyDescent="0.35">
      <c r="B31">
        <v>-7.4905119818763119E-2</v>
      </c>
      <c r="C31">
        <v>0.10167413165791842</v>
      </c>
    </row>
    <row r="32" spans="2:3" x14ac:dyDescent="0.35">
      <c r="B32">
        <v>6.815015336166004E-2</v>
      </c>
      <c r="C32">
        <v>3.5575844554821302E-2</v>
      </c>
    </row>
    <row r="33" spans="2:3" x14ac:dyDescent="0.35">
      <c r="B33">
        <v>-0.12426231665502223</v>
      </c>
      <c r="C33">
        <v>1.3395037169403363E-2</v>
      </c>
    </row>
    <row r="34" spans="2:3" x14ac:dyDescent="0.35">
      <c r="B34">
        <v>-4.6274319119110244E-2</v>
      </c>
      <c r="C34">
        <v>8.7807940701100984E-2</v>
      </c>
    </row>
    <row r="35" spans="2:3" x14ac:dyDescent="0.35">
      <c r="B35">
        <v>5.6881467000104637E-2</v>
      </c>
      <c r="C35">
        <v>5.7950754125058686E-2</v>
      </c>
    </row>
    <row r="36" spans="2:3" x14ac:dyDescent="0.35">
      <c r="B36">
        <v>-0.11202778651122136</v>
      </c>
      <c r="C36">
        <v>2.9119261901596478E-2</v>
      </c>
    </row>
    <row r="37" spans="2:3" x14ac:dyDescent="0.35">
      <c r="B37">
        <v>6.410407254046864E-2</v>
      </c>
      <c r="C37">
        <v>5.9495577618341913E-2</v>
      </c>
    </row>
    <row r="38" spans="2:3" x14ac:dyDescent="0.35">
      <c r="B38">
        <v>-0.1121877107132019</v>
      </c>
      <c r="C38">
        <v>1.3703269351575878E-2</v>
      </c>
    </row>
    <row r="39" spans="2:3" x14ac:dyDescent="0.35">
      <c r="B39">
        <v>0.14657113907550487</v>
      </c>
      <c r="C39">
        <v>8.6813308104563298E-3</v>
      </c>
    </row>
    <row r="40" spans="2:3" x14ac:dyDescent="0.35">
      <c r="B40">
        <v>9.2169017234616013E-2</v>
      </c>
      <c r="C40">
        <v>3.2910153560813528E-3</v>
      </c>
    </row>
    <row r="41" spans="2:3" x14ac:dyDescent="0.35">
      <c r="B41">
        <v>-0.11399968889274592</v>
      </c>
      <c r="C41">
        <v>1.1329386344498543E-2</v>
      </c>
    </row>
    <row r="42" spans="2:3" x14ac:dyDescent="0.35">
      <c r="B42">
        <v>-4.4020340208674041E-2</v>
      </c>
      <c r="C42">
        <v>0.11285949342247155</v>
      </c>
    </row>
    <row r="43" spans="2:3" x14ac:dyDescent="0.35">
      <c r="B43">
        <v>2.3954485249543689E-2</v>
      </c>
      <c r="C43">
        <v>3.3222460555505512E-2</v>
      </c>
    </row>
    <row r="44" spans="2:3" x14ac:dyDescent="0.35">
      <c r="B44">
        <v>0.11324470224416316</v>
      </c>
      <c r="C44">
        <v>2.5618507149514334E-2</v>
      </c>
    </row>
    <row r="45" spans="2:3" x14ac:dyDescent="0.35">
      <c r="B45">
        <v>8.1175459960657573E-2</v>
      </c>
      <c r="C45">
        <v>-3.8692399422665405E-2</v>
      </c>
    </row>
    <row r="46" spans="2:3" x14ac:dyDescent="0.35">
      <c r="B46">
        <v>-6.2732591133559057E-2</v>
      </c>
      <c r="C46">
        <v>2.9690566691412491E-2</v>
      </c>
    </row>
    <row r="47" spans="2:3" x14ac:dyDescent="0.35">
      <c r="B47">
        <v>6.2334731398783932E-4</v>
      </c>
      <c r="C47">
        <v>-3.542794659328637E-3</v>
      </c>
    </row>
    <row r="48" spans="2:3" x14ac:dyDescent="0.35">
      <c r="B48">
        <v>-8.0733893104736471E-2</v>
      </c>
      <c r="C48">
        <v>-6.598175832653437E-2</v>
      </c>
    </row>
    <row r="49" spans="2:3" x14ac:dyDescent="0.35">
      <c r="B49">
        <v>-6.7922017759951547E-2</v>
      </c>
      <c r="C49">
        <v>-5.4792970467214604E-2</v>
      </c>
    </row>
    <row r="50" spans="2:3" x14ac:dyDescent="0.35">
      <c r="B50">
        <v>-1.389072533450628E-2</v>
      </c>
      <c r="C50">
        <v>-5.1469251628512978E-2</v>
      </c>
    </row>
    <row r="51" spans="2:3" x14ac:dyDescent="0.35">
      <c r="B51">
        <v>8.0316942889007134E-2</v>
      </c>
      <c r="C51">
        <v>2.3427170596820028E-2</v>
      </c>
    </row>
    <row r="52" spans="2:3" x14ac:dyDescent="0.35">
      <c r="B52">
        <v>6.5003088296758313E-2</v>
      </c>
      <c r="C52">
        <v>-6.1322655292133266E-2</v>
      </c>
    </row>
    <row r="53" spans="2:3" x14ac:dyDescent="0.35">
      <c r="B53">
        <v>-6.9979120404001519E-2</v>
      </c>
      <c r="C53">
        <v>-7.9300350443916534E-2</v>
      </c>
    </row>
    <row r="54" spans="2:3" x14ac:dyDescent="0.35">
      <c r="B54">
        <v>-5.6071129150961588E-2</v>
      </c>
      <c r="C54">
        <v>-2.6637529783434481E-2</v>
      </c>
    </row>
    <row r="55" spans="2:3" x14ac:dyDescent="0.35">
      <c r="B55">
        <v>9.9833804369902579E-2</v>
      </c>
      <c r="C55">
        <v>8.2761653856453822E-3</v>
      </c>
    </row>
    <row r="56" spans="2:3" x14ac:dyDescent="0.35">
      <c r="B56">
        <v>-8.1777644095344257E-2</v>
      </c>
      <c r="C56">
        <v>-6.0294338720612441E-2</v>
      </c>
    </row>
    <row r="57" spans="2:3" x14ac:dyDescent="0.35">
      <c r="B57">
        <v>0.11238151817565659</v>
      </c>
      <c r="C57">
        <v>-3.9854471823913266E-2</v>
      </c>
    </row>
    <row r="58" spans="2:3" x14ac:dyDescent="0.35">
      <c r="B58">
        <v>8.3219359216873234E-2</v>
      </c>
      <c r="C58">
        <v>-6.873745351585174E-2</v>
      </c>
    </row>
    <row r="59" spans="2:3" x14ac:dyDescent="0.35">
      <c r="B59">
        <v>-6.6173768408446479E-2</v>
      </c>
      <c r="C59">
        <v>-8.5475851645792522E-2</v>
      </c>
    </row>
    <row r="60" spans="2:3" x14ac:dyDescent="0.35">
      <c r="B60">
        <v>-4.2322807893225574E-2</v>
      </c>
      <c r="C60">
        <v>-5.0795839594197707E-2</v>
      </c>
    </row>
    <row r="61" spans="2:3" x14ac:dyDescent="0.35">
      <c r="B61">
        <v>-6.9472195789774593E-2</v>
      </c>
      <c r="C61">
        <v>-5.422081078599221E-2</v>
      </c>
    </row>
    <row r="62" spans="2:3" x14ac:dyDescent="0.35">
      <c r="B62">
        <v>-3.1576603554707205E-2</v>
      </c>
      <c r="C62">
        <v>-3.9795358564540625E-2</v>
      </c>
    </row>
    <row r="63" spans="2:3" x14ac:dyDescent="0.35">
      <c r="B63">
        <v>8.0297381685988205E-4</v>
      </c>
      <c r="C63">
        <v>-3.5952048647104252E-2</v>
      </c>
    </row>
    <row r="64" spans="2:3" x14ac:dyDescent="0.35">
      <c r="B64">
        <v>-6.5440259712218202E-2</v>
      </c>
      <c r="C64">
        <v>-4.7414367085521214E-2</v>
      </c>
    </row>
    <row r="65" spans="2:3" x14ac:dyDescent="0.35">
      <c r="B65">
        <v>1.4767377357598132E-2</v>
      </c>
      <c r="C65">
        <v>-6.8501800162860185E-2</v>
      </c>
    </row>
    <row r="66" spans="2:3" x14ac:dyDescent="0.35">
      <c r="B66">
        <v>-2.845213448431021E-2</v>
      </c>
      <c r="C66">
        <v>-6.6783087383675346E-2</v>
      </c>
    </row>
    <row r="67" spans="2:3" x14ac:dyDescent="0.35">
      <c r="B67">
        <v>0.1150054232423964</v>
      </c>
      <c r="C67">
        <v>-2.9337567234968723E-2</v>
      </c>
    </row>
    <row r="68" spans="2:3" x14ac:dyDescent="0.35">
      <c r="B68">
        <v>-1.9537419774477302E-2</v>
      </c>
      <c r="C68">
        <v>-5.1510985594730073E-2</v>
      </c>
    </row>
    <row r="69" spans="2:3" x14ac:dyDescent="0.35">
      <c r="B69">
        <v>-3.6550964116114304E-2</v>
      </c>
      <c r="C69">
        <v>-2.8410476451934383E-2</v>
      </c>
    </row>
    <row r="70" spans="2:3" x14ac:dyDescent="0.35">
      <c r="B70">
        <v>0.106140109892107</v>
      </c>
      <c r="C70">
        <v>-7.2483181631457935E-2</v>
      </c>
    </row>
    <row r="71" spans="2:3" x14ac:dyDescent="0.35">
      <c r="B71">
        <v>8.5003981323574673E-2</v>
      </c>
      <c r="C71">
        <v>-4.8846759353328911E-2</v>
      </c>
    </row>
    <row r="72" spans="2:3" x14ac:dyDescent="0.35">
      <c r="B72">
        <v>-0.10071079834540049</v>
      </c>
      <c r="C72">
        <v>-2.3767013432108543E-2</v>
      </c>
    </row>
    <row r="73" spans="2:3" x14ac:dyDescent="0.35">
      <c r="B73">
        <v>-6.7501029185215625E-2</v>
      </c>
      <c r="C73">
        <v>-1.8582197793822659E-2</v>
      </c>
    </row>
    <row r="74" spans="2:3" x14ac:dyDescent="0.35">
      <c r="B74">
        <v>-2.8001843273441497E-2</v>
      </c>
      <c r="C74">
        <v>-4.6702028128054948E-2</v>
      </c>
    </row>
    <row r="75" spans="2:3" x14ac:dyDescent="0.35">
      <c r="B75">
        <v>-5.6618045094956368E-2</v>
      </c>
      <c r="C75">
        <v>-8.6091272796497073E-2</v>
      </c>
    </row>
    <row r="76" spans="2:3" x14ac:dyDescent="0.35">
      <c r="B76">
        <v>-5.4783957848155769E-2</v>
      </c>
      <c r="C76">
        <v>-8.2048837075710215E-2</v>
      </c>
    </row>
    <row r="77" spans="2:3" x14ac:dyDescent="0.35">
      <c r="B77">
        <v>6.7774661752367946E-2</v>
      </c>
      <c r="C77">
        <v>-3.0985708364044587E-2</v>
      </c>
    </row>
    <row r="78" spans="2:3" x14ac:dyDescent="0.35">
      <c r="B78">
        <v>0.10843169398462517</v>
      </c>
      <c r="C78">
        <v>-4.6829277885416756E-2</v>
      </c>
    </row>
    <row r="79" spans="2:3" x14ac:dyDescent="0.35">
      <c r="B79">
        <v>-6.2164885772020742E-2</v>
      </c>
      <c r="C79">
        <v>-1.982633042575915E-2</v>
      </c>
    </row>
    <row r="80" spans="2:3" x14ac:dyDescent="0.35">
      <c r="B80">
        <v>2.1294907162616696E-2</v>
      </c>
      <c r="C80">
        <v>-8.9800953156491836E-2</v>
      </c>
    </row>
    <row r="81" spans="2:3" x14ac:dyDescent="0.35">
      <c r="B81">
        <v>0.10339181192509644</v>
      </c>
      <c r="C81">
        <v>-8.4921570435275928E-2</v>
      </c>
    </row>
    <row r="82" spans="2:3" x14ac:dyDescent="0.35">
      <c r="B82">
        <v>-4.1592458173903113E-2</v>
      </c>
      <c r="C82">
        <v>-6.3747593340345174E-2</v>
      </c>
    </row>
    <row r="83" spans="2:3" x14ac:dyDescent="0.35">
      <c r="B83">
        <v>-5.1019952393551442E-2</v>
      </c>
      <c r="C83">
        <v>-0.15255389148503509</v>
      </c>
    </row>
    <row r="84" spans="2:3" x14ac:dyDescent="0.35">
      <c r="B84">
        <v>3.8557111353468163E-2</v>
      </c>
      <c r="C84">
        <v>-6.9161722759906299E-2</v>
      </c>
    </row>
    <row r="85" spans="2:3" x14ac:dyDescent="0.35">
      <c r="B85">
        <v>6.7503702781230607E-2</v>
      </c>
      <c r="C85">
        <v>-5.5618172652094081E-2</v>
      </c>
    </row>
    <row r="86" spans="2:3" x14ac:dyDescent="0.35">
      <c r="B86">
        <v>-2.9233379524874509E-2</v>
      </c>
      <c r="C86">
        <v>-2.9990616660353606E-2</v>
      </c>
    </row>
    <row r="87" spans="2:3" x14ac:dyDescent="0.35">
      <c r="B87">
        <v>-6.5149138166949117E-2</v>
      </c>
      <c r="C87">
        <v>-0.15309119724096723</v>
      </c>
    </row>
    <row r="88" spans="2:3" x14ac:dyDescent="0.35">
      <c r="B88">
        <v>8.3204540013830181E-2</v>
      </c>
      <c r="C88">
        <v>-6.9551505309337125E-2</v>
      </c>
    </row>
    <row r="89" spans="2:3" x14ac:dyDescent="0.35">
      <c r="B89">
        <v>-1.2613288789930184E-2</v>
      </c>
      <c r="C89">
        <v>-1.2602262080296214E-2</v>
      </c>
    </row>
    <row r="90" spans="2:3" x14ac:dyDescent="0.35">
      <c r="B90">
        <v>-1.1408216524422258E-2</v>
      </c>
      <c r="C90">
        <v>-7.7260827386818443E-2</v>
      </c>
    </row>
    <row r="91" spans="2:3" x14ac:dyDescent="0.35">
      <c r="B91">
        <v>7.3584855805220936E-2</v>
      </c>
      <c r="C91">
        <v>-6.9053045308958838E-2</v>
      </c>
    </row>
    <row r="92" spans="2:3" x14ac:dyDescent="0.35">
      <c r="B92">
        <v>-3.3225364919184888E-2</v>
      </c>
      <c r="C92">
        <v>-0.11408212721325672</v>
      </c>
    </row>
    <row r="93" spans="2:3" x14ac:dyDescent="0.35">
      <c r="B93">
        <v>-7.2711147290639419E-2</v>
      </c>
      <c r="C93">
        <v>-7.5345934917543878E-2</v>
      </c>
    </row>
    <row r="94" spans="2:3" x14ac:dyDescent="0.35">
      <c r="B94">
        <v>-5.4046382569820528E-2</v>
      </c>
      <c r="C94">
        <v>-0.14535424692256957</v>
      </c>
    </row>
    <row r="95" spans="2:3" x14ac:dyDescent="0.35">
      <c r="B95">
        <v>-4.9059505962106058E-2</v>
      </c>
      <c r="C95">
        <v>-0.11553749715734385</v>
      </c>
    </row>
    <row r="96" spans="2:3" x14ac:dyDescent="0.35">
      <c r="B96">
        <v>-3.1632726093458588E-2</v>
      </c>
      <c r="C96">
        <v>-5.7925602698078088E-2</v>
      </c>
    </row>
    <row r="97" spans="2:3" x14ac:dyDescent="0.35">
      <c r="B97">
        <v>0.11043831253684494</v>
      </c>
      <c r="C97">
        <v>-4.073643390252393E-3</v>
      </c>
    </row>
    <row r="98" spans="2:3" x14ac:dyDescent="0.35">
      <c r="B98">
        <v>-9.6201715411247946E-2</v>
      </c>
      <c r="C98">
        <v>-0.17867148807703759</v>
      </c>
    </row>
    <row r="99" spans="2:3" x14ac:dyDescent="0.35">
      <c r="B99">
        <v>6.5527415049982787E-2</v>
      </c>
      <c r="C99">
        <v>-4.1965463988470696E-2</v>
      </c>
    </row>
    <row r="100" spans="2:3" x14ac:dyDescent="0.35">
      <c r="B100">
        <v>-6.9232292075859514E-2</v>
      </c>
      <c r="C100">
        <v>-0.10037786791867785</v>
      </c>
    </row>
    <row r="101" spans="2:3" x14ac:dyDescent="0.35">
      <c r="B101">
        <v>-1.6443288008457426E-2</v>
      </c>
      <c r="C101">
        <v>-9.7331408360112018E-2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0EF8D-C650-4B02-95AA-5F5568991003}">
  <sheetPr codeName="XLSTAT_20210923_105258_1_HID1"/>
  <dimension ref="B2:C101"/>
  <sheetViews>
    <sheetView workbookViewId="0">
      <selection activeCell="B2" sqref="B2"/>
    </sheetView>
  </sheetViews>
  <sheetFormatPr defaultRowHeight="14.5" x14ac:dyDescent="0.35"/>
  <sheetData>
    <row r="2" spans="2:3" x14ac:dyDescent="0.35">
      <c r="B2">
        <v>-0.36817541527499825</v>
      </c>
      <c r="C2">
        <v>1.1114532410995426</v>
      </c>
    </row>
    <row r="3" spans="2:3" x14ac:dyDescent="0.35">
      <c r="B3">
        <v>-0.58843134637471339</v>
      </c>
      <c r="C3">
        <v>0.18382028068907794</v>
      </c>
    </row>
    <row r="4" spans="2:3" x14ac:dyDescent="0.35">
      <c r="B4">
        <v>-3.2029524242527514</v>
      </c>
      <c r="C4">
        <v>0.99104465120763796</v>
      </c>
    </row>
    <row r="5" spans="2:3" x14ac:dyDescent="0.35">
      <c r="B5">
        <v>-0.72082397249424834</v>
      </c>
      <c r="C5">
        <v>1.5873532637136376</v>
      </c>
    </row>
    <row r="6" spans="2:3" x14ac:dyDescent="0.35">
      <c r="B6">
        <v>-1.399141572263616</v>
      </c>
      <c r="C6">
        <v>1.9785050759378318</v>
      </c>
    </row>
    <row r="7" spans="2:3" x14ac:dyDescent="0.35">
      <c r="B7">
        <v>0.45041092576382263</v>
      </c>
      <c r="C7">
        <v>1.2849183145666445</v>
      </c>
    </row>
    <row r="8" spans="2:3" x14ac:dyDescent="0.35">
      <c r="B8">
        <v>1.3500819576410172</v>
      </c>
      <c r="C8">
        <v>0.3919118762564891</v>
      </c>
    </row>
    <row r="9" spans="2:3" x14ac:dyDescent="0.35">
      <c r="B9">
        <v>-0.28278849302152592</v>
      </c>
      <c r="C9">
        <v>1.664991219080489</v>
      </c>
    </row>
    <row r="10" spans="2:3" x14ac:dyDescent="0.35">
      <c r="B10">
        <v>8.0774549568185625E-2</v>
      </c>
      <c r="C10">
        <v>-5.5119457632462947E-2</v>
      </c>
    </row>
    <row r="11" spans="2:3" x14ac:dyDescent="0.35">
      <c r="B11">
        <v>-1.8800772277344665E-2</v>
      </c>
      <c r="C11">
        <v>0.67726424814927588</v>
      </c>
    </row>
    <row r="12" spans="2:3" x14ac:dyDescent="0.35">
      <c r="B12">
        <v>1.892965526491766</v>
      </c>
      <c r="C12">
        <v>0.12722295717517523</v>
      </c>
    </row>
    <row r="13" spans="2:3" x14ac:dyDescent="0.35">
      <c r="B13">
        <v>0.72448868796787469</v>
      </c>
      <c r="C13">
        <v>0.52749235751970991</v>
      </c>
    </row>
    <row r="14" spans="2:3" x14ac:dyDescent="0.35">
      <c r="B14">
        <v>1.4197478048536911</v>
      </c>
      <c r="C14">
        <v>1.1423662742283238</v>
      </c>
    </row>
    <row r="15" spans="2:3" x14ac:dyDescent="0.35">
      <c r="B15">
        <v>2.9076731312975337</v>
      </c>
      <c r="C15">
        <v>1.7459149724753937</v>
      </c>
    </row>
    <row r="16" spans="2:3" x14ac:dyDescent="0.35">
      <c r="B16">
        <v>-5.8399014109760998E-2</v>
      </c>
      <c r="C16">
        <v>0.81581151437792543</v>
      </c>
    </row>
    <row r="17" spans="2:3" x14ac:dyDescent="0.35">
      <c r="B17">
        <v>-2.1865544035898687</v>
      </c>
      <c r="C17">
        <v>0.23956482499725126</v>
      </c>
    </row>
    <row r="18" spans="2:3" x14ac:dyDescent="0.35">
      <c r="B18">
        <v>-1.1852442602077127</v>
      </c>
      <c r="C18">
        <v>2.9522398898216951</v>
      </c>
    </row>
    <row r="19" spans="2:3" x14ac:dyDescent="0.35">
      <c r="B19">
        <v>1.5657059573490804</v>
      </c>
      <c r="C19">
        <v>1.4869002142829867E-3</v>
      </c>
    </row>
    <row r="20" spans="2:3" x14ac:dyDescent="0.35">
      <c r="B20">
        <v>1.2593711076996448</v>
      </c>
      <c r="C20">
        <v>0.60056071256035637</v>
      </c>
    </row>
    <row r="21" spans="2:3" x14ac:dyDescent="0.35">
      <c r="B21">
        <v>2.560992658539742</v>
      </c>
      <c r="C21">
        <v>1.3815179296808038</v>
      </c>
    </row>
    <row r="22" spans="2:3" x14ac:dyDescent="0.35">
      <c r="B22">
        <v>1.2306341333810811</v>
      </c>
      <c r="C22">
        <v>0.48310687098402422</v>
      </c>
    </row>
    <row r="23" spans="2:3" x14ac:dyDescent="0.35">
      <c r="B23">
        <v>2.1973224330927015</v>
      </c>
      <c r="C23">
        <v>-4.9971328232420308E-2</v>
      </c>
    </row>
    <row r="24" spans="2:3" x14ac:dyDescent="0.35">
      <c r="B24">
        <v>1.3431429758487929</v>
      </c>
      <c r="C24">
        <v>-3.4558713442827488E-2</v>
      </c>
    </row>
    <row r="25" spans="2:3" x14ac:dyDescent="0.35">
      <c r="B25">
        <v>-1.2160817734723659</v>
      </c>
      <c r="C25">
        <v>1.9711771549861721</v>
      </c>
    </row>
    <row r="26" spans="2:3" x14ac:dyDescent="0.35">
      <c r="B26">
        <v>1.9900628869842105</v>
      </c>
      <c r="C26">
        <v>1.4815676543912819</v>
      </c>
    </row>
    <row r="27" spans="2:3" x14ac:dyDescent="0.35">
      <c r="B27">
        <v>2.2039662526379384</v>
      </c>
      <c r="C27">
        <v>1.1227792490617747</v>
      </c>
    </row>
    <row r="28" spans="2:3" x14ac:dyDescent="0.35">
      <c r="B28">
        <v>-3.6771406332498984</v>
      </c>
      <c r="C28">
        <v>0.3378280804008843</v>
      </c>
    </row>
    <row r="29" spans="2:3" x14ac:dyDescent="0.35">
      <c r="B29">
        <v>1.7034444642586775</v>
      </c>
      <c r="C29">
        <v>0.83673997754633411</v>
      </c>
    </row>
    <row r="30" spans="2:3" x14ac:dyDescent="0.35">
      <c r="B30">
        <v>-3.6121691562513936E-2</v>
      </c>
      <c r="C30">
        <v>1.5221622133522368</v>
      </c>
    </row>
    <row r="31" spans="2:3" x14ac:dyDescent="0.35">
      <c r="B31">
        <v>-2.3819039145065282</v>
      </c>
      <c r="C31">
        <v>1.6807823560300299</v>
      </c>
    </row>
    <row r="32" spans="2:3" x14ac:dyDescent="0.35">
      <c r="B32">
        <v>2.1671030960115578</v>
      </c>
      <c r="C32">
        <v>0.58810683556945609</v>
      </c>
    </row>
    <row r="33" spans="2:3" x14ac:dyDescent="0.35">
      <c r="B33">
        <v>-3.9514107871716719</v>
      </c>
      <c r="C33">
        <v>0.22143431928632751</v>
      </c>
    </row>
    <row r="34" spans="2:3" x14ac:dyDescent="0.35">
      <c r="B34">
        <v>-1.4714746083794863</v>
      </c>
      <c r="C34">
        <v>1.4515593597228191</v>
      </c>
    </row>
    <row r="35" spans="2:3" x14ac:dyDescent="0.35">
      <c r="B35">
        <v>1.8087707387457506</v>
      </c>
      <c r="C35">
        <v>0.95798806897848099</v>
      </c>
    </row>
    <row r="36" spans="2:3" x14ac:dyDescent="0.35">
      <c r="B36">
        <v>-3.5623656149300849</v>
      </c>
      <c r="C36">
        <v>0.48137260507411583</v>
      </c>
    </row>
    <row r="37" spans="2:3" x14ac:dyDescent="0.35">
      <c r="B37">
        <v>2.0384419875356126</v>
      </c>
      <c r="C37">
        <v>0.98352565684229543</v>
      </c>
    </row>
    <row r="38" spans="2:3" x14ac:dyDescent="0.35">
      <c r="B38">
        <v>-3.5674510361088165</v>
      </c>
      <c r="C38">
        <v>0.22652972757660181</v>
      </c>
    </row>
    <row r="39" spans="2:3" x14ac:dyDescent="0.35">
      <c r="B39">
        <v>4.660807842806153</v>
      </c>
      <c r="C39">
        <v>0.1435117016997754</v>
      </c>
    </row>
    <row r="40" spans="2:3" x14ac:dyDescent="0.35">
      <c r="B40">
        <v>2.9308776686898659</v>
      </c>
      <c r="C40">
        <v>5.4404010673393642E-2</v>
      </c>
    </row>
    <row r="41" spans="2:3" x14ac:dyDescent="0.35">
      <c r="B41">
        <v>-3.6250700337060304</v>
      </c>
      <c r="C41">
        <v>0.18728689748291244</v>
      </c>
    </row>
    <row r="42" spans="2:3" x14ac:dyDescent="0.35">
      <c r="B42">
        <v>-1.3998004530884576</v>
      </c>
      <c r="C42">
        <v>1.8656883728615949</v>
      </c>
    </row>
    <row r="43" spans="2:3" x14ac:dyDescent="0.35">
      <c r="B43">
        <v>0.7617274002622263</v>
      </c>
      <c r="C43">
        <v>0.54920287604195606</v>
      </c>
    </row>
    <row r="44" spans="2:3" x14ac:dyDescent="0.35">
      <c r="B44">
        <v>3.6010622534900647</v>
      </c>
      <c r="C44">
        <v>0.42350137741628213</v>
      </c>
    </row>
    <row r="45" spans="2:3" x14ac:dyDescent="0.35">
      <c r="B45">
        <v>2.5812941266229048</v>
      </c>
      <c r="C45">
        <v>-0.63962682741060517</v>
      </c>
    </row>
    <row r="46" spans="2:3" x14ac:dyDescent="0.35">
      <c r="B46">
        <v>-1.9948303233437001</v>
      </c>
      <c r="C46">
        <v>0.4908168854921568</v>
      </c>
    </row>
    <row r="47" spans="2:3" x14ac:dyDescent="0.35">
      <c r="B47">
        <v>1.9821788028337759E-2</v>
      </c>
      <c r="C47">
        <v>-5.8566192376950016E-2</v>
      </c>
    </row>
    <row r="48" spans="2:3" x14ac:dyDescent="0.35">
      <c r="B48">
        <v>-2.5672527656961801</v>
      </c>
      <c r="C48">
        <v>-1.090749174905193</v>
      </c>
    </row>
    <row r="49" spans="2:3" x14ac:dyDescent="0.35">
      <c r="B49">
        <v>-2.1598486241668757</v>
      </c>
      <c r="C49">
        <v>-0.90578652105553947</v>
      </c>
    </row>
    <row r="50" spans="2:3" x14ac:dyDescent="0.35">
      <c r="B50">
        <v>-0.4417104348761437</v>
      </c>
      <c r="C50">
        <v>-0.85084188676753925</v>
      </c>
    </row>
    <row r="51" spans="2:3" x14ac:dyDescent="0.35">
      <c r="B51">
        <v>2.5539941879994488</v>
      </c>
      <c r="C51">
        <v>0.38727623584060372</v>
      </c>
    </row>
    <row r="52" spans="2:3" x14ac:dyDescent="0.35">
      <c r="B52">
        <v>2.0670297416743226</v>
      </c>
      <c r="C52">
        <v>-1.0137292087893823</v>
      </c>
    </row>
    <row r="53" spans="2:3" x14ac:dyDescent="0.35">
      <c r="B53">
        <v>-2.2252623215517771</v>
      </c>
      <c r="C53">
        <v>-1.3109197755587878</v>
      </c>
    </row>
    <row r="54" spans="2:3" x14ac:dyDescent="0.35">
      <c r="B54">
        <v>-1.7830028486520331</v>
      </c>
      <c r="C54">
        <v>-0.44034691359701666</v>
      </c>
    </row>
    <row r="55" spans="2:3" x14ac:dyDescent="0.35">
      <c r="B55">
        <v>3.1746098264592093</v>
      </c>
      <c r="C55">
        <v>0.13681388302956682</v>
      </c>
    </row>
    <row r="56" spans="2:3" x14ac:dyDescent="0.35">
      <c r="B56">
        <v>-2.6004429478401252</v>
      </c>
      <c r="C56">
        <v>-0.99673003386020176</v>
      </c>
    </row>
    <row r="57" spans="2:3" x14ac:dyDescent="0.35">
      <c r="B57">
        <v>3.573613909282217</v>
      </c>
      <c r="C57">
        <v>-0.65883712954545248</v>
      </c>
    </row>
    <row r="58" spans="2:3" x14ac:dyDescent="0.35">
      <c r="B58">
        <v>2.646287970181481</v>
      </c>
      <c r="C58">
        <v>-1.136303769542744</v>
      </c>
    </row>
    <row r="59" spans="2:3" x14ac:dyDescent="0.35">
      <c r="B59">
        <v>-2.1042561361772854</v>
      </c>
      <c r="C59">
        <v>-1.4130074284406213</v>
      </c>
    </row>
    <row r="60" spans="2:3" x14ac:dyDescent="0.35">
      <c r="B60">
        <v>-1.3458207134264537</v>
      </c>
      <c r="C60">
        <v>-0.83970966417405279</v>
      </c>
    </row>
    <row r="61" spans="2:3" x14ac:dyDescent="0.35">
      <c r="B61">
        <v>-2.2091426527506552</v>
      </c>
      <c r="C61">
        <v>-0.8963281083664012</v>
      </c>
    </row>
    <row r="62" spans="2:3" x14ac:dyDescent="0.35">
      <c r="B62">
        <v>-1.0041027341756916</v>
      </c>
      <c r="C62">
        <v>-0.65785992401892535</v>
      </c>
    </row>
    <row r="63" spans="2:3" x14ac:dyDescent="0.35">
      <c r="B63">
        <v>2.5533721623467835E-2</v>
      </c>
      <c r="C63">
        <v>-0.59432589237638223</v>
      </c>
    </row>
    <row r="64" spans="2:3" x14ac:dyDescent="0.35">
      <c r="B64">
        <v>-2.0809313322239906</v>
      </c>
      <c r="C64">
        <v>-0.78381029982928319</v>
      </c>
    </row>
    <row r="65" spans="2:3" x14ac:dyDescent="0.35">
      <c r="B65">
        <v>0.46958704585433608</v>
      </c>
      <c r="C65">
        <v>-1.1324081670783912</v>
      </c>
    </row>
    <row r="66" spans="2:3" x14ac:dyDescent="0.35">
      <c r="B66">
        <v>-0.90474790866389843</v>
      </c>
      <c r="C66">
        <v>-1.103996002969073</v>
      </c>
    </row>
    <row r="67" spans="2:3" x14ac:dyDescent="0.35">
      <c r="B67">
        <v>3.6570513267095306</v>
      </c>
      <c r="C67">
        <v>-0.48498142618304679</v>
      </c>
    </row>
    <row r="68" spans="2:3" x14ac:dyDescent="0.35">
      <c r="B68">
        <v>-0.62126937054211584</v>
      </c>
      <c r="C68">
        <v>-0.85153179395357603</v>
      </c>
    </row>
    <row r="69" spans="2:3" x14ac:dyDescent="0.35">
      <c r="B69">
        <v>-1.1622821606561566</v>
      </c>
      <c r="C69">
        <v>-0.46965562201680261</v>
      </c>
    </row>
    <row r="70" spans="2:3" x14ac:dyDescent="0.35">
      <c r="B70">
        <v>3.375143699787988</v>
      </c>
      <c r="C70">
        <v>-1.1982246694268808</v>
      </c>
    </row>
    <row r="71" spans="2:3" x14ac:dyDescent="0.35">
      <c r="B71">
        <v>2.7030370734757825</v>
      </c>
      <c r="C71">
        <v>-0.80748927904835499</v>
      </c>
    </row>
    <row r="72" spans="2:3" x14ac:dyDescent="0.35">
      <c r="B72">
        <v>-3.2024973111637443</v>
      </c>
      <c r="C72">
        <v>-0.39289420210264137</v>
      </c>
    </row>
    <row r="73" spans="2:3" x14ac:dyDescent="0.35">
      <c r="B73">
        <v>-2.1464616309072397</v>
      </c>
      <c r="C73">
        <v>-0.30718364326138664</v>
      </c>
    </row>
    <row r="74" spans="2:3" x14ac:dyDescent="0.35">
      <c r="B74">
        <v>-0.89042912243898931</v>
      </c>
      <c r="C74">
        <v>-0.77203457347982796</v>
      </c>
    </row>
    <row r="75" spans="2:3" x14ac:dyDescent="0.35">
      <c r="B75">
        <v>-1.8003941996178836</v>
      </c>
      <c r="C75">
        <v>-1.4231809995817262</v>
      </c>
    </row>
    <row r="76" spans="2:3" x14ac:dyDescent="0.35">
      <c r="B76">
        <v>-1.7420721569688504</v>
      </c>
      <c r="C76">
        <v>-1.3563552050153762</v>
      </c>
    </row>
    <row r="77" spans="2:3" x14ac:dyDescent="0.35">
      <c r="B77">
        <v>2.1551628583321949</v>
      </c>
      <c r="C77">
        <v>-0.51222696528750966</v>
      </c>
    </row>
    <row r="78" spans="2:3" x14ac:dyDescent="0.35">
      <c r="B78">
        <v>3.4480136602606053</v>
      </c>
      <c r="C78">
        <v>-0.77413814833702399</v>
      </c>
    </row>
    <row r="79" spans="2:3" x14ac:dyDescent="0.35">
      <c r="B79">
        <v>-1.97677789079695</v>
      </c>
      <c r="C79">
        <v>-0.32775048894988096</v>
      </c>
    </row>
    <row r="80" spans="2:3" x14ac:dyDescent="0.35">
      <c r="B80">
        <v>0.67715561836647986</v>
      </c>
      <c r="C80">
        <v>-1.4845059914348013</v>
      </c>
    </row>
    <row r="81" spans="2:3" x14ac:dyDescent="0.35">
      <c r="B81">
        <v>3.2877507191520636</v>
      </c>
      <c r="C81">
        <v>-1.4038445660318259</v>
      </c>
    </row>
    <row r="82" spans="2:3" x14ac:dyDescent="0.35">
      <c r="B82">
        <v>-1.3225963616114906</v>
      </c>
      <c r="C82">
        <v>-1.0538160334264832</v>
      </c>
    </row>
    <row r="83" spans="2:3" x14ac:dyDescent="0.35">
      <c r="B83">
        <v>-1.6223807480472912</v>
      </c>
      <c r="C83">
        <v>-2.5218793115878801</v>
      </c>
    </row>
    <row r="84" spans="2:3" x14ac:dyDescent="0.35">
      <c r="B84">
        <v>1.2260755297782049</v>
      </c>
      <c r="C84">
        <v>-1.1433173948177779</v>
      </c>
    </row>
    <row r="85" spans="2:3" x14ac:dyDescent="0.35">
      <c r="B85">
        <v>2.1465466484444828</v>
      </c>
      <c r="C85">
        <v>-0.9194279975047247</v>
      </c>
    </row>
    <row r="86" spans="2:3" x14ac:dyDescent="0.35">
      <c r="B86">
        <v>-0.92959067808755513</v>
      </c>
      <c r="C86">
        <v>-0.49577703302919562</v>
      </c>
    </row>
    <row r="87" spans="2:3" x14ac:dyDescent="0.35">
      <c r="B87">
        <v>-2.0716739737156349</v>
      </c>
      <c r="C87">
        <v>-2.5307615515405417</v>
      </c>
    </row>
    <row r="88" spans="2:3" x14ac:dyDescent="0.35">
      <c r="B88">
        <v>2.6458167351334159</v>
      </c>
      <c r="C88">
        <v>-1.1497609180727977</v>
      </c>
    </row>
    <row r="89" spans="2:3" x14ac:dyDescent="0.35">
      <c r="B89">
        <v>-0.40108929825128359</v>
      </c>
      <c r="C89">
        <v>-0.20832889748096059</v>
      </c>
    </row>
    <row r="90" spans="2:3" x14ac:dyDescent="0.35">
      <c r="B90">
        <v>-0.36276926948126648</v>
      </c>
      <c r="C90">
        <v>-1.2772042737572051</v>
      </c>
    </row>
    <row r="91" spans="2:3" x14ac:dyDescent="0.35">
      <c r="B91">
        <v>2.3399209094776716</v>
      </c>
      <c r="C91">
        <v>-1.1415208400887404</v>
      </c>
    </row>
    <row r="92" spans="2:3" x14ac:dyDescent="0.35">
      <c r="B92">
        <v>-1.0565316089660739</v>
      </c>
      <c r="C92">
        <v>-1.8858998196664891</v>
      </c>
    </row>
    <row r="93" spans="2:3" x14ac:dyDescent="0.35">
      <c r="B93">
        <v>-2.3121378989697821</v>
      </c>
      <c r="C93">
        <v>-1.2455490491335013</v>
      </c>
    </row>
    <row r="94" spans="2:3" x14ac:dyDescent="0.35">
      <c r="B94">
        <v>-1.7186180399877855</v>
      </c>
      <c r="C94">
        <v>-2.4028614714258083</v>
      </c>
    </row>
    <row r="95" spans="2:3" x14ac:dyDescent="0.35">
      <c r="B95">
        <v>-1.5600406164175915</v>
      </c>
      <c r="C95">
        <v>-1.9099586444986316</v>
      </c>
    </row>
    <row r="96" spans="2:3" x14ac:dyDescent="0.35">
      <c r="B96">
        <v>-1.0058873717954886</v>
      </c>
      <c r="C96">
        <v>-0.95757228893680635</v>
      </c>
    </row>
    <row r="97" spans="2:3" x14ac:dyDescent="0.35">
      <c r="B97">
        <v>3.5118220166989653</v>
      </c>
      <c r="C97">
        <v>-6.7341690786511241E-2</v>
      </c>
    </row>
    <row r="98" spans="2:3" x14ac:dyDescent="0.35">
      <c r="B98">
        <v>-3.0591132231644327</v>
      </c>
      <c r="C98">
        <v>-2.9536311723408413</v>
      </c>
    </row>
    <row r="99" spans="2:3" x14ac:dyDescent="0.35">
      <c r="B99">
        <v>2.0837027801663193</v>
      </c>
      <c r="C99">
        <v>-0.69373409228365779</v>
      </c>
    </row>
    <row r="100" spans="2:3" x14ac:dyDescent="0.35">
      <c r="B100">
        <v>-2.2015139673328683</v>
      </c>
      <c r="C100">
        <v>-1.6593537272711691</v>
      </c>
    </row>
    <row r="101" spans="2:3" x14ac:dyDescent="0.35">
      <c r="B101">
        <v>-0.52287923935597458</v>
      </c>
      <c r="C101">
        <v>-1.6089924860104705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EC02B-B423-4A9B-8BB1-1672C8359B2A}">
  <sheetPr codeName="XLSTAT_20210923_105258_1_HID"/>
  <dimension ref="A1:P500"/>
  <sheetViews>
    <sheetView topLeftCell="A7" workbookViewId="0">
      <selection activeCell="M1" sqref="M1"/>
    </sheetView>
  </sheetViews>
  <sheetFormatPr defaultRowHeight="14.5" x14ac:dyDescent="0.35"/>
  <sheetData>
    <row r="1" spans="1:16" x14ac:dyDescent="0.35">
      <c r="A1">
        <v>1</v>
      </c>
      <c r="B1">
        <f t="shared" ref="B1:B64" si="0">-3.14159265358979+(A1-1)*0.0125915537218028</f>
        <v>-3.14159265358979</v>
      </c>
      <c r="C1">
        <f t="shared" ref="C1:C64" si="1">1*COS(B1)+0</f>
        <v>-1</v>
      </c>
      <c r="D1">
        <f t="shared" ref="D1:D64" si="2">1*SIN(B1)+0+0*COS(B1)</f>
        <v>-3.2311393144413003E-15</v>
      </c>
      <c r="E1">
        <v>1</v>
      </c>
      <c r="F1">
        <f t="shared" ref="F1:F64" si="3">-3.14159265358979+(E1-1)*0.0125915537218028</f>
        <v>-3.14159265358979</v>
      </c>
      <c r="G1">
        <f t="shared" ref="G1:G64" si="4">0.707106781186548*COS(F1)+0</f>
        <v>-0.70710678118654802</v>
      </c>
      <c r="H1">
        <f t="shared" ref="H1:H64" si="5">0.707106781186548*SIN(F1)+0+0*COS(F1)</f>
        <v>-2.2847605201998973E-15</v>
      </c>
      <c r="I1">
        <v>1</v>
      </c>
      <c r="K1">
        <f t="shared" ref="K1:K32" si="6">1.14986317545772+(I1-1)*0.04126542987473</f>
        <v>1.14986317545772</v>
      </c>
      <c r="L1">
        <f t="shared" ref="L1:L32" si="7">0+1*K1-0.705570846805564*(1.00413223140496+(K1-2.33376618084762)^2/38.1756861665492)^0.5</f>
        <v>0.43002619085096772</v>
      </c>
      <c r="M1">
        <v>1</v>
      </c>
      <c r="O1">
        <f t="shared" ref="O1:O32" si="8">0.98700187437297+(M1-1)*0.0436257385861033</f>
        <v>0.98700187437297005</v>
      </c>
      <c r="P1">
        <f t="shared" ref="P1:P32" si="9">0+1*O1+0.705570846805564*(1.00413223140496+(O1-2.33376618084762)^2/38.1756861665492)^0.5</f>
        <v>1.7105624450280046</v>
      </c>
    </row>
    <row r="2" spans="1:16" x14ac:dyDescent="0.35">
      <c r="A2">
        <v>2</v>
      </c>
      <c r="B2">
        <f t="shared" si="0"/>
        <v>-3.1290010998679874</v>
      </c>
      <c r="C2">
        <f t="shared" si="1"/>
        <v>-0.99992072743481419</v>
      </c>
      <c r="D2">
        <f t="shared" si="2"/>
        <v>-1.2591220998459735E-2</v>
      </c>
      <c r="E2">
        <v>2</v>
      </c>
      <c r="F2">
        <f t="shared" si="3"/>
        <v>-3.1290010998679874</v>
      </c>
      <c r="G2">
        <f t="shared" si="4"/>
        <v>-0.70705072701814309</v>
      </c>
      <c r="H2">
        <f t="shared" si="5"/>
        <v>-8.9033377514293362E-3</v>
      </c>
      <c r="I2">
        <v>2</v>
      </c>
      <c r="K2">
        <f t="shared" si="6"/>
        <v>1.1911286053324499</v>
      </c>
      <c r="L2">
        <f t="shared" si="7"/>
        <v>0.4721617621124341</v>
      </c>
      <c r="M2">
        <v>2</v>
      </c>
      <c r="O2">
        <f t="shared" si="8"/>
        <v>1.0306276129590732</v>
      </c>
      <c r="P2">
        <f t="shared" si="9"/>
        <v>1.7531456855887106</v>
      </c>
    </row>
    <row r="3" spans="1:16" x14ac:dyDescent="0.35">
      <c r="A3">
        <v>3</v>
      </c>
      <c r="B3">
        <f t="shared" si="0"/>
        <v>-3.1164095461461843</v>
      </c>
      <c r="C3">
        <f t="shared" si="1"/>
        <v>-0.99968292230753597</v>
      </c>
      <c r="D3">
        <f t="shared" si="2"/>
        <v>-2.5180445720141945E-2</v>
      </c>
      <c r="E3">
        <v>3</v>
      </c>
      <c r="F3">
        <f t="shared" si="3"/>
        <v>-3.1164095461461843</v>
      </c>
      <c r="G3">
        <f t="shared" si="4"/>
        <v>-0.70688257340004368</v>
      </c>
      <c r="H3">
        <f t="shared" si="5"/>
        <v>-1.7805263922012159E-2</v>
      </c>
      <c r="I3">
        <v>3</v>
      </c>
      <c r="K3">
        <f t="shared" si="6"/>
        <v>1.23239403520718</v>
      </c>
      <c r="L3">
        <f t="shared" si="7"/>
        <v>0.51426746518892608</v>
      </c>
      <c r="M3">
        <v>3</v>
      </c>
      <c r="O3">
        <f t="shared" si="8"/>
        <v>1.0742533515451766</v>
      </c>
      <c r="P3">
        <f t="shared" si="9"/>
        <v>1.795761819032563</v>
      </c>
    </row>
    <row r="4" spans="1:16" x14ac:dyDescent="0.35">
      <c r="A4">
        <v>4</v>
      </c>
      <c r="B4">
        <f t="shared" si="0"/>
        <v>-3.1038179924243816</v>
      </c>
      <c r="C4">
        <f t="shared" si="1"/>
        <v>-0.99928662232101029</v>
      </c>
      <c r="D4">
        <f t="shared" si="2"/>
        <v>-3.7765678204774195E-2</v>
      </c>
      <c r="E4">
        <v>4</v>
      </c>
      <c r="F4">
        <f t="shared" si="3"/>
        <v>-3.1038179924243816</v>
      </c>
      <c r="G4">
        <f t="shared" si="4"/>
        <v>-0.70660234699218727</v>
      </c>
      <c r="H4">
        <f t="shared" si="5"/>
        <v>-2.6704367154704853E-2</v>
      </c>
      <c r="I4">
        <v>4</v>
      </c>
      <c r="K4">
        <f t="shared" si="6"/>
        <v>1.27365946508191</v>
      </c>
      <c r="L4">
        <f t="shared" si="7"/>
        <v>0.55634319511654517</v>
      </c>
      <c r="M4">
        <v>4</v>
      </c>
      <c r="O4">
        <f t="shared" si="8"/>
        <v>1.1178790901312801</v>
      </c>
      <c r="P4">
        <f t="shared" si="9"/>
        <v>1.8384109836275304</v>
      </c>
    </row>
    <row r="5" spans="1:16" x14ac:dyDescent="0.35">
      <c r="A5">
        <v>5</v>
      </c>
      <c r="B5">
        <f t="shared" si="0"/>
        <v>-3.091226438702579</v>
      </c>
      <c r="C5">
        <f t="shared" si="1"/>
        <v>-0.9987318903066702</v>
      </c>
      <c r="D5">
        <f t="shared" si="2"/>
        <v>-5.0344923125031901E-2</v>
      </c>
      <c r="E5">
        <v>5</v>
      </c>
      <c r="F5">
        <f t="shared" si="3"/>
        <v>-3.091226438702579</v>
      </c>
      <c r="G5">
        <f t="shared" si="4"/>
        <v>-0.70621009222310616</v>
      </c>
      <c r="H5">
        <f t="shared" si="5"/>
        <v>-3.5599236540025517E-2</v>
      </c>
      <c r="I5">
        <v>5</v>
      </c>
      <c r="K5">
        <f t="shared" si="6"/>
        <v>1.3149248949566399</v>
      </c>
      <c r="L5">
        <f t="shared" si="7"/>
        <v>0.59838885020921728</v>
      </c>
      <c r="M5">
        <v>5</v>
      </c>
      <c r="O5">
        <f t="shared" si="8"/>
        <v>1.1615048287173833</v>
      </c>
      <c r="P5">
        <f t="shared" si="9"/>
        <v>1.8810933138561676</v>
      </c>
    </row>
    <row r="6" spans="1:16" x14ac:dyDescent="0.35">
      <c r="A6">
        <v>6</v>
      </c>
      <c r="B6">
        <f t="shared" si="0"/>
        <v>-3.0786348849807759</v>
      </c>
      <c r="C6">
        <f t="shared" si="1"/>
        <v>-0.99801881421457506</v>
      </c>
      <c r="D6">
        <f t="shared" si="2"/>
        <v>-6.291618610288964E-2</v>
      </c>
      <c r="E6">
        <v>6</v>
      </c>
      <c r="F6">
        <f t="shared" si="3"/>
        <v>-3.0786348849807759</v>
      </c>
      <c r="G6">
        <f t="shared" si="4"/>
        <v>-0.70570587128288365</v>
      </c>
      <c r="H6">
        <f t="shared" si="5"/>
        <v>-4.4488461839748118E-2</v>
      </c>
      <c r="I6">
        <v>6</v>
      </c>
      <c r="K6">
        <f t="shared" si="6"/>
        <v>1.35619032483137</v>
      </c>
      <c r="L6">
        <f t="shared" si="7"/>
        <v>0.64040433211989567</v>
      </c>
      <c r="M6">
        <v>6</v>
      </c>
      <c r="O6">
        <f t="shared" si="8"/>
        <v>1.2051305673034864</v>
      </c>
      <c r="P6">
        <f t="shared" si="9"/>
        <v>1.9238089403279663</v>
      </c>
    </row>
    <row r="7" spans="1:16" x14ac:dyDescent="0.35">
      <c r="A7">
        <v>7</v>
      </c>
      <c r="B7">
        <f t="shared" si="0"/>
        <v>-3.0660433312589732</v>
      </c>
      <c r="C7">
        <f t="shared" si="1"/>
        <v>-0.99714750709946709</v>
      </c>
      <c r="D7">
        <f t="shared" si="2"/>
        <v>-7.547747402581878E-2</v>
      </c>
      <c r="E7">
        <v>7</v>
      </c>
      <c r="F7">
        <f t="shared" si="3"/>
        <v>-3.0660433312589732</v>
      </c>
      <c r="G7">
        <f t="shared" si="4"/>
        <v>-0.70508976411329471</v>
      </c>
      <c r="H7">
        <f t="shared" si="5"/>
        <v>-5.3370633710488002E-2</v>
      </c>
      <c r="I7">
        <v>7</v>
      </c>
      <c r="K7">
        <f t="shared" si="6"/>
        <v>1.3974557547061</v>
      </c>
      <c r="L7">
        <f t="shared" si="7"/>
        <v>0.68238954590020517</v>
      </c>
      <c r="M7">
        <v>7</v>
      </c>
      <c r="O7">
        <f t="shared" si="8"/>
        <v>1.2487563058895899</v>
      </c>
      <c r="P7">
        <f t="shared" si="9"/>
        <v>1.9665579896934386</v>
      </c>
    </row>
    <row r="8" spans="1:16" x14ac:dyDescent="0.35">
      <c r="A8">
        <v>8</v>
      </c>
      <c r="B8">
        <f t="shared" si="0"/>
        <v>-3.0534517775371706</v>
      </c>
      <c r="C8">
        <f t="shared" si="1"/>
        <v>-0.99611810710284643</v>
      </c>
      <c r="D8">
        <f t="shared" si="2"/>
        <v>-8.8026795362788374E-2</v>
      </c>
      <c r="E8">
        <v>8</v>
      </c>
      <c r="F8">
        <f t="shared" si="3"/>
        <v>-3.0534517775371706</v>
      </c>
      <c r="G8">
        <f t="shared" si="4"/>
        <v>-0.70436186839513082</v>
      </c>
      <c r="H8">
        <f t="shared" si="5"/>
        <v>-6.2244343927148241E-2</v>
      </c>
      <c r="I8">
        <v>8</v>
      </c>
      <c r="K8">
        <f t="shared" si="6"/>
        <v>1.4387211845808299</v>
      </c>
      <c r="L8">
        <f t="shared" si="7"/>
        <v>0.7243444000584498</v>
      </c>
      <c r="M8">
        <v>8</v>
      </c>
      <c r="O8">
        <f t="shared" si="8"/>
        <v>1.2923820444756933</v>
      </c>
      <c r="P8">
        <f t="shared" si="9"/>
        <v>2.0093405845600634</v>
      </c>
    </row>
    <row r="9" spans="1:16" x14ac:dyDescent="0.35">
      <c r="A9">
        <v>9</v>
      </c>
      <c r="B9">
        <f t="shared" si="0"/>
        <v>-3.0408602238153675</v>
      </c>
      <c r="C9">
        <f t="shared" si="1"/>
        <v>-0.9949307774310695</v>
      </c>
      <c r="D9">
        <f t="shared" si="2"/>
        <v>-0.10056216048001143</v>
      </c>
      <c r="E9">
        <v>9</v>
      </c>
      <c r="F9">
        <f t="shared" si="3"/>
        <v>-3.0408602238153675</v>
      </c>
      <c r="G9">
        <f t="shared" si="4"/>
        <v>-0.70352229953271339</v>
      </c>
      <c r="H9">
        <f t="shared" si="5"/>
        <v>-7.1108185606185967E-2</v>
      </c>
      <c r="I9">
        <v>9</v>
      </c>
      <c r="K9">
        <f t="shared" si="6"/>
        <v>1.47998661445556</v>
      </c>
      <c r="L9">
        <f t="shared" si="7"/>
        <v>0.7662688066159008</v>
      </c>
      <c r="M9">
        <v>9</v>
      </c>
      <c r="O9">
        <f t="shared" si="8"/>
        <v>1.3360077830617965</v>
      </c>
      <c r="P9">
        <f t="shared" si="9"/>
        <v>2.0521568434102173</v>
      </c>
    </row>
    <row r="10" spans="1:16" x14ac:dyDescent="0.35">
      <c r="A10">
        <v>10</v>
      </c>
      <c r="B10">
        <f t="shared" si="0"/>
        <v>-3.0282686700935648</v>
      </c>
      <c r="C10">
        <f t="shared" si="1"/>
        <v>-0.99358570632947418</v>
      </c>
      <c r="D10">
        <f t="shared" si="2"/>
        <v>-0.1130815819563903</v>
      </c>
      <c r="E10">
        <v>10</v>
      </c>
      <c r="F10">
        <f t="shared" si="3"/>
        <v>-3.0282686700935648</v>
      </c>
      <c r="G10">
        <f t="shared" si="4"/>
        <v>-0.70257119063559725</v>
      </c>
      <c r="H10">
        <f t="shared" si="5"/>
        <v>-7.9960753428665973E-2</v>
      </c>
      <c r="I10">
        <v>10</v>
      </c>
      <c r="K10">
        <f t="shared" si="6"/>
        <v>1.5212520443302902</v>
      </c>
      <c r="L10">
        <f t="shared" si="7"/>
        <v>0.80816268116128553</v>
      </c>
      <c r="M10">
        <v>10</v>
      </c>
      <c r="O10">
        <f t="shared" si="8"/>
        <v>1.3796335216478997</v>
      </c>
      <c r="P10">
        <f t="shared" si="9"/>
        <v>2.0950068805212121</v>
      </c>
    </row>
    <row r="11" spans="1:16" x14ac:dyDescent="0.35">
      <c r="A11">
        <v>11</v>
      </c>
      <c r="B11">
        <f t="shared" si="0"/>
        <v>-3.0156771163717622</v>
      </c>
      <c r="C11">
        <f t="shared" si="1"/>
        <v>-0.99208310705253355</v>
      </c>
      <c r="D11">
        <f t="shared" si="2"/>
        <v>-0.12558307489861525</v>
      </c>
      <c r="E11">
        <v>11</v>
      </c>
      <c r="F11">
        <f t="shared" si="3"/>
        <v>-3.0156771163717622</v>
      </c>
      <c r="G11">
        <f t="shared" si="4"/>
        <v>-0.7015086924974665</v>
      </c>
      <c r="H11">
        <f t="shared" si="5"/>
        <v>-8.8800643863069004E-2</v>
      </c>
      <c r="I11">
        <v>11</v>
      </c>
      <c r="K11">
        <f t="shared" si="6"/>
        <v>1.5625174742050201</v>
      </c>
      <c r="L11">
        <f t="shared" si="7"/>
        <v>0.85002594290340594</v>
      </c>
      <c r="M11">
        <v>11</v>
      </c>
      <c r="O11">
        <f t="shared" si="8"/>
        <v>1.4232592602340031</v>
      </c>
      <c r="P11">
        <f t="shared" si="9"/>
        <v>2.1378908058875576</v>
      </c>
    </row>
    <row r="12" spans="1:16" x14ac:dyDescent="0.35">
      <c r="A12">
        <v>12</v>
      </c>
      <c r="B12">
        <f t="shared" si="0"/>
        <v>-3.0030855626499591</v>
      </c>
      <c r="C12">
        <f t="shared" si="1"/>
        <v>-0.99042321783004583</v>
      </c>
      <c r="D12">
        <f t="shared" si="2"/>
        <v>-0.1380646572558584</v>
      </c>
      <c r="E12">
        <v>12</v>
      </c>
      <c r="F12">
        <f t="shared" si="3"/>
        <v>-3.0030855626499591</v>
      </c>
      <c r="G12">
        <f t="shared" si="4"/>
        <v>-0.70033497357222696</v>
      </c>
      <c r="H12">
        <f t="shared" si="5"/>
        <v>-9.7626455387814018E-2</v>
      </c>
      <c r="I12">
        <v>12</v>
      </c>
      <c r="K12">
        <f t="shared" si="6"/>
        <v>1.60378290407975</v>
      </c>
      <c r="L12">
        <f t="shared" si="7"/>
        <v>0.89185851472180999</v>
      </c>
      <c r="M12">
        <v>12</v>
      </c>
      <c r="O12">
        <f t="shared" si="8"/>
        <v>1.4668849988201065</v>
      </c>
      <c r="P12">
        <f t="shared" si="9"/>
        <v>2.1808087251455701</v>
      </c>
    </row>
    <row r="13" spans="1:16" x14ac:dyDescent="0.35">
      <c r="A13">
        <v>13</v>
      </c>
      <c r="B13">
        <f t="shared" si="0"/>
        <v>-2.9904940089281564</v>
      </c>
      <c r="C13">
        <f t="shared" si="1"/>
        <v>-0.98860630182936415</v>
      </c>
      <c r="D13">
        <f t="shared" si="2"/>
        <v>-0.15052435013401677</v>
      </c>
      <c r="E13">
        <v>13</v>
      </c>
      <c r="F13">
        <f t="shared" si="3"/>
        <v>-2.9904940089281564</v>
      </c>
      <c r="G13">
        <f t="shared" si="4"/>
        <v>-0.69905021994729866</v>
      </c>
      <c r="H13">
        <f t="shared" si="5"/>
        <v>-0.10643678871346153</v>
      </c>
      <c r="I13">
        <v>13</v>
      </c>
      <c r="K13">
        <f t="shared" si="6"/>
        <v>1.6450483339544801</v>
      </c>
      <c r="L13">
        <f t="shared" si="7"/>
        <v>0.93366032321544135</v>
      </c>
      <c r="M13">
        <v>13</v>
      </c>
      <c r="O13">
        <f t="shared" si="8"/>
        <v>1.5105107374062097</v>
      </c>
      <c r="P13">
        <f t="shared" si="9"/>
        <v>2.2237607395004448</v>
      </c>
    </row>
    <row r="14" spans="1:16" x14ac:dyDescent="0.35">
      <c r="A14">
        <v>14</v>
      </c>
      <c r="B14">
        <f t="shared" si="0"/>
        <v>-2.9779024552063538</v>
      </c>
      <c r="C14">
        <f t="shared" si="1"/>
        <v>-0.98663264711367293</v>
      </c>
      <c r="D14">
        <f t="shared" si="2"/>
        <v>-0.16296017810945904</v>
      </c>
      <c r="E14">
        <v>14</v>
      </c>
      <c r="F14">
        <f t="shared" si="3"/>
        <v>-2.9779024552063538</v>
      </c>
      <c r="G14">
        <f t="shared" si="4"/>
        <v>-0.69765463531411254</v>
      </c>
      <c r="H14">
        <f t="shared" si="5"/>
        <v>-0.11523024700456615</v>
      </c>
      <c r="I14">
        <v>14</v>
      </c>
      <c r="K14">
        <f t="shared" si="6"/>
        <v>1.6863137638292101</v>
      </c>
      <c r="L14">
        <f t="shared" si="7"/>
        <v>0.97543129874919965</v>
      </c>
      <c r="M14">
        <v>14</v>
      </c>
      <c r="O14">
        <f t="shared" si="8"/>
        <v>1.5541364759923129</v>
      </c>
      <c r="P14">
        <f t="shared" si="9"/>
        <v>2.266746945655902</v>
      </c>
    </row>
    <row r="15" spans="1:16" x14ac:dyDescent="0.35">
      <c r="A15">
        <v>15</v>
      </c>
      <c r="B15">
        <f t="shared" si="0"/>
        <v>-2.9653109014845507</v>
      </c>
      <c r="C15">
        <f t="shared" si="1"/>
        <v>-0.98450256659631608</v>
      </c>
      <c r="D15">
        <f t="shared" si="2"/>
        <v>-0.17537016954221801</v>
      </c>
      <c r="E15">
        <v>15</v>
      </c>
      <c r="F15">
        <f t="shared" si="3"/>
        <v>-2.9653109014845507</v>
      </c>
      <c r="G15">
        <f t="shared" si="4"/>
        <v>-0.69614844093581618</v>
      </c>
      <c r="H15">
        <f t="shared" si="5"/>
        <v>-0.12400543610113698</v>
      </c>
      <c r="I15">
        <v>15</v>
      </c>
      <c r="K15">
        <f t="shared" si="6"/>
        <v>1.72757919370394</v>
      </c>
      <c r="L15">
        <f t="shared" si="7"/>
        <v>1.017171375498346</v>
      </c>
      <c r="M15">
        <v>15</v>
      </c>
      <c r="O15">
        <f t="shared" si="8"/>
        <v>1.5977622145784163</v>
      </c>
      <c r="P15">
        <f t="shared" si="9"/>
        <v>2.3097674357465197</v>
      </c>
    </row>
    <row r="16" spans="1:16" x14ac:dyDescent="0.35">
      <c r="A16">
        <v>16</v>
      </c>
      <c r="B16">
        <f t="shared" si="0"/>
        <v>-2.952719347762748</v>
      </c>
      <c r="C16">
        <f t="shared" si="1"/>
        <v>-0.9822163979911871</v>
      </c>
      <c r="D16">
        <f t="shared" si="2"/>
        <v>-0.18775235688858319</v>
      </c>
      <c r="E16">
        <v>16</v>
      </c>
      <c r="F16">
        <f t="shared" si="3"/>
        <v>-2.952719347762748</v>
      </c>
      <c r="G16">
        <f t="shared" si="4"/>
        <v>-0.69453187561219365</v>
      </c>
      <c r="H16">
        <f t="shared" si="5"/>
        <v>-0.13276096473967405</v>
      </c>
      <c r="I16">
        <v>16</v>
      </c>
      <c r="K16">
        <f t="shared" si="6"/>
        <v>1.7688446235786701</v>
      </c>
      <c r="L16">
        <f t="shared" si="7"/>
        <v>1.0588804914906849</v>
      </c>
      <c r="M16">
        <v>16</v>
      </c>
      <c r="O16">
        <f t="shared" si="8"/>
        <v>1.6413879531645197</v>
      </c>
      <c r="P16">
        <f t="shared" si="9"/>
        <v>2.352822297272859</v>
      </c>
    </row>
    <row r="17" spans="1:16" x14ac:dyDescent="0.35">
      <c r="A17">
        <v>17</v>
      </c>
      <c r="B17">
        <f t="shared" si="0"/>
        <v>-2.9401277940409454</v>
      </c>
      <c r="C17">
        <f t="shared" si="1"/>
        <v>-0.97977450375918562</v>
      </c>
      <c r="D17">
        <f t="shared" si="2"/>
        <v>-0.20010477701304791</v>
      </c>
      <c r="E17">
        <v>17</v>
      </c>
      <c r="F17">
        <f t="shared" si="3"/>
        <v>-2.9401277940409454</v>
      </c>
      <c r="G17">
        <f t="shared" si="4"/>
        <v>-0.69280519564180509</v>
      </c>
      <c r="H17">
        <f t="shared" si="5"/>
        <v>-0.14149544477374826</v>
      </c>
      <c r="I17">
        <v>17</v>
      </c>
      <c r="K17">
        <f t="shared" si="6"/>
        <v>1.8101100534534</v>
      </c>
      <c r="L17">
        <f t="shared" si="7"/>
        <v>1.1005585886464595</v>
      </c>
      <c r="M17">
        <v>17</v>
      </c>
      <c r="O17">
        <f t="shared" si="8"/>
        <v>1.6850136917506229</v>
      </c>
      <c r="P17">
        <f t="shared" si="9"/>
        <v>2.3959116130394884</v>
      </c>
    </row>
    <row r="18" spans="1:16" x14ac:dyDescent="0.35">
      <c r="A18">
        <v>18</v>
      </c>
      <c r="B18">
        <f t="shared" si="0"/>
        <v>-2.9275362403191423</v>
      </c>
      <c r="C18">
        <f t="shared" si="1"/>
        <v>-0.9771772710507507</v>
      </c>
      <c r="D18">
        <f t="shared" si="2"/>
        <v>-0.21242547149955354</v>
      </c>
      <c r="E18">
        <v>18</v>
      </c>
      <c r="F18">
        <f t="shared" si="3"/>
        <v>-2.9275362403191423</v>
      </c>
      <c r="G18">
        <f t="shared" si="4"/>
        <v>-0.69096867478135127</v>
      </c>
      <c r="H18">
        <f t="shared" si="5"/>
        <v>-0.1502074913940841</v>
      </c>
      <c r="I18">
        <v>18</v>
      </c>
      <c r="K18">
        <f t="shared" si="6"/>
        <v>1.85137548332813</v>
      </c>
      <c r="L18">
        <f t="shared" si="7"/>
        <v>1.1422056128159106</v>
      </c>
      <c r="M18">
        <v>18</v>
      </c>
      <c r="O18">
        <f t="shared" si="8"/>
        <v>1.7286394303367261</v>
      </c>
      <c r="P18">
        <f t="shared" si="9"/>
        <v>2.4390354610960068</v>
      </c>
    </row>
    <row r="19" spans="1:16" x14ac:dyDescent="0.35">
      <c r="A19">
        <v>19</v>
      </c>
      <c r="B19">
        <f t="shared" si="0"/>
        <v>-2.9149446865973396</v>
      </c>
      <c r="C19">
        <f t="shared" si="1"/>
        <v>-0.97442511164448109</v>
      </c>
      <c r="D19">
        <f t="shared" si="2"/>
        <v>-0.22471248696198562</v>
      </c>
      <c r="E19">
        <v>19</v>
      </c>
      <c r="F19">
        <f t="shared" si="3"/>
        <v>-2.9149446865973396</v>
      </c>
      <c r="G19">
        <f t="shared" si="4"/>
        <v>-0.68902260420227168</v>
      </c>
      <c r="H19">
        <f t="shared" si="5"/>
        <v>-0.15889572334811378</v>
      </c>
      <c r="I19">
        <v>19</v>
      </c>
      <c r="K19">
        <f t="shared" si="6"/>
        <v>1.8926409132028601</v>
      </c>
      <c r="L19">
        <f t="shared" si="7"/>
        <v>1.1838215138144297</v>
      </c>
      <c r="M19">
        <v>19</v>
      </c>
      <c r="O19">
        <f t="shared" si="8"/>
        <v>1.7722651689228295</v>
      </c>
      <c r="P19">
        <f t="shared" si="9"/>
        <v>2.4821939146811598</v>
      </c>
    </row>
    <row r="20" spans="1:16" x14ac:dyDescent="0.35">
      <c r="A20">
        <v>20</v>
      </c>
      <c r="B20">
        <f t="shared" si="0"/>
        <v>-2.902353132875537</v>
      </c>
      <c r="C20">
        <f t="shared" si="1"/>
        <v>-0.97151846188184843</v>
      </c>
      <c r="D20">
        <f t="shared" si="2"/>
        <v>-0.23696387535387617</v>
      </c>
      <c r="E20">
        <v>20</v>
      </c>
      <c r="F20">
        <f t="shared" si="3"/>
        <v>-2.902353132875537</v>
      </c>
      <c r="G20">
        <f t="shared" si="4"/>
        <v>-0.68696729244457988</v>
      </c>
      <c r="H20">
        <f t="shared" si="5"/>
        <v>-0.16755876315896975</v>
      </c>
      <c r="I20">
        <v>20</v>
      </c>
      <c r="K20">
        <f t="shared" si="6"/>
        <v>1.93390634307759</v>
      </c>
      <c r="L20">
        <f t="shared" si="7"/>
        <v>1.2254062454552632</v>
      </c>
      <c r="M20">
        <v>20</v>
      </c>
      <c r="O20">
        <f t="shared" si="8"/>
        <v>1.8158909075089329</v>
      </c>
      <c r="P20">
        <f t="shared" si="9"/>
        <v>2.5253870421701405</v>
      </c>
    </row>
    <row r="21" spans="1:16" x14ac:dyDescent="0.35">
      <c r="A21">
        <v>21</v>
      </c>
      <c r="B21">
        <f t="shared" si="0"/>
        <v>-2.8897615791537339</v>
      </c>
      <c r="C21">
        <f t="shared" si="1"/>
        <v>-0.96845778259801829</v>
      </c>
      <c r="D21">
        <f t="shared" si="2"/>
        <v>-0.24917769427725583</v>
      </c>
      <c r="E21">
        <v>21</v>
      </c>
      <c r="F21">
        <f t="shared" si="3"/>
        <v>-2.8897615791537339</v>
      </c>
      <c r="G21">
        <f t="shared" si="4"/>
        <v>-0.68480306536794644</v>
      </c>
      <c r="H21">
        <f t="shared" si="5"/>
        <v>-0.1761952373438761</v>
      </c>
      <c r="I21">
        <v>21</v>
      </c>
      <c r="K21">
        <f t="shared" si="6"/>
        <v>1.9751717729523199</v>
      </c>
      <c r="L21">
        <f t="shared" si="7"/>
        <v>1.2669597655797162</v>
      </c>
      <c r="M21">
        <v>21</v>
      </c>
      <c r="O21">
        <f t="shared" si="8"/>
        <v>1.8595166460950361</v>
      </c>
      <c r="P21">
        <f t="shared" si="9"/>
        <v>2.568614907025168</v>
      </c>
    </row>
    <row r="22" spans="1:16" x14ac:dyDescent="0.35">
      <c r="A22">
        <v>22</v>
      </c>
      <c r="B22">
        <f t="shared" si="0"/>
        <v>-2.8771700254319312</v>
      </c>
      <c r="C22">
        <f t="shared" si="1"/>
        <v>-0.96524355904878689</v>
      </c>
      <c r="D22">
        <f t="shared" si="2"/>
        <v>-0.2613520072906102</v>
      </c>
      <c r="E22">
        <v>22</v>
      </c>
      <c r="F22">
        <f t="shared" si="3"/>
        <v>-2.8771700254319312</v>
      </c>
      <c r="G22">
        <f t="shared" si="4"/>
        <v>-0.68253026610003542</v>
      </c>
      <c r="H22">
        <f t="shared" si="5"/>
        <v>-0.18480377663190661</v>
      </c>
      <c r="I22">
        <v>22</v>
      </c>
      <c r="K22">
        <f t="shared" si="6"/>
        <v>2.0164372028270501</v>
      </c>
      <c r="L22">
        <f t="shared" si="7"/>
        <v>1.30848203608481</v>
      </c>
      <c r="M22">
        <v>22</v>
      </c>
      <c r="O22">
        <f t="shared" si="8"/>
        <v>1.9031423846811393</v>
      </c>
      <c r="P22">
        <f t="shared" si="9"/>
        <v>2.6118775677494166</v>
      </c>
    </row>
    <row r="23" spans="1:16" x14ac:dyDescent="0.35">
      <c r="A23">
        <v>23</v>
      </c>
      <c r="B23">
        <f t="shared" si="0"/>
        <v>-2.8645784717101286</v>
      </c>
      <c r="C23">
        <f t="shared" si="1"/>
        <v>-0.96187630083364573</v>
      </c>
      <c r="D23">
        <f t="shared" si="2"/>
        <v>-0.27348488421589578</v>
      </c>
      <c r="E23">
        <v>23</v>
      </c>
      <c r="F23">
        <f t="shared" si="3"/>
        <v>-2.8645784717101286</v>
      </c>
      <c r="G23">
        <f t="shared" si="4"/>
        <v>-0.68014925498210299</v>
      </c>
      <c r="H23">
        <f t="shared" si="5"/>
        <v>-0.19338301618107784</v>
      </c>
      <c r="I23">
        <v>23</v>
      </c>
      <c r="K23">
        <f t="shared" si="6"/>
        <v>2.0577026327017798</v>
      </c>
      <c r="L23">
        <f t="shared" si="7"/>
        <v>1.3499730229483458</v>
      </c>
      <c r="M23">
        <v>23</v>
      </c>
      <c r="O23">
        <f t="shared" si="8"/>
        <v>1.9467681232672427</v>
      </c>
      <c r="P23">
        <f t="shared" si="9"/>
        <v>2.655175077844381</v>
      </c>
    </row>
    <row r="24" spans="1:16" x14ac:dyDescent="0.35">
      <c r="A24">
        <v>24</v>
      </c>
      <c r="B24">
        <f t="shared" si="0"/>
        <v>-2.8519869179883255</v>
      </c>
      <c r="C24">
        <f t="shared" si="1"/>
        <v>-0.95835654181498742</v>
      </c>
      <c r="D24">
        <f t="shared" si="2"/>
        <v>-0.28557440144455914</v>
      </c>
      <c r="E24">
        <v>24</v>
      </c>
      <c r="F24">
        <f t="shared" si="3"/>
        <v>-2.8519869179883255</v>
      </c>
      <c r="G24">
        <f t="shared" si="4"/>
        <v>-0.67766040951186712</v>
      </c>
      <c r="H24">
        <f t="shared" si="5"/>
        <v>-0.2019315957947373</v>
      </c>
      <c r="I24">
        <v>24</v>
      </c>
      <c r="K24">
        <f t="shared" si="6"/>
        <v>2.0989680625765099</v>
      </c>
      <c r="L24">
        <f t="shared" si="7"/>
        <v>1.3914326962513508</v>
      </c>
      <c r="M24">
        <v>24</v>
      </c>
      <c r="O24">
        <f t="shared" si="8"/>
        <v>1.9903938618533459</v>
      </c>
      <c r="P24">
        <f t="shared" si="9"/>
        <v>2.6985074857707443</v>
      </c>
    </row>
    <row r="25" spans="1:16" x14ac:dyDescent="0.35">
      <c r="A25">
        <v>25</v>
      </c>
      <c r="B25">
        <f t="shared" si="0"/>
        <v>-2.8393953642665228</v>
      </c>
      <c r="C25">
        <f t="shared" si="1"/>
        <v>-0.95468484003346477</v>
      </c>
      <c r="D25">
        <f t="shared" si="2"/>
        <v>-0.29761864224251428</v>
      </c>
      <c r="E25">
        <v>25</v>
      </c>
      <c r="F25">
        <f t="shared" si="3"/>
        <v>-2.8393953642665228</v>
      </c>
      <c r="G25">
        <f t="shared" si="4"/>
        <v>-0.67506412428365781</v>
      </c>
      <c r="H25">
        <f t="shared" si="5"/>
        <v>-0.21044816013721507</v>
      </c>
      <c r="I25">
        <v>25</v>
      </c>
      <c r="K25">
        <f t="shared" si="6"/>
        <v>2.1402334924512401</v>
      </c>
      <c r="L25">
        <f t="shared" si="7"/>
        <v>1.4328610301978522</v>
      </c>
      <c r="M25">
        <v>25</v>
      </c>
      <c r="O25">
        <f t="shared" si="8"/>
        <v>2.0340196004394491</v>
      </c>
      <c r="P25">
        <f t="shared" si="9"/>
        <v>2.741874834912819</v>
      </c>
    </row>
    <row r="26" spans="1:16" x14ac:dyDescent="0.35">
      <c r="A26">
        <v>26</v>
      </c>
      <c r="B26">
        <f t="shared" si="0"/>
        <v>-2.8268038105447202</v>
      </c>
      <c r="C26">
        <f t="shared" si="1"/>
        <v>-0.95086177761951529</v>
      </c>
      <c r="D26">
        <f t="shared" si="2"/>
        <v>-0.30961569705403402</v>
      </c>
      <c r="E26">
        <v>26</v>
      </c>
      <c r="F26">
        <f t="shared" si="3"/>
        <v>-2.8268038105447202</v>
      </c>
      <c r="G26">
        <f t="shared" si="4"/>
        <v>-0.67236081092585465</v>
      </c>
      <c r="H26">
        <f t="shared" si="5"/>
        <v>-0.21893135894870738</v>
      </c>
      <c r="I26">
        <v>26</v>
      </c>
      <c r="K26">
        <f t="shared" si="6"/>
        <v>2.1814989223259698</v>
      </c>
      <c r="L26">
        <f t="shared" si="7"/>
        <v>1.4742580031319665</v>
      </c>
      <c r="M26">
        <v>26</v>
      </c>
      <c r="O26">
        <f t="shared" si="8"/>
        <v>2.0776453390255529</v>
      </c>
      <c r="P26">
        <f t="shared" si="9"/>
        <v>2.7852771635466187</v>
      </c>
    </row>
    <row r="27" spans="1:16" x14ac:dyDescent="0.35">
      <c r="A27">
        <v>27</v>
      </c>
      <c r="B27">
        <f t="shared" si="0"/>
        <v>-2.8142122568229171</v>
      </c>
      <c r="C27">
        <f t="shared" si="1"/>
        <v>-0.94688796070106762</v>
      </c>
      <c r="D27">
        <f t="shared" si="2"/>
        <v>-0.32156366380449974</v>
      </c>
      <c r="E27">
        <v>27</v>
      </c>
      <c r="F27">
        <f t="shared" si="3"/>
        <v>-2.8142122568229171</v>
      </c>
      <c r="G27">
        <f t="shared" si="4"/>
        <v>-0.66955089803562651</v>
      </c>
      <c r="H27">
        <f t="shared" si="5"/>
        <v>-0.22737984725935309</v>
      </c>
      <c r="I27">
        <v>27</v>
      </c>
      <c r="K27">
        <f t="shared" si="6"/>
        <v>2.2227643522007003</v>
      </c>
      <c r="L27">
        <f t="shared" si="7"/>
        <v>1.5156235975522705</v>
      </c>
      <c r="M27">
        <v>27</v>
      </c>
      <c r="O27">
        <f t="shared" si="8"/>
        <v>2.1212710776116559</v>
      </c>
      <c r="P27">
        <f t="shared" si="9"/>
        <v>2.8287145048116122</v>
      </c>
    </row>
    <row r="28" spans="1:16" x14ac:dyDescent="0.35">
      <c r="A28">
        <v>28</v>
      </c>
      <c r="B28">
        <f t="shared" si="0"/>
        <v>-2.8016207031011144</v>
      </c>
      <c r="C28">
        <f t="shared" si="1"/>
        <v>-0.94276401930744358</v>
      </c>
      <c r="D28">
        <f t="shared" si="2"/>
        <v>-0.33346064820196436</v>
      </c>
      <c r="E28">
        <v>28</v>
      </c>
      <c r="F28">
        <f t="shared" si="3"/>
        <v>-2.8016207031011144</v>
      </c>
      <c r="G28">
        <f t="shared" si="4"/>
        <v>-0.66663483111097899</v>
      </c>
      <c r="H28">
        <f t="shared" si="5"/>
        <v>-0.23579228560247087</v>
      </c>
      <c r="I28">
        <v>28</v>
      </c>
      <c r="K28">
        <f t="shared" si="6"/>
        <v>2.26402978207543</v>
      </c>
      <c r="L28">
        <f t="shared" si="7"/>
        <v>1.5569578001234246</v>
      </c>
      <c r="M28">
        <v>28</v>
      </c>
      <c r="O28">
        <f t="shared" si="8"/>
        <v>2.1648968161977589</v>
      </c>
      <c r="P28">
        <f t="shared" si="9"/>
        <v>2.8721868866862188</v>
      </c>
    </row>
    <row r="29" spans="1:16" x14ac:dyDescent="0.35">
      <c r="A29">
        <v>29</v>
      </c>
      <c r="B29">
        <f t="shared" si="0"/>
        <v>-2.7890291493793118</v>
      </c>
      <c r="C29">
        <f t="shared" si="1"/>
        <v>-0.93849060726946865</v>
      </c>
      <c r="D29">
        <f t="shared" si="2"/>
        <v>-0.345304764037486</v>
      </c>
      <c r="E29">
        <v>29</v>
      </c>
      <c r="F29">
        <f t="shared" si="3"/>
        <v>-2.7890291493793118</v>
      </c>
      <c r="G29">
        <f t="shared" si="4"/>
        <v>-0.66361307248012269</v>
      </c>
      <c r="H29">
        <f t="shared" si="5"/>
        <v>-0.24416734022692721</v>
      </c>
      <c r="I29">
        <v>29</v>
      </c>
      <c r="K29">
        <f t="shared" si="6"/>
        <v>2.3052952119501597</v>
      </c>
      <c r="L29">
        <f t="shared" si="7"/>
        <v>1.598260601685048</v>
      </c>
      <c r="M29">
        <v>29</v>
      </c>
      <c r="O29">
        <f t="shared" si="8"/>
        <v>2.2085225547838627</v>
      </c>
      <c r="P29">
        <f t="shared" si="9"/>
        <v>2.9156943319670772</v>
      </c>
    </row>
    <row r="30" spans="1:16" x14ac:dyDescent="0.35">
      <c r="A30">
        <v>30</v>
      </c>
      <c r="B30">
        <f t="shared" si="0"/>
        <v>-2.7764375956575087</v>
      </c>
      <c r="C30">
        <f t="shared" si="1"/>
        <v>-0.93406840211581166</v>
      </c>
      <c r="D30">
        <f t="shared" si="2"/>
        <v>-0.35709413348417585</v>
      </c>
      <c r="E30">
        <v>30</v>
      </c>
      <c r="F30">
        <f t="shared" si="3"/>
        <v>-2.7764375956575087</v>
      </c>
      <c r="G30">
        <f t="shared" si="4"/>
        <v>-0.66048610122817375</v>
      </c>
      <c r="H30">
        <f t="shared" si="5"/>
        <v>-0.25250368330859507</v>
      </c>
      <c r="I30">
        <v>30</v>
      </c>
      <c r="K30">
        <f t="shared" si="6"/>
        <v>2.3465606418248903</v>
      </c>
      <c r="L30">
        <f t="shared" si="7"/>
        <v>1.6395319972578166</v>
      </c>
      <c r="M30">
        <v>30</v>
      </c>
      <c r="O30">
        <f t="shared" si="8"/>
        <v>2.2521482933699657</v>
      </c>
      <c r="P30">
        <f t="shared" si="9"/>
        <v>2.9592368582521198</v>
      </c>
    </row>
    <row r="31" spans="1:16" x14ac:dyDescent="0.35">
      <c r="A31">
        <v>31</v>
      </c>
      <c r="B31">
        <f t="shared" si="0"/>
        <v>-2.763846041935706</v>
      </c>
      <c r="C31">
        <f t="shared" si="1"/>
        <v>-0.9294981049655654</v>
      </c>
      <c r="D31">
        <f t="shared" si="2"/>
        <v>-0.36882688739491704</v>
      </c>
      <c r="E31">
        <v>31</v>
      </c>
      <c r="F31">
        <f t="shared" si="3"/>
        <v>-2.763846041935706</v>
      </c>
      <c r="G31">
        <f t="shared" si="4"/>
        <v>-0.65725441312119715</v>
      </c>
      <c r="H31">
        <f t="shared" si="5"/>
        <v>-0.26079999316087321</v>
      </c>
      <c r="I31">
        <v>31</v>
      </c>
      <c r="K31">
        <f t="shared" si="6"/>
        <v>2.38782607169962</v>
      </c>
      <c r="L31">
        <f t="shared" si="7"/>
        <v>1.6807719860467734</v>
      </c>
      <c r="M31">
        <v>31</v>
      </c>
      <c r="O31">
        <f t="shared" si="8"/>
        <v>2.2957740319560691</v>
      </c>
      <c r="P31">
        <f t="shared" si="9"/>
        <v>3.0028144779275054</v>
      </c>
    </row>
    <row r="32" spans="1:16" x14ac:dyDescent="0.35">
      <c r="A32">
        <v>32</v>
      </c>
      <c r="B32">
        <f t="shared" si="0"/>
        <v>-2.7512544882139034</v>
      </c>
      <c r="C32">
        <f t="shared" si="1"/>
        <v>-0.92478044041708718</v>
      </c>
      <c r="D32">
        <f t="shared" si="2"/>
        <v>-0.38050116559871172</v>
      </c>
      <c r="E32">
        <v>32</v>
      </c>
      <c r="F32">
        <f t="shared" si="3"/>
        <v>-2.7512544882139034</v>
      </c>
      <c r="G32">
        <f t="shared" si="4"/>
        <v>-0.6539185205276048</v>
      </c>
      <c r="H32">
        <f t="shared" si="5"/>
        <v>-0.26905495444423472</v>
      </c>
      <c r="I32">
        <v>32</v>
      </c>
      <c r="K32">
        <f t="shared" si="6"/>
        <v>2.4290915015743502</v>
      </c>
      <c r="L32">
        <f t="shared" si="7"/>
        <v>1.7219805714418657</v>
      </c>
      <c r="M32">
        <v>32</v>
      </c>
      <c r="O32">
        <f t="shared" si="8"/>
        <v>2.3393997705421725</v>
      </c>
      <c r="P32">
        <f t="shared" si="9"/>
        <v>3.0464271981583964</v>
      </c>
    </row>
    <row r="33" spans="1:16" x14ac:dyDescent="0.35">
      <c r="A33">
        <v>33</v>
      </c>
      <c r="B33">
        <f t="shared" si="0"/>
        <v>-2.7386629344921003</v>
      </c>
      <c r="C33">
        <f t="shared" si="1"/>
        <v>-0.91991615643311786</v>
      </c>
      <c r="D33">
        <f t="shared" si="2"/>
        <v>-0.39211511719560044</v>
      </c>
      <c r="E33">
        <v>33</v>
      </c>
      <c r="F33">
        <f t="shared" si="3"/>
        <v>-2.7386629344921003</v>
      </c>
      <c r="G33">
        <f t="shared" si="4"/>
        <v>-0.65047895233692299</v>
      </c>
      <c r="H33">
        <f t="shared" si="5"/>
        <v>-0.27726725837476707</v>
      </c>
      <c r="I33">
        <v>33</v>
      </c>
      <c r="K33">
        <f t="shared" ref="K33:K64" si="10">1.14986317545772+(I33-1)*0.04126542987473</f>
        <v>2.4703569314490803</v>
      </c>
      <c r="L33">
        <f t="shared" ref="L33:L64" si="11">0+1*K33-0.705570846805564*(1.00413223140496+(K33-2.33376618084762)^2/38.1756861665492)^0.5</f>
        <v>1.7631577610156826</v>
      </c>
      <c r="M33">
        <v>33</v>
      </c>
      <c r="O33">
        <f t="shared" ref="O33:O64" si="12">0.98700187437297+(M33-1)*0.0436257385861033</f>
        <v>2.3830255091282755</v>
      </c>
      <c r="P33">
        <f t="shared" ref="P33:P64" si="13">0+1*O33+0.705570846805564*(1.00413223140496+(O33-2.33376618084762)^2/38.1756861665492)^0.5</f>
        <v>3.0900750208836305</v>
      </c>
    </row>
    <row r="34" spans="1:16" x14ac:dyDescent="0.35">
      <c r="A34">
        <v>34</v>
      </c>
      <c r="B34">
        <f t="shared" si="0"/>
        <v>-2.7260713807702976</v>
      </c>
      <c r="C34">
        <f t="shared" si="1"/>
        <v>-0.91490602422219602</v>
      </c>
      <c r="D34">
        <f t="shared" si="2"/>
        <v>-0.40366690085011231</v>
      </c>
      <c r="E34">
        <v>34</v>
      </c>
      <c r="F34">
        <f t="shared" si="3"/>
        <v>-2.7260713807702976</v>
      </c>
      <c r="G34">
        <f t="shared" si="4"/>
        <v>-0.646936253875939</v>
      </c>
      <c r="H34">
        <f t="shared" si="5"/>
        <v>-0.28543560293167236</v>
      </c>
      <c r="I34">
        <v>34</v>
      </c>
      <c r="K34">
        <f t="shared" si="10"/>
        <v>2.51162236132381</v>
      </c>
      <c r="L34">
        <f t="shared" si="11"/>
        <v>1.8043035665184135</v>
      </c>
      <c r="M34">
        <v>34</v>
      </c>
      <c r="O34">
        <f t="shared" si="12"/>
        <v>2.4266512477143793</v>
      </c>
      <c r="P34">
        <f t="shared" si="13"/>
        <v>3.1337579428142779</v>
      </c>
    </row>
    <row r="35" spans="1:16" x14ac:dyDescent="0.35">
      <c r="A35">
        <v>35</v>
      </c>
      <c r="B35">
        <f t="shared" si="0"/>
        <v>-2.713479827048495</v>
      </c>
      <c r="C35">
        <f t="shared" si="1"/>
        <v>-0.90975083811638624</v>
      </c>
      <c r="D35">
        <f t="shared" si="2"/>
        <v>-0.41515468508320219</v>
      </c>
      <c r="E35">
        <v>35</v>
      </c>
      <c r="F35">
        <f t="shared" si="3"/>
        <v>-2.713479827048495</v>
      </c>
      <c r="G35">
        <f t="shared" si="4"/>
        <v>-0.64329098682224217</v>
      </c>
      <c r="H35">
        <f t="shared" si="5"/>
        <v>-0.29355869306369808</v>
      </c>
      <c r="I35">
        <v>35</v>
      </c>
      <c r="K35">
        <f t="shared" si="10"/>
        <v>2.5528877911985401</v>
      </c>
      <c r="L35">
        <f t="shared" si="11"/>
        <v>1.8454180038700314</v>
      </c>
      <c r="M35">
        <v>35</v>
      </c>
      <c r="O35">
        <f t="shared" si="12"/>
        <v>2.4702769863004823</v>
      </c>
      <c r="P35">
        <f t="shared" si="13"/>
        <v>3.1774759554360852</v>
      </c>
    </row>
    <row r="36" spans="1:16" x14ac:dyDescent="0.35">
      <c r="A36">
        <v>36</v>
      </c>
      <c r="B36">
        <f t="shared" si="0"/>
        <v>-2.7008882733266919</v>
      </c>
      <c r="C36">
        <f t="shared" si="1"/>
        <v>-0.90445141544534147</v>
      </c>
      <c r="D36">
        <f t="shared" si="2"/>
        <v>-0.42657664856262156</v>
      </c>
      <c r="E36">
        <v>36</v>
      </c>
      <c r="F36">
        <f t="shared" si="3"/>
        <v>-2.7008882733266919</v>
      </c>
      <c r="G36">
        <f t="shared" si="4"/>
        <v>-0.63954372911517265</v>
      </c>
      <c r="H36">
        <f t="shared" si="5"/>
        <v>-0.30163524089446064</v>
      </c>
      <c r="I36">
        <v>36</v>
      </c>
      <c r="K36">
        <f t="shared" si="10"/>
        <v>2.5941532210732703</v>
      </c>
      <c r="L36">
        <f t="shared" si="11"/>
        <v>1.886501093149707</v>
      </c>
      <c r="M36">
        <v>36</v>
      </c>
      <c r="O36">
        <f t="shared" si="12"/>
        <v>2.5139027248865853</v>
      </c>
      <c r="P36">
        <f t="shared" si="13"/>
        <v>3.2212290450158187</v>
      </c>
    </row>
    <row r="37" spans="1:16" x14ac:dyDescent="0.35">
      <c r="A37">
        <v>37</v>
      </c>
      <c r="B37">
        <f t="shared" si="0"/>
        <v>-2.6882967196048893</v>
      </c>
      <c r="C37">
        <f t="shared" si="1"/>
        <v>-0.89900859640672026</v>
      </c>
      <c r="D37">
        <f t="shared" si="2"/>
        <v>-0.43793098039168077</v>
      </c>
      <c r="E37">
        <v>37</v>
      </c>
      <c r="F37">
        <f t="shared" si="3"/>
        <v>-2.6882967196048893</v>
      </c>
      <c r="G37">
        <f t="shared" si="4"/>
        <v>-0.63569507486419241</v>
      </c>
      <c r="H37">
        <f t="shared" si="5"/>
        <v>-0.30966396592663065</v>
      </c>
      <c r="I37">
        <v>37</v>
      </c>
      <c r="K37">
        <f t="shared" si="10"/>
        <v>2.635418650948</v>
      </c>
      <c r="L37">
        <f t="shared" si="11"/>
        <v>1.9275528585824819</v>
      </c>
      <c r="M37">
        <v>37</v>
      </c>
      <c r="O37">
        <f t="shared" si="12"/>
        <v>2.5575284634726891</v>
      </c>
      <c r="P37">
        <f t="shared" si="13"/>
        <v>3.2650171926114715</v>
      </c>
    </row>
    <row r="38" spans="1:16" x14ac:dyDescent="0.35">
      <c r="A38">
        <v>38</v>
      </c>
      <c r="B38">
        <f t="shared" si="0"/>
        <v>-2.6757051658830866</v>
      </c>
      <c r="C38">
        <f t="shared" si="1"/>
        <v>-0.89342324393297667</v>
      </c>
      <c r="D38">
        <f t="shared" si="2"/>
        <v>-0.44921588039636001</v>
      </c>
      <c r="E38">
        <v>38</v>
      </c>
      <c r="F38">
        <f t="shared" si="3"/>
        <v>-2.6757051658830866</v>
      </c>
      <c r="G38">
        <f t="shared" si="4"/>
        <v>-0.63174563425469121</v>
      </c>
      <c r="H38">
        <f t="shared" si="5"/>
        <v>-0.31764359524495145</v>
      </c>
      <c r="I38">
        <v>38</v>
      </c>
      <c r="K38">
        <f t="shared" si="10"/>
        <v>2.6766840808227301</v>
      </c>
      <c r="L38">
        <f t="shared" si="11"/>
        <v>1.9685733285232092</v>
      </c>
      <c r="M38">
        <v>38</v>
      </c>
      <c r="O38">
        <f t="shared" si="12"/>
        <v>2.6011542020587921</v>
      </c>
      <c r="P38">
        <f t="shared" si="13"/>
        <v>3.3088403740863375</v>
      </c>
    </row>
    <row r="39" spans="1:16" x14ac:dyDescent="0.35">
      <c r="A39">
        <v>39</v>
      </c>
      <c r="B39">
        <f t="shared" si="0"/>
        <v>-2.6631136121612835</v>
      </c>
      <c r="C39">
        <f t="shared" si="1"/>
        <v>-0.88769624355454657</v>
      </c>
      <c r="D39">
        <f t="shared" si="2"/>
        <v>-0.46042955941071717</v>
      </c>
      <c r="E39">
        <v>39</v>
      </c>
      <c r="F39">
        <f t="shared" si="3"/>
        <v>-2.6631136121612835</v>
      </c>
      <c r="G39">
        <f t="shared" si="4"/>
        <v>-0.62769603345124536</v>
      </c>
      <c r="H39">
        <f t="shared" si="5"/>
        <v>-0.32557286371805272</v>
      </c>
      <c r="I39">
        <v>39</v>
      </c>
      <c r="K39">
        <f t="shared" si="10"/>
        <v>2.7179495106974603</v>
      </c>
      <c r="L39">
        <f t="shared" si="11"/>
        <v>2.0095625354377948</v>
      </c>
      <c r="M39">
        <v>39</v>
      </c>
      <c r="O39">
        <f t="shared" si="12"/>
        <v>2.6447799406448955</v>
      </c>
      <c r="P39">
        <f t="shared" si="13"/>
        <v>3.3526985601269201</v>
      </c>
    </row>
    <row r="40" spans="1:16" x14ac:dyDescent="0.35">
      <c r="A40">
        <v>40</v>
      </c>
      <c r="B40">
        <f t="shared" si="0"/>
        <v>-2.6505220584394809</v>
      </c>
      <c r="C40">
        <f t="shared" si="1"/>
        <v>-0.88182850325945195</v>
      </c>
      <c r="D40">
        <f t="shared" si="2"/>
        <v>-0.47157023956055033</v>
      </c>
      <c r="E40">
        <v>40</v>
      </c>
      <c r="F40">
        <f t="shared" si="3"/>
        <v>-2.6505220584394809</v>
      </c>
      <c r="G40">
        <f t="shared" si="4"/>
        <v>-0.62354691449834243</v>
      </c>
      <c r="H40">
        <f t="shared" si="5"/>
        <v>-0.3334505141990301</v>
      </c>
      <c r="I40">
        <v>40</v>
      </c>
      <c r="K40">
        <f t="shared" si="10"/>
        <v>2.75921494057219</v>
      </c>
      <c r="L40">
        <f t="shared" si="11"/>
        <v>2.0505205158817619</v>
      </c>
      <c r="M40">
        <v>40</v>
      </c>
      <c r="O40">
        <f t="shared" si="12"/>
        <v>2.6884056792309989</v>
      </c>
      <c r="P40">
        <f t="shared" si="13"/>
        <v>3.3965917162646408</v>
      </c>
    </row>
    <row r="41" spans="1:16" x14ac:dyDescent="0.35">
      <c r="A41">
        <v>41</v>
      </c>
      <c r="B41">
        <f t="shared" si="0"/>
        <v>-2.6379305047176782</v>
      </c>
      <c r="C41">
        <f t="shared" si="1"/>
        <v>-0.87582095334934262</v>
      </c>
      <c r="D41">
        <f t="shared" si="2"/>
        <v>-0.48263615454527298</v>
      </c>
      <c r="E41">
        <v>41</v>
      </c>
      <c r="F41">
        <f t="shared" si="3"/>
        <v>-2.6379305047176782</v>
      </c>
      <c r="G41">
        <f t="shared" si="4"/>
        <v>-0.61929893521858748</v>
      </c>
      <c r="H41">
        <f t="shared" si="5"/>
        <v>-0.34127529772476128</v>
      </c>
      <c r="I41">
        <v>41</v>
      </c>
      <c r="K41">
        <f t="shared" si="10"/>
        <v>2.8004803704469201</v>
      </c>
      <c r="L41">
        <f t="shared" si="11"/>
        <v>2.0914473104761804</v>
      </c>
      <c r="M41">
        <v>41</v>
      </c>
      <c r="O41">
        <f t="shared" si="12"/>
        <v>2.7320314178171019</v>
      </c>
      <c r="P41">
        <f t="shared" si="13"/>
        <v>3.4405198029013162</v>
      </c>
    </row>
    <row r="42" spans="1:16" x14ac:dyDescent="0.35">
      <c r="A42">
        <v>42</v>
      </c>
      <c r="B42">
        <f t="shared" si="0"/>
        <v>-2.6253389509958751</v>
      </c>
      <c r="C42">
        <f t="shared" si="1"/>
        <v>-0.86967454629200225</v>
      </c>
      <c r="D42">
        <f t="shared" si="2"/>
        <v>-0.4936255499179516</v>
      </c>
      <c r="E42">
        <v>42</v>
      </c>
      <c r="F42">
        <f t="shared" si="3"/>
        <v>-2.6253389509958751</v>
      </c>
      <c r="G42">
        <f t="shared" si="4"/>
        <v>-0.61495276910840924</v>
      </c>
      <c r="H42">
        <f t="shared" si="5"/>
        <v>-0.34904597371392243</v>
      </c>
      <c r="I42">
        <v>42</v>
      </c>
      <c r="K42">
        <f t="shared" si="10"/>
        <v>2.8417458003216503</v>
      </c>
      <c r="L42">
        <f t="shared" si="11"/>
        <v>2.1323429638809874</v>
      </c>
      <c r="M42">
        <v>42</v>
      </c>
      <c r="O42">
        <f t="shared" si="12"/>
        <v>2.7756571564032058</v>
      </c>
      <c r="P42">
        <f t="shared" si="13"/>
        <v>3.4844827753383605</v>
      </c>
    </row>
    <row r="43" spans="1:16" x14ac:dyDescent="0.35">
      <c r="A43">
        <v>43</v>
      </c>
      <c r="B43">
        <f t="shared" si="0"/>
        <v>-2.6127473972740725</v>
      </c>
      <c r="C43">
        <f t="shared" si="1"/>
        <v>-0.8633902565703393</v>
      </c>
      <c r="D43">
        <f t="shared" si="2"/>
        <v>-0.50453668336346336</v>
      </c>
      <c r="E43">
        <v>43</v>
      </c>
      <c r="F43">
        <f t="shared" si="3"/>
        <v>-2.6127473972740725</v>
      </c>
      <c r="G43">
        <f t="shared" si="4"/>
        <v>-0.61050910523128044</v>
      </c>
      <c r="H43">
        <f t="shared" si="5"/>
        <v>-0.35676131016367513</v>
      </c>
      <c r="I43">
        <v>43</v>
      </c>
      <c r="K43">
        <f t="shared" si="10"/>
        <v>2.8830112301963799</v>
      </c>
      <c r="L43">
        <f t="shared" si="11"/>
        <v>2.1732075247657447</v>
      </c>
      <c r="M43">
        <v>43</v>
      </c>
      <c r="O43">
        <f t="shared" si="12"/>
        <v>2.8192828949893087</v>
      </c>
      <c r="P43">
        <f t="shared" si="13"/>
        <v>3.5284805838096513</v>
      </c>
    </row>
    <row r="44" spans="1:16" x14ac:dyDescent="0.35">
      <c r="A44">
        <v>44</v>
      </c>
      <c r="B44">
        <f t="shared" si="0"/>
        <v>-2.6001558435522698</v>
      </c>
      <c r="C44">
        <f t="shared" si="1"/>
        <v>-0.8569690805278869</v>
      </c>
      <c r="D44">
        <f t="shared" si="2"/>
        <v>-0.51536782497473399</v>
      </c>
      <c r="E44">
        <v>44</v>
      </c>
      <c r="F44">
        <f t="shared" si="3"/>
        <v>-2.6001558435522698</v>
      </c>
      <c r="G44">
        <f t="shared" si="4"/>
        <v>-0.60596864810846973</v>
      </c>
      <c r="H44">
        <f t="shared" si="5"/>
        <v>-0.36442008384499641</v>
      </c>
      <c r="I44">
        <v>44</v>
      </c>
      <c r="K44">
        <f t="shared" si="10"/>
        <v>2.9242766600711101</v>
      </c>
      <c r="L44">
        <f t="shared" si="11"/>
        <v>2.2140410457778836</v>
      </c>
      <c r="M44">
        <v>44</v>
      </c>
      <c r="O44">
        <f t="shared" si="12"/>
        <v>2.8629086335754117</v>
      </c>
      <c r="P44">
        <f t="shared" si="13"/>
        <v>3.5725131735180273</v>
      </c>
    </row>
    <row r="45" spans="1:16" x14ac:dyDescent="0.35">
      <c r="A45">
        <v>45</v>
      </c>
      <c r="B45">
        <f t="shared" si="0"/>
        <v>-2.5875642898304667</v>
      </c>
      <c r="C45">
        <f t="shared" si="1"/>
        <v>-0.85041203621083761</v>
      </c>
      <c r="D45">
        <f t="shared" si="2"/>
        <v>-0.52611725752700511</v>
      </c>
      <c r="E45">
        <v>45</v>
      </c>
      <c r="F45">
        <f t="shared" si="3"/>
        <v>-2.5875642898304667</v>
      </c>
      <c r="G45">
        <f t="shared" si="4"/>
        <v>-0.60133211760734351</v>
      </c>
      <c r="H45">
        <f t="shared" si="5"/>
        <v>-0.37202108049661475</v>
      </c>
      <c r="I45">
        <v>45</v>
      </c>
      <c r="K45">
        <f t="shared" si="10"/>
        <v>2.9655420899458402</v>
      </c>
      <c r="L45">
        <f t="shared" si="11"/>
        <v>2.254843583508471</v>
      </c>
      <c r="M45">
        <v>45</v>
      </c>
      <c r="O45">
        <f t="shared" si="12"/>
        <v>2.9065343721615156</v>
      </c>
      <c r="P45">
        <f t="shared" si="13"/>
        <v>3.6165804846753224</v>
      </c>
    </row>
    <row r="46" spans="1:16" x14ac:dyDescent="0.35">
      <c r="A46">
        <v>46</v>
      </c>
      <c r="B46">
        <f t="shared" si="0"/>
        <v>-2.5749727361086641</v>
      </c>
      <c r="C46">
        <f t="shared" si="1"/>
        <v>-0.84372016320663801</v>
      </c>
      <c r="D46">
        <f t="shared" si="2"/>
        <v>-0.53678327675009052</v>
      </c>
      <c r="E46">
        <v>46</v>
      </c>
      <c r="F46">
        <f t="shared" si="3"/>
        <v>-2.5749727361086641</v>
      </c>
      <c r="G46">
        <f t="shared" si="4"/>
        <v>-0.59660024882723472</v>
      </c>
      <c r="H46">
        <f t="shared" si="5"/>
        <v>-0.3795630950175245</v>
      </c>
      <c r="I46">
        <v>46</v>
      </c>
      <c r="K46">
        <f t="shared" si="10"/>
        <v>3.0068075198205699</v>
      </c>
      <c r="L46">
        <f t="shared" si="11"/>
        <v>2.2956151984555593</v>
      </c>
      <c r="M46">
        <v>46</v>
      </c>
      <c r="O46">
        <f t="shared" si="12"/>
        <v>2.9501601107476185</v>
      </c>
      <c r="P46">
        <f t="shared" si="13"/>
        <v>3.6606824525458994</v>
      </c>
    </row>
    <row r="47" spans="1:16" x14ac:dyDescent="0.35">
      <c r="A47">
        <v>47</v>
      </c>
      <c r="B47">
        <f t="shared" si="0"/>
        <v>-2.5623811823868614</v>
      </c>
      <c r="C47">
        <f t="shared" si="1"/>
        <v>-0.83689452247916551</v>
      </c>
      <c r="D47">
        <f t="shared" si="2"/>
        <v>-0.54736419159858218</v>
      </c>
      <c r="E47">
        <v>47</v>
      </c>
      <c r="F47">
        <f t="shared" si="3"/>
        <v>-2.5623811823868614</v>
      </c>
      <c r="G47">
        <f t="shared" si="4"/>
        <v>-0.59177379198289592</v>
      </c>
      <c r="H47">
        <f t="shared" si="5"/>
        <v>-0.38704493165805037</v>
      </c>
      <c r="I47">
        <v>47</v>
      </c>
      <c r="K47">
        <f t="shared" si="10"/>
        <v>3.0480729496953001</v>
      </c>
      <c r="L47">
        <f t="shared" si="11"/>
        <v>2.3363559549851751</v>
      </c>
      <c r="M47">
        <v>47</v>
      </c>
      <c r="O47">
        <f t="shared" si="12"/>
        <v>2.9937858493337215</v>
      </c>
      <c r="P47">
        <f t="shared" si="13"/>
        <v>3.7048190074935925</v>
      </c>
    </row>
    <row r="48" spans="1:16" x14ac:dyDescent="0.35">
      <c r="A48">
        <v>48</v>
      </c>
      <c r="B48">
        <f t="shared" si="0"/>
        <v>-2.5497896286650583</v>
      </c>
      <c r="C48">
        <f t="shared" si="1"/>
        <v>-0.82993619620051928</v>
      </c>
      <c r="D48">
        <f t="shared" si="2"/>
        <v>-0.55785832451995665</v>
      </c>
      <c r="E48">
        <v>48</v>
      </c>
      <c r="F48">
        <f t="shared" si="3"/>
        <v>-2.5497896286650583</v>
      </c>
      <c r="G48">
        <f t="shared" si="4"/>
        <v>-0.5868535122855566</v>
      </c>
      <c r="H48">
        <f t="shared" si="5"/>
        <v>-0.39446540420942727</v>
      </c>
      <c r="I48">
        <v>48</v>
      </c>
      <c r="K48">
        <f t="shared" si="10"/>
        <v>3.0893383795700302</v>
      </c>
      <c r="L48">
        <f t="shared" si="11"/>
        <v>2.3770659212899941</v>
      </c>
      <c r="M48">
        <v>48</v>
      </c>
      <c r="O48">
        <f t="shared" si="12"/>
        <v>3.0374115879198254</v>
      </c>
      <c r="P48">
        <f t="shared" si="13"/>
        <v>3.7489900750319856</v>
      </c>
    </row>
    <row r="49" spans="1:16" x14ac:dyDescent="0.35">
      <c r="A49">
        <v>49</v>
      </c>
      <c r="B49">
        <f t="shared" si="0"/>
        <v>-2.5371980749432557</v>
      </c>
      <c r="C49">
        <f t="shared" si="1"/>
        <v>-0.82284628757944644</v>
      </c>
      <c r="D49">
        <f t="shared" si="2"/>
        <v>-0.56826401172054075</v>
      </c>
      <c r="E49">
        <v>49</v>
      </c>
      <c r="F49">
        <f t="shared" si="3"/>
        <v>-2.5371980749432557</v>
      </c>
      <c r="G49">
        <f t="shared" si="4"/>
        <v>-0.58184018982160302</v>
      </c>
      <c r="H49">
        <f t="shared" si="5"/>
        <v>-0.40182333619186639</v>
      </c>
      <c r="I49">
        <v>49</v>
      </c>
      <c r="K49">
        <f t="shared" si="10"/>
        <v>3.1306038094447599</v>
      </c>
      <c r="L49">
        <f t="shared" si="11"/>
        <v>2.4177451693457748</v>
      </c>
      <c r="M49">
        <v>49</v>
      </c>
      <c r="O49">
        <f t="shared" si="12"/>
        <v>3.0810373265059283</v>
      </c>
      <c r="P49">
        <f t="shared" si="13"/>
        <v>3.7931955758779385</v>
      </c>
    </row>
    <row r="50" spans="1:16" x14ac:dyDescent="0.35">
      <c r="A50">
        <v>50</v>
      </c>
      <c r="B50">
        <f t="shared" si="0"/>
        <v>-2.524606521221453</v>
      </c>
      <c r="C50">
        <f t="shared" si="1"/>
        <v>-0.81562592068643358</v>
      </c>
      <c r="D50">
        <f t="shared" si="2"/>
        <v>-0.57857960342930126</v>
      </c>
      <c r="E50">
        <v>50</v>
      </c>
      <c r="F50">
        <f t="shared" si="3"/>
        <v>-2.524606521221453</v>
      </c>
      <c r="G50">
        <f t="shared" si="4"/>
        <v>-0.57673461942889881</v>
      </c>
      <c r="H50">
        <f t="shared" si="5"/>
        <v>-0.40911756104108266</v>
      </c>
      <c r="I50">
        <v>50</v>
      </c>
      <c r="K50">
        <f t="shared" si="10"/>
        <v>3.1718692393194905</v>
      </c>
      <c r="L50">
        <f t="shared" si="11"/>
        <v>2.4583937748656126</v>
      </c>
      <c r="M50">
        <v>50</v>
      </c>
      <c r="O50">
        <f t="shared" si="12"/>
        <v>3.1246630650920322</v>
      </c>
      <c r="P50">
        <f t="shared" si="13"/>
        <v>3.8374354260082821</v>
      </c>
    </row>
    <row r="51" spans="1:16" x14ac:dyDescent="0.35">
      <c r="A51">
        <v>51</v>
      </c>
      <c r="B51">
        <f t="shared" si="0"/>
        <v>-2.5120149674996499</v>
      </c>
      <c r="C51">
        <f t="shared" si="1"/>
        <v>-0.80827624027549083</v>
      </c>
      <c r="D51">
        <f t="shared" si="2"/>
        <v>-0.58880346415940599</v>
      </c>
      <c r="E51">
        <v>51</v>
      </c>
      <c r="F51">
        <f t="shared" si="3"/>
        <v>-2.5120149674996499</v>
      </c>
      <c r="G51">
        <f t="shared" si="4"/>
        <v>-0.57153761057076724</v>
      </c>
      <c r="H51">
        <f t="shared" si="5"/>
        <v>-0.41634692229324655</v>
      </c>
      <c r="I51">
        <v>51</v>
      </c>
      <c r="K51">
        <f t="shared" si="10"/>
        <v>3.2131346691942202</v>
      </c>
      <c r="L51">
        <f t="shared" si="11"/>
        <v>2.4990118172520672</v>
      </c>
      <c r="M51">
        <v>51</v>
      </c>
      <c r="O51">
        <f t="shared" si="12"/>
        <v>3.1682888036781351</v>
      </c>
      <c r="P51">
        <f t="shared" si="13"/>
        <v>3.8817095367195771</v>
      </c>
    </row>
    <row r="52" spans="1:16" x14ac:dyDescent="0.35">
      <c r="A52">
        <v>52</v>
      </c>
      <c r="B52">
        <f t="shared" si="0"/>
        <v>-2.4994234137778473</v>
      </c>
      <c r="C52">
        <f t="shared" si="1"/>
        <v>-0.80079841160265763</v>
      </c>
      <c r="D52">
        <f t="shared" si="2"/>
        <v>-0.59893397296752204</v>
      </c>
      <c r="E52">
        <v>52</v>
      </c>
      <c r="F52">
        <f t="shared" si="3"/>
        <v>-2.4994234137778473</v>
      </c>
      <c r="G52">
        <f t="shared" si="4"/>
        <v>-0.56624998720765563</v>
      </c>
      <c r="H52">
        <f t="shared" si="5"/>
        <v>-0.4235102737683355</v>
      </c>
      <c r="I52">
        <v>52</v>
      </c>
      <c r="K52">
        <f t="shared" si="10"/>
        <v>3.2544000990689499</v>
      </c>
      <c r="L52">
        <f t="shared" si="11"/>
        <v>2.5395993795472602</v>
      </c>
      <c r="M52">
        <v>52</v>
      </c>
      <c r="O52">
        <f t="shared" si="12"/>
        <v>3.2119145422642381</v>
      </c>
      <c r="P52">
        <f t="shared" si="13"/>
        <v>3.9260178146908498</v>
      </c>
    </row>
    <row r="53" spans="1:16" x14ac:dyDescent="0.35">
      <c r="A53">
        <v>53</v>
      </c>
      <c r="B53">
        <f t="shared" si="0"/>
        <v>-2.4868318600560446</v>
      </c>
      <c r="C53">
        <f t="shared" si="1"/>
        <v>-0.79319362024125561</v>
      </c>
      <c r="D53">
        <f t="shared" si="2"/>
        <v>-0.60896952371081003</v>
      </c>
      <c r="E53">
        <v>53</v>
      </c>
      <c r="F53">
        <f t="shared" si="3"/>
        <v>-2.4868318600560446</v>
      </c>
      <c r="G53">
        <f t="shared" si="4"/>
        <v>-0.56087258766649939</v>
      </c>
      <c r="H53">
        <f t="shared" si="5"/>
        <v>-0.43060647975185612</v>
      </c>
      <c r="I53">
        <v>53</v>
      </c>
      <c r="K53">
        <f t="shared" si="10"/>
        <v>3.2956655289436805</v>
      </c>
      <c r="L53">
        <f t="shared" si="11"/>
        <v>2.5801565483809825</v>
      </c>
      <c r="M53">
        <v>53</v>
      </c>
      <c r="O53">
        <f t="shared" si="12"/>
        <v>3.255540280850342</v>
      </c>
      <c r="P53">
        <f t="shared" si="13"/>
        <v>3.9703601620491979</v>
      </c>
    </row>
    <row r="54" spans="1:16" x14ac:dyDescent="0.35">
      <c r="A54">
        <v>54</v>
      </c>
      <c r="B54">
        <f t="shared" si="0"/>
        <v>-2.4742403063342415</v>
      </c>
      <c r="C54">
        <f t="shared" si="1"/>
        <v>-0.78546307189392217</v>
      </c>
      <c r="D54">
        <f t="shared" si="2"/>
        <v>-0.61890852530156926</v>
      </c>
      <c r="E54">
        <v>54</v>
      </c>
      <c r="F54">
        <f t="shared" si="3"/>
        <v>-2.4742403063342415</v>
      </c>
      <c r="G54">
        <f t="shared" si="4"/>
        <v>-0.5554062645078095</v>
      </c>
      <c r="H54">
        <f t="shared" si="5"/>
        <v>-0.43763441517490587</v>
      </c>
      <c r="I54">
        <v>54</v>
      </c>
      <c r="K54">
        <f t="shared" si="10"/>
        <v>3.3369309588184102</v>
      </c>
      <c r="L54">
        <f t="shared" si="11"/>
        <v>2.6206834139169066</v>
      </c>
      <c r="M54">
        <v>54</v>
      </c>
      <c r="O54">
        <f t="shared" si="12"/>
        <v>3.2991660194364449</v>
      </c>
      <c r="P54">
        <f t="shared" si="13"/>
        <v>4.0147364764381583</v>
      </c>
    </row>
    <row r="55" spans="1:16" x14ac:dyDescent="0.35">
      <c r="A55">
        <v>55</v>
      </c>
      <c r="B55">
        <f t="shared" si="0"/>
        <v>-2.4616487526124389</v>
      </c>
      <c r="C55">
        <f t="shared" si="1"/>
        <v>-0.7776079922014536</v>
      </c>
      <c r="D55">
        <f t="shared" si="2"/>
        <v>-0.62874940195949613</v>
      </c>
      <c r="E55">
        <v>55</v>
      </c>
      <c r="F55">
        <f t="shared" si="3"/>
        <v>-2.4616487526124389</v>
      </c>
      <c r="G55">
        <f t="shared" si="4"/>
        <v>-0.54985188439050414</v>
      </c>
      <c r="H55">
        <f t="shared" si="5"/>
        <v>-0.44459296579254637</v>
      </c>
      <c r="I55">
        <v>55</v>
      </c>
      <c r="K55">
        <f t="shared" si="10"/>
        <v>3.3781963886931399</v>
      </c>
      <c r="L55">
        <f t="shared" si="11"/>
        <v>2.6611800697969761</v>
      </c>
      <c r="M55">
        <v>55</v>
      </c>
      <c r="O55">
        <f t="shared" si="12"/>
        <v>3.3427917580225479</v>
      </c>
      <c r="P55">
        <f t="shared" si="13"/>
        <v>4.059146651088744</v>
      </c>
    </row>
    <row r="56" spans="1:16" x14ac:dyDescent="0.35">
      <c r="A56">
        <v>56</v>
      </c>
      <c r="B56">
        <f t="shared" si="0"/>
        <v>-2.4490571988906362</v>
      </c>
      <c r="C56">
        <f t="shared" si="1"/>
        <v>-0.76962962654848344</v>
      </c>
      <c r="D56">
        <f t="shared" si="2"/>
        <v>-0.63849059346151837</v>
      </c>
      <c r="E56">
        <v>56</v>
      </c>
      <c r="F56">
        <f t="shared" si="3"/>
        <v>-2.4490571988906362</v>
      </c>
      <c r="G56">
        <f t="shared" si="4"/>
        <v>-0.54421032793450319</v>
      </c>
      <c r="H56">
        <f t="shared" si="5"/>
        <v>-0.45148102836046305</v>
      </c>
      <c r="I56">
        <v>56</v>
      </c>
      <c r="K56">
        <f t="shared" si="10"/>
        <v>3.4194618185678705</v>
      </c>
      <c r="L56">
        <f t="shared" si="11"/>
        <v>2.7016466130840397</v>
      </c>
      <c r="M56">
        <v>56</v>
      </c>
      <c r="O56">
        <f t="shared" si="12"/>
        <v>3.3864174966086518</v>
      </c>
      <c r="P56">
        <f t="shared" si="13"/>
        <v>4.103590574893011</v>
      </c>
    </row>
    <row r="57" spans="1:16" x14ac:dyDescent="0.35">
      <c r="A57">
        <v>57</v>
      </c>
      <c r="B57">
        <f t="shared" si="0"/>
        <v>-2.4364656451688331</v>
      </c>
      <c r="C57">
        <f t="shared" si="1"/>
        <v>-0.76152923986603405</v>
      </c>
      <c r="D57">
        <f t="shared" si="2"/>
        <v>-0.64813055538915954</v>
      </c>
      <c r="E57">
        <v>57</v>
      </c>
      <c r="F57">
        <f t="shared" si="3"/>
        <v>-2.4364656451688331</v>
      </c>
      <c r="G57">
        <f t="shared" si="4"/>
        <v>-0.53848248958111</v>
      </c>
      <c r="H57">
        <f t="shared" si="5"/>
        <v>-0.45829751080987829</v>
      </c>
      <c r="I57">
        <v>57</v>
      </c>
      <c r="K57">
        <f t="shared" si="10"/>
        <v>3.4607272484426002</v>
      </c>
      <c r="L57">
        <f t="shared" si="11"/>
        <v>2.7420831442028186</v>
      </c>
      <c r="M57">
        <v>57</v>
      </c>
      <c r="O57">
        <f t="shared" si="12"/>
        <v>3.4300432351947547</v>
      </c>
      <c r="P57">
        <f t="shared" si="13"/>
        <v>4.1480681324800726</v>
      </c>
    </row>
    <row r="58" spans="1:16" x14ac:dyDescent="0.35">
      <c r="A58">
        <v>58</v>
      </c>
      <c r="B58">
        <f t="shared" si="0"/>
        <v>-2.4238740914470305</v>
      </c>
      <c r="C58">
        <f t="shared" si="1"/>
        <v>-0.75330811643096862</v>
      </c>
      <c r="D58">
        <f t="shared" si="2"/>
        <v>-0.65766775937339839</v>
      </c>
      <c r="E58">
        <v>58</v>
      </c>
      <c r="F58">
        <f t="shared" si="3"/>
        <v>-2.4238740914470305</v>
      </c>
      <c r="G58">
        <f t="shared" si="4"/>
        <v>-0.53266927745120352</v>
      </c>
      <c r="H58">
        <f t="shared" si="5"/>
        <v>-0.4650413324206929</v>
      </c>
      <c r="I58">
        <v>58</v>
      </c>
      <c r="K58">
        <f t="shared" si="10"/>
        <v>3.5019926783173299</v>
      </c>
      <c r="L58">
        <f t="shared" si="11"/>
        <v>2.7824897668792903</v>
      </c>
      <c r="M58">
        <v>58</v>
      </c>
      <c r="O58">
        <f t="shared" si="12"/>
        <v>3.4736689737808586</v>
      </c>
      <c r="P58">
        <f t="shared" si="13"/>
        <v>4.1925792042944199</v>
      </c>
    </row>
    <row r="59" spans="1:16" x14ac:dyDescent="0.35">
      <c r="A59">
        <v>59</v>
      </c>
      <c r="B59">
        <f t="shared" si="0"/>
        <v>-2.4112825377252278</v>
      </c>
      <c r="C59">
        <f t="shared" si="1"/>
        <v>-0.74496755966237371</v>
      </c>
      <c r="D59">
        <f t="shared" si="2"/>
        <v>-0.66710069333698618</v>
      </c>
      <c r="E59">
        <v>59</v>
      </c>
      <c r="F59">
        <f t="shared" si="3"/>
        <v>-2.4112825377252278</v>
      </c>
      <c r="G59">
        <f t="shared" si="4"/>
        <v>-0.52677161320125876</v>
      </c>
      <c r="H59">
        <f t="shared" si="5"/>
        <v>-0.47171142399283078</v>
      </c>
      <c r="I59">
        <v>59</v>
      </c>
      <c r="K59">
        <f t="shared" si="10"/>
        <v>3.5432581081920604</v>
      </c>
      <c r="L59">
        <f t="shared" si="11"/>
        <v>2.8228665880785551</v>
      </c>
      <c r="M59">
        <v>59</v>
      </c>
      <c r="O59">
        <f t="shared" si="12"/>
        <v>3.5172947123669616</v>
      </c>
      <c r="P59">
        <f t="shared" si="13"/>
        <v>4.2371236666764398</v>
      </c>
    </row>
    <row r="60" spans="1:16" x14ac:dyDescent="0.35">
      <c r="A60">
        <v>60</v>
      </c>
      <c r="B60">
        <f t="shared" si="0"/>
        <v>-2.3986909840034247</v>
      </c>
      <c r="C60">
        <f t="shared" si="1"/>
        <v>-0.7365088919149092</v>
      </c>
      <c r="D60">
        <f t="shared" si="2"/>
        <v>-0.67642786173417824</v>
      </c>
      <c r="E60">
        <v>60</v>
      </c>
      <c r="F60">
        <f t="shared" si="3"/>
        <v>-2.3986909840034247</v>
      </c>
      <c r="G60">
        <f t="shared" si="4"/>
        <v>-0.52079043187722263</v>
      </c>
      <c r="H60">
        <f t="shared" si="5"/>
        <v>-0.47830672801575413</v>
      </c>
      <c r="I60">
        <v>60</v>
      </c>
      <c r="K60">
        <f t="shared" si="10"/>
        <v>3.5845235380667901</v>
      </c>
      <c r="L60">
        <f t="shared" si="11"/>
        <v>2.8632137179412815</v>
      </c>
      <c r="M60">
        <v>60</v>
      </c>
      <c r="O60">
        <f t="shared" si="12"/>
        <v>3.5609204509530645</v>
      </c>
      <c r="P60">
        <f t="shared" si="13"/>
        <v>4.2817013919450106</v>
      </c>
    </row>
    <row r="61" spans="1:16" x14ac:dyDescent="0.35">
      <c r="A61">
        <v>61</v>
      </c>
      <c r="B61">
        <f t="shared" si="0"/>
        <v>-2.3860994302816221</v>
      </c>
      <c r="C61">
        <f t="shared" si="1"/>
        <v>-0.72793345426915657</v>
      </c>
      <c r="D61">
        <f t="shared" si="2"/>
        <v>-0.68564778578784435</v>
      </c>
      <c r="E61">
        <v>61</v>
      </c>
      <c r="F61">
        <f t="shared" si="3"/>
        <v>-2.3860994302816221</v>
      </c>
      <c r="G61">
        <f t="shared" si="4"/>
        <v>-0.51472668176626857</v>
      </c>
      <c r="H61">
        <f t="shared" si="5"/>
        <v>-0.48482619883612643</v>
      </c>
      <c r="I61">
        <v>61</v>
      </c>
      <c r="K61">
        <f t="shared" si="10"/>
        <v>3.6257889679415198</v>
      </c>
      <c r="L61">
        <f t="shared" si="11"/>
        <v>2.9035312697188189</v>
      </c>
      <c r="M61">
        <v>61</v>
      </c>
      <c r="O61">
        <f t="shared" si="12"/>
        <v>3.6045461895391684</v>
      </c>
      <c r="P61">
        <f t="shared" si="13"/>
        <v>4.3263122484820498</v>
      </c>
    </row>
    <row r="62" spans="1:16" x14ac:dyDescent="0.35">
      <c r="A62">
        <v>62</v>
      </c>
      <c r="B62">
        <f t="shared" si="0"/>
        <v>-2.3735078765598194</v>
      </c>
      <c r="C62">
        <f t="shared" si="1"/>
        <v>-0.71924260631899495</v>
      </c>
      <c r="D62">
        <f t="shared" si="2"/>
        <v>-0.69475900372392385</v>
      </c>
      <c r="E62">
        <v>62</v>
      </c>
      <c r="F62">
        <f t="shared" si="3"/>
        <v>-2.3735078765598194</v>
      </c>
      <c r="G62">
        <f t="shared" si="4"/>
        <v>-0.50858132424644809</v>
      </c>
      <c r="H62">
        <f t="shared" si="5"/>
        <v>-0.4912688028235967</v>
      </c>
      <c r="I62">
        <v>62</v>
      </c>
      <c r="K62">
        <f t="shared" si="10"/>
        <v>3.6670543978162504</v>
      </c>
      <c r="L62">
        <f t="shared" si="11"/>
        <v>2.9438193597070414</v>
      </c>
      <c r="M62">
        <v>62</v>
      </c>
      <c r="O62">
        <f t="shared" si="12"/>
        <v>3.6481719281252714</v>
      </c>
      <c r="P62">
        <f t="shared" si="13"/>
        <v>4.3709561008188809</v>
      </c>
    </row>
    <row r="63" spans="1:16" x14ac:dyDescent="0.35">
      <c r="A63">
        <v>63</v>
      </c>
      <c r="B63">
        <f t="shared" si="0"/>
        <v>-2.3609163228380163</v>
      </c>
      <c r="C63">
        <f t="shared" si="1"/>
        <v>-0.71043772595604548</v>
      </c>
      <c r="D63">
        <f t="shared" si="2"/>
        <v>-0.70376007100318139</v>
      </c>
      <c r="E63">
        <v>63</v>
      </c>
      <c r="F63">
        <f t="shared" si="3"/>
        <v>-2.3609163228380163</v>
      </c>
      <c r="G63">
        <f t="shared" si="4"/>
        <v>-0.50235533363427021</v>
      </c>
      <c r="H63">
        <f t="shared" si="5"/>
        <v>-0.49763351853467608</v>
      </c>
      <c r="I63">
        <v>63</v>
      </c>
      <c r="K63">
        <f t="shared" si="10"/>
        <v>3.7083198276909801</v>
      </c>
      <c r="L63">
        <f t="shared" si="11"/>
        <v>2.9840781071790241</v>
      </c>
      <c r="M63">
        <v>63</v>
      </c>
      <c r="O63">
        <f t="shared" si="12"/>
        <v>3.6917976667113743</v>
      </c>
      <c r="P63">
        <f t="shared" si="13"/>
        <v>4.4156328097243236</v>
      </c>
    </row>
    <row r="64" spans="1:16" x14ac:dyDescent="0.35">
      <c r="A64">
        <v>64</v>
      </c>
      <c r="B64">
        <f t="shared" si="0"/>
        <v>-2.3483247691162137</v>
      </c>
      <c r="C64">
        <f t="shared" si="1"/>
        <v>-0.70152020915121371</v>
      </c>
      <c r="D64">
        <f t="shared" si="2"/>
        <v>-0.71264956055023099</v>
      </c>
      <c r="E64">
        <v>64</v>
      </c>
      <c r="F64">
        <f t="shared" si="3"/>
        <v>-2.3483247691162137</v>
      </c>
      <c r="G64">
        <f t="shared" si="4"/>
        <v>-0.49604969703022866</v>
      </c>
      <c r="H64">
        <f t="shared" si="5"/>
        <v>-0.50391933687468182</v>
      </c>
      <c r="I64">
        <v>64</v>
      </c>
      <c r="K64">
        <f t="shared" si="10"/>
        <v>3.7495852575657098</v>
      </c>
      <c r="L64">
        <f t="shared" si="11"/>
        <v>3.0243076343166382</v>
      </c>
      <c r="M64">
        <v>64</v>
      </c>
      <c r="O64">
        <f t="shared" si="12"/>
        <v>3.7354234052974782</v>
      </c>
      <c r="P64">
        <f t="shared" si="13"/>
        <v>4.4603422322943445</v>
      </c>
    </row>
    <row r="65" spans="1:16" x14ac:dyDescent="0.35">
      <c r="A65">
        <v>65</v>
      </c>
      <c r="B65">
        <f t="shared" ref="B65:B128" si="14">-3.14159265358979+(A65-1)*0.0125915537218028</f>
        <v>-2.335733215394411</v>
      </c>
      <c r="C65">
        <f t="shared" ref="C65:C128" si="15">1*COS(B65)+0</f>
        <v>-0.69249146973336373</v>
      </c>
      <c r="D65">
        <f t="shared" ref="D65:D128" si="16">1*SIN(B65)+0+0*COS(B65)</f>
        <v>-0.72142606297979406</v>
      </c>
      <c r="E65">
        <v>65</v>
      </c>
      <c r="F65">
        <f t="shared" ref="F65:F128" si="17">-3.14159265358979+(E65-1)*0.0125915537218028</f>
        <v>-2.335733215394411</v>
      </c>
      <c r="G65">
        <f t="shared" ref="G65:G128" si="18">0.707106781186548*COS(F65)+0</f>
        <v>-0.48966541416230064</v>
      </c>
      <c r="H65">
        <f t="shared" ref="H65:H128" si="19">0.707106781186548*SIN(F65)+0+0*COS(F65)</f>
        <v>-0.51012526125772606</v>
      </c>
      <c r="I65">
        <v>65</v>
      </c>
      <c r="K65">
        <f t="shared" ref="K65:K70" si="20">1.14986317545772+(I65-1)*0.04126542987473</f>
        <v>3.7908506874404404</v>
      </c>
      <c r="L65">
        <f t="shared" ref="L65:L96" si="21">0+1*K65-0.705570846805564*(1.00413223140496+(K65-2.33376618084762)^2/38.1756861665492)^0.5</f>
        <v>3.0645080661411388</v>
      </c>
      <c r="M65">
        <v>65</v>
      </c>
      <c r="O65">
        <f t="shared" ref="O65:O70" si="22">0.98700187437297+(M65-1)*0.0436257385861033</f>
        <v>3.7790491438835812</v>
      </c>
      <c r="P65">
        <f t="shared" ref="P65:P96" si="23">0+1*O65+0.705570846805564*(1.00413223140496+(O65-2.33376618084762)^2/38.1756861665492)^0.5</f>
        <v>4.5050842220431644</v>
      </c>
    </row>
    <row r="66" spans="1:16" x14ac:dyDescent="0.35">
      <c r="A66">
        <v>66</v>
      </c>
      <c r="B66">
        <f t="shared" si="14"/>
        <v>-2.3231416616726079</v>
      </c>
      <c r="C66">
        <f t="shared" si="15"/>
        <v>-0.68335293916516338</v>
      </c>
      <c r="D66">
        <f t="shared" si="16"/>
        <v>-0.73008818682014875</v>
      </c>
      <c r="E66">
        <v>66</v>
      </c>
      <c r="F66">
        <f t="shared" si="17"/>
        <v>-2.3231416616726079</v>
      </c>
      <c r="G66">
        <f t="shared" si="18"/>
        <v>-0.48320349722744566</v>
      </c>
      <c r="H66">
        <f t="shared" si="19"/>
        <v>-0.51625030776471847</v>
      </c>
      <c r="I66">
        <v>66</v>
      </c>
      <c r="K66">
        <f t="shared" si="20"/>
        <v>3.8321161173151701</v>
      </c>
      <c r="L66">
        <f t="shared" si="21"/>
        <v>3.1046795304428345</v>
      </c>
      <c r="M66">
        <v>66</v>
      </c>
      <c r="O66">
        <f t="shared" si="22"/>
        <v>3.822674882469685</v>
      </c>
      <c r="P66">
        <f t="shared" si="23"/>
        <v>4.5498586289957021</v>
      </c>
    </row>
    <row r="67" spans="1:16" x14ac:dyDescent="0.35">
      <c r="A67">
        <v>67</v>
      </c>
      <c r="B67">
        <f t="shared" si="14"/>
        <v>-2.3105501079508053</v>
      </c>
      <c r="C67">
        <f t="shared" si="15"/>
        <v>-0.67410606631613368</v>
      </c>
      <c r="D67">
        <f t="shared" si="16"/>
        <v>-0.73863455873374106</v>
      </c>
      <c r="E67">
        <v>67</v>
      </c>
      <c r="F67">
        <f t="shared" si="17"/>
        <v>-2.3105501079508053</v>
      </c>
      <c r="G67">
        <f t="shared" si="18"/>
        <v>-0.47666497073112696</v>
      </c>
      <c r="H67">
        <f t="shared" si="19"/>
        <v>-0.52229350529936192</v>
      </c>
      <c r="I67">
        <v>67</v>
      </c>
      <c r="K67">
        <f t="shared" si="20"/>
        <v>3.8733815471898998</v>
      </c>
      <c r="L67">
        <f t="shared" si="21"/>
        <v>3.1448221577099345</v>
      </c>
      <c r="M67">
        <v>67</v>
      </c>
      <c r="O67">
        <f t="shared" si="22"/>
        <v>3.866300621055788</v>
      </c>
      <c r="P67">
        <f t="shared" si="23"/>
        <v>4.5946652997812061</v>
      </c>
    </row>
    <row r="68" spans="1:16" x14ac:dyDescent="0.35">
      <c r="A68">
        <v>68</v>
      </c>
      <c r="B68">
        <f t="shared" si="14"/>
        <v>-2.2979585542290026</v>
      </c>
      <c r="C68">
        <f t="shared" si="15"/>
        <v>-0.66475231723293549</v>
      </c>
      <c r="D68">
        <f t="shared" si="16"/>
        <v>-0.74706382373492208</v>
      </c>
      <c r="E68">
        <v>68</v>
      </c>
      <c r="F68">
        <f t="shared" si="17"/>
        <v>-2.2979585542290026</v>
      </c>
      <c r="G68">
        <f t="shared" si="18"/>
        <v>-0.47005087132488005</v>
      </c>
      <c r="H68">
        <f t="shared" si="19"/>
        <v>-0.52825389574211545</v>
      </c>
      <c r="I68">
        <v>68</v>
      </c>
      <c r="K68">
        <f t="shared" si="20"/>
        <v>3.9146469770646304</v>
      </c>
      <c r="L68">
        <f t="shared" si="21"/>
        <v>3.1849360810566418</v>
      </c>
      <c r="M68">
        <v>68</v>
      </c>
      <c r="O68">
        <f t="shared" si="22"/>
        <v>3.9099263596418909</v>
      </c>
      <c r="P68">
        <f t="shared" si="23"/>
        <v>4.6395040777279721</v>
      </c>
    </row>
    <row r="69" spans="1:16" x14ac:dyDescent="0.35">
      <c r="A69">
        <v>69</v>
      </c>
      <c r="B69">
        <f t="shared" si="14"/>
        <v>-2.2853670005071995</v>
      </c>
      <c r="C69">
        <f t="shared" si="15"/>
        <v>-0.65529317490693662</v>
      </c>
      <c r="D69">
        <f t="shared" si="16"/>
        <v>-0.75537464540477328</v>
      </c>
      <c r="E69">
        <v>69</v>
      </c>
      <c r="F69">
        <f t="shared" si="17"/>
        <v>-2.2853670005071995</v>
      </c>
      <c r="G69">
        <f t="shared" si="18"/>
        <v>-0.46336224764195755</v>
      </c>
      <c r="H69">
        <f t="shared" si="19"/>
        <v>-0.53413053410209932</v>
      </c>
      <c r="I69">
        <v>69</v>
      </c>
      <c r="K69">
        <f t="shared" si="20"/>
        <v>3.9559124069393601</v>
      </c>
      <c r="L69">
        <f t="shared" si="21"/>
        <v>3.2250214361505858</v>
      </c>
      <c r="M69">
        <v>69</v>
      </c>
      <c r="O69">
        <f t="shared" si="22"/>
        <v>3.9535520982279948</v>
      </c>
      <c r="P69">
        <f t="shared" si="23"/>
        <v>4.6843748029590042</v>
      </c>
    </row>
    <row r="70" spans="1:16" x14ac:dyDescent="0.35">
      <c r="A70">
        <v>70</v>
      </c>
      <c r="B70">
        <f t="shared" si="14"/>
        <v>-2.2727754467853969</v>
      </c>
      <c r="C70">
        <f t="shared" si="15"/>
        <v>-0.64573013903909071</v>
      </c>
      <c r="D70">
        <f t="shared" si="16"/>
        <v>-0.76356570610298924</v>
      </c>
      <c r="E70">
        <v>70</v>
      </c>
      <c r="F70">
        <f t="shared" si="17"/>
        <v>-2.2727754467853969</v>
      </c>
      <c r="G70">
        <f t="shared" si="18"/>
        <v>-0.45660016013107352</v>
      </c>
      <c r="H70">
        <f t="shared" si="19"/>
        <v>-0.5399224886669185</v>
      </c>
      <c r="I70">
        <v>70</v>
      </c>
      <c r="K70">
        <f t="shared" si="20"/>
        <v>3.9971778368140898</v>
      </c>
      <c r="L70">
        <f t="shared" si="21"/>
        <v>3.2650783611396794</v>
      </c>
      <c r="M70">
        <v>70</v>
      </c>
      <c r="O70">
        <f t="shared" si="22"/>
        <v>3.9971778368140978</v>
      </c>
      <c r="P70">
        <f t="shared" si="23"/>
        <v>4.7292773124885086</v>
      </c>
    </row>
    <row r="71" spans="1:16" x14ac:dyDescent="0.35">
      <c r="A71">
        <v>71</v>
      </c>
      <c r="B71">
        <f t="shared" si="14"/>
        <v>-2.2601838930635942</v>
      </c>
      <c r="C71">
        <f t="shared" si="15"/>
        <v>-0.63606472580216611</v>
      </c>
      <c r="D71">
        <f t="shared" si="16"/>
        <v>-0.77163570717678376</v>
      </c>
      <c r="E71">
        <v>71</v>
      </c>
      <c r="F71">
        <f t="shared" si="17"/>
        <v>-2.2601838930635942</v>
      </c>
      <c r="G71">
        <f t="shared" si="18"/>
        <v>-0.44976568088827396</v>
      </c>
      <c r="H71">
        <f t="shared" si="19"/>
        <v>-0.54562884115038124</v>
      </c>
    </row>
    <row r="72" spans="1:16" x14ac:dyDescent="0.35">
      <c r="A72">
        <v>72</v>
      </c>
      <c r="B72">
        <f t="shared" si="14"/>
        <v>-2.2475923393417911</v>
      </c>
      <c r="C72">
        <f t="shared" si="15"/>
        <v>-0.62629846760036412</v>
      </c>
      <c r="D72">
        <f t="shared" si="16"/>
        <v>-0.77958336916678495</v>
      </c>
      <c r="E72">
        <v>72</v>
      </c>
      <c r="F72">
        <f t="shared" si="17"/>
        <v>-2.2475923393417911</v>
      </c>
      <c r="G72">
        <f t="shared" si="18"/>
        <v>-0.44285989348696098</v>
      </c>
      <c r="H72">
        <f t="shared" si="19"/>
        <v>-0.5512486868380897</v>
      </c>
    </row>
    <row r="73" spans="1:16" x14ac:dyDescent="0.35">
      <c r="A73">
        <v>73</v>
      </c>
      <c r="B73">
        <f t="shared" si="14"/>
        <v>-2.2350007856199885</v>
      </c>
      <c r="C73">
        <f t="shared" si="15"/>
        <v>-0.61643291282636525</v>
      </c>
      <c r="D73">
        <f t="shared" si="16"/>
        <v>-0.78740743200988572</v>
      </c>
      <c r="E73">
        <v>73</v>
      </c>
      <c r="F73">
        <f t="shared" si="17"/>
        <v>-2.2350007856199885</v>
      </c>
      <c r="G73">
        <f t="shared" si="18"/>
        <v>-0.43588389280609907</v>
      </c>
      <c r="H73">
        <f t="shared" si="19"/>
        <v>-0.55678113473087598</v>
      </c>
    </row>
    <row r="74" spans="1:16" x14ac:dyDescent="0.35">
      <c r="A74">
        <v>74</v>
      </c>
      <c r="B74">
        <f t="shared" si="14"/>
        <v>-2.2224092318981858</v>
      </c>
      <c r="C74">
        <f t="shared" si="15"/>
        <v>-0.60646962561583695</v>
      </c>
      <c r="D74">
        <f t="shared" si="16"/>
        <v>-0.79510665523902302</v>
      </c>
      <c r="E74">
        <v>74</v>
      </c>
      <c r="F74">
        <f t="shared" si="17"/>
        <v>-2.2224092318981858</v>
      </c>
      <c r="G74">
        <f t="shared" si="18"/>
        <v>-0.4288387848566253</v>
      </c>
      <c r="H74">
        <f t="shared" si="19"/>
        <v>-0.56222530768606793</v>
      </c>
    </row>
    <row r="75" spans="1:16" x14ac:dyDescent="0.35">
      <c r="A75">
        <v>75</v>
      </c>
      <c r="B75">
        <f t="shared" si="14"/>
        <v>-2.2098176781763827</v>
      </c>
      <c r="C75">
        <f t="shared" si="15"/>
        <v>-0.59641018559944858</v>
      </c>
      <c r="D75">
        <f t="shared" si="16"/>
        <v>-0.80267981817984635</v>
      </c>
      <c r="E75">
        <v>75</v>
      </c>
      <c r="F75">
        <f t="shared" si="17"/>
        <v>-2.2098176781763827</v>
      </c>
      <c r="G75">
        <f t="shared" si="18"/>
        <v>-0.42172568660609777</v>
      </c>
      <c r="H75">
        <f t="shared" si="19"/>
        <v>-0.56758034255655476</v>
      </c>
    </row>
    <row r="76" spans="1:16" x14ac:dyDescent="0.35">
      <c r="A76">
        <v>76</v>
      </c>
      <c r="B76">
        <f t="shared" si="14"/>
        <v>-2.1972261244545801</v>
      </c>
      <c r="C76">
        <f t="shared" si="15"/>
        <v>-0.58625618765242993</v>
      </c>
      <c r="D76">
        <f t="shared" si="16"/>
        <v>-0.81012572014424955</v>
      </c>
      <c r="E76">
        <v>76</v>
      </c>
      <c r="F76">
        <f t="shared" si="17"/>
        <v>-2.1972261244545801</v>
      </c>
      <c r="G76">
        <f t="shared" si="18"/>
        <v>-0.41454572580160659</v>
      </c>
      <c r="H76">
        <f t="shared" si="19"/>
        <v>-0.57284539032763448</v>
      </c>
    </row>
    <row r="77" spans="1:16" x14ac:dyDescent="0.35">
      <c r="A77">
        <v>77</v>
      </c>
      <c r="B77">
        <f t="shared" si="14"/>
        <v>-2.1846345707327774</v>
      </c>
      <c r="C77">
        <f t="shared" si="15"/>
        <v>-0.57600924164170875</v>
      </c>
      <c r="D77">
        <f t="shared" si="16"/>
        <v>-0.81744318062073507</v>
      </c>
      <c r="E77">
        <v>77</v>
      </c>
      <c r="F77">
        <f t="shared" si="17"/>
        <v>-2.1846345707327774</v>
      </c>
      <c r="G77">
        <f t="shared" si="18"/>
        <v>-0.40730004079097321</v>
      </c>
      <c r="H77">
        <f t="shared" si="19"/>
        <v>-0.5780196162516219</v>
      </c>
    </row>
    <row r="78" spans="1:16" x14ac:dyDescent="0.35">
      <c r="A78">
        <v>78</v>
      </c>
      <c r="B78">
        <f t="shared" si="14"/>
        <v>-2.1720430170109744</v>
      </c>
      <c r="C78">
        <f t="shared" si="15"/>
        <v>-0.56567097217067575</v>
      </c>
      <c r="D78">
        <f t="shared" si="16"/>
        <v>-0.8246310394615779</v>
      </c>
      <c r="E78">
        <v>78</v>
      </c>
      <c r="F78">
        <f t="shared" si="17"/>
        <v>-2.1720430170109744</v>
      </c>
      <c r="G78">
        <f t="shared" si="18"/>
        <v>-0.39998978034227189</v>
      </c>
      <c r="H78">
        <f t="shared" si="19"/>
        <v>-0.58310219998019364</v>
      </c>
    </row>
    <row r="79" spans="1:16" x14ac:dyDescent="0.35">
      <c r="A79">
        <v>79</v>
      </c>
      <c r="B79">
        <f t="shared" si="14"/>
        <v>-2.1594514632891717</v>
      </c>
      <c r="C79">
        <f t="shared" si="15"/>
        <v>-0.55524301832161305</v>
      </c>
      <c r="D79">
        <f t="shared" si="16"/>
        <v>-0.83168815706676069</v>
      </c>
      <c r="E79">
        <v>79</v>
      </c>
      <c r="F79">
        <f t="shared" si="17"/>
        <v>-2.1594514632891717</v>
      </c>
      <c r="G79">
        <f t="shared" si="18"/>
        <v>-0.39261610346169928</v>
      </c>
      <c r="H79">
        <f t="shared" si="19"/>
        <v>-0.5880923356944493</v>
      </c>
    </row>
    <row r="80" spans="1:16" x14ac:dyDescent="0.35">
      <c r="A80">
        <v>80</v>
      </c>
      <c r="B80">
        <f t="shared" si="14"/>
        <v>-2.1468599095673691</v>
      </c>
      <c r="C80">
        <f t="shared" si="15"/>
        <v>-0.54472703339582262</v>
      </c>
      <c r="D80">
        <f t="shared" si="16"/>
        <v>-0.83861341456465288</v>
      </c>
      <c r="E80">
        <v>80</v>
      </c>
      <c r="F80">
        <f t="shared" si="17"/>
        <v>-2.1468599095673691</v>
      </c>
      <c r="G80">
        <f t="shared" si="18"/>
        <v>-0.3851801792098174</v>
      </c>
      <c r="H80">
        <f t="shared" si="19"/>
        <v>-0.59298923223267186</v>
      </c>
    </row>
    <row r="81" spans="1:8" x14ac:dyDescent="0.35">
      <c r="A81">
        <v>81</v>
      </c>
      <c r="B81">
        <f t="shared" si="14"/>
        <v>-2.134268355845566</v>
      </c>
      <c r="C81">
        <f t="shared" si="15"/>
        <v>-0.5341246846515052</v>
      </c>
      <c r="D81">
        <f t="shared" si="16"/>
        <v>-0.84540571398940179</v>
      </c>
      <c r="E81">
        <v>81</v>
      </c>
      <c r="F81">
        <f t="shared" si="17"/>
        <v>-2.134268355845566</v>
      </c>
      <c r="G81">
        <f t="shared" si="18"/>
        <v>-0.37768318651620586</v>
      </c>
      <c r="H81">
        <f t="shared" si="19"/>
        <v>-0.59779211321576131</v>
      </c>
    </row>
    <row r="82" spans="1:8" x14ac:dyDescent="0.35">
      <c r="A82">
        <v>82</v>
      </c>
      <c r="B82">
        <f t="shared" si="14"/>
        <v>-2.1216768021237633</v>
      </c>
      <c r="C82">
        <f t="shared" si="15"/>
        <v>-0.52343765303942535</v>
      </c>
      <c r="D82">
        <f t="shared" si="16"/>
        <v>-0.85206397845500914</v>
      </c>
      <c r="E82">
        <v>82</v>
      </c>
      <c r="F82">
        <f t="shared" si="17"/>
        <v>-2.1216768021237633</v>
      </c>
      <c r="G82">
        <f t="shared" si="18"/>
        <v>-0.37012631399254919</v>
      </c>
      <c r="H82">
        <f t="shared" si="19"/>
        <v>-0.60250021717032576</v>
      </c>
    </row>
    <row r="83" spans="1:8" x14ac:dyDescent="0.35">
      <c r="A83">
        <v>83</v>
      </c>
      <c r="B83">
        <f t="shared" si="14"/>
        <v>-2.1090852484019607</v>
      </c>
      <c r="C83">
        <f t="shared" si="15"/>
        <v>-0.51266763293640294</v>
      </c>
      <c r="D83">
        <f t="shared" si="16"/>
        <v>-0.85858715232606742</v>
      </c>
      <c r="E83">
        <v>83</v>
      </c>
      <c r="F83">
        <f t="shared" si="17"/>
        <v>-2.1090852484019607</v>
      </c>
      <c r="G83">
        <f t="shared" si="18"/>
        <v>-0.36251075974418662</v>
      </c>
      <c r="H83">
        <f t="shared" si="19"/>
        <v>-0.60711279764940995</v>
      </c>
    </row>
    <row r="84" spans="1:8" x14ac:dyDescent="0.35">
      <c r="A84">
        <v>84</v>
      </c>
      <c r="B84">
        <f t="shared" si="14"/>
        <v>-2.0964936946801576</v>
      </c>
      <c r="C84">
        <f t="shared" si="15"/>
        <v>-0.50181633187667907</v>
      </c>
      <c r="D84">
        <f t="shared" si="16"/>
        <v>-0.86497420138512493</v>
      </c>
      <c r="E84">
        <v>84</v>
      </c>
      <c r="F84">
        <f t="shared" si="17"/>
        <v>-2.0964936946801576</v>
      </c>
      <c r="G84">
        <f t="shared" si="18"/>
        <v>-0.35483773118015904</v>
      </c>
      <c r="H84">
        <f t="shared" si="19"/>
        <v>-0.61162912335084063</v>
      </c>
    </row>
    <row r="85" spans="1:8" x14ac:dyDescent="0.35">
      <c r="A85">
        <v>85</v>
      </c>
      <c r="B85">
        <f t="shared" si="14"/>
        <v>-2.0839021409583549</v>
      </c>
      <c r="C85">
        <f t="shared" si="15"/>
        <v>-0.4908854702811955</v>
      </c>
      <c r="D85">
        <f t="shared" si="16"/>
        <v>-0.8712241129966557</v>
      </c>
      <c r="E85">
        <v>85</v>
      </c>
      <c r="F85">
        <f t="shared" si="17"/>
        <v>-2.0839021409583549</v>
      </c>
      <c r="G85">
        <f t="shared" si="18"/>
        <v>-0.34710844482178105</v>
      </c>
      <c r="H85">
        <f t="shared" si="19"/>
        <v>-0.61604847823317066</v>
      </c>
    </row>
    <row r="86" spans="1:8" x14ac:dyDescent="0.35">
      <c r="A86">
        <v>86</v>
      </c>
      <c r="B86">
        <f t="shared" si="14"/>
        <v>-2.0713105872365523</v>
      </c>
      <c r="C86">
        <f t="shared" si="15"/>
        <v>-0.47987678118482874</v>
      </c>
      <c r="D86">
        <f t="shared" si="16"/>
        <v>-0.87733589626760855</v>
      </c>
      <c r="E86">
        <v>86</v>
      </c>
      <c r="F86">
        <f t="shared" si="17"/>
        <v>-2.0713105872365523</v>
      </c>
      <c r="G86">
        <f t="shared" si="18"/>
        <v>-0.3393241261097657</v>
      </c>
      <c r="H86">
        <f t="shared" si="19"/>
        <v>-0.62037016162920389</v>
      </c>
    </row>
    <row r="87" spans="1:8" x14ac:dyDescent="0.35">
      <c r="A87">
        <v>87</v>
      </c>
      <c r="B87">
        <f t="shared" si="14"/>
        <v>-2.0587190335147492</v>
      </c>
      <c r="C87">
        <f t="shared" si="15"/>
        <v>-0.4687920099616264</v>
      </c>
      <c r="D87">
        <f t="shared" si="16"/>
        <v>-0.88330858220450814</v>
      </c>
      <c r="E87">
        <v>87</v>
      </c>
      <c r="F87">
        <f t="shared" si="17"/>
        <v>-2.0587190335147492</v>
      </c>
      <c r="G87">
        <f t="shared" si="18"/>
        <v>-0.33148600920993782</v>
      </c>
      <c r="H87">
        <f t="shared" si="19"/>
        <v>-0.62459348835708306</v>
      </c>
    </row>
    <row r="88" spans="1:8" x14ac:dyDescent="0.35">
      <c r="A88">
        <v>88</v>
      </c>
      <c r="B88">
        <f t="shared" si="14"/>
        <v>-2.0461274797929465</v>
      </c>
      <c r="C88">
        <f t="shared" si="15"/>
        <v>-0.45763291404808787</v>
      </c>
      <c r="D88">
        <f t="shared" si="16"/>
        <v>-0.88914122386708372</v>
      </c>
      <c r="E88">
        <v>88</v>
      </c>
      <c r="F88">
        <f t="shared" si="17"/>
        <v>-2.0461274797929465</v>
      </c>
      <c r="G88">
        <f t="shared" si="18"/>
        <v>-0.32359533681756358</v>
      </c>
      <c r="H88">
        <f t="shared" si="19"/>
        <v>-0.62871778882892149</v>
      </c>
    </row>
    <row r="89" spans="1:8" x14ac:dyDescent="0.35">
      <c r="A89">
        <v>89</v>
      </c>
      <c r="B89">
        <f t="shared" si="14"/>
        <v>-2.0335359260711439</v>
      </c>
      <c r="C89">
        <f t="shared" si="15"/>
        <v>-0.44640126266452929</v>
      </c>
      <c r="D89">
        <f t="shared" si="16"/>
        <v>-0.89483289651840248</v>
      </c>
      <c r="E89">
        <v>89</v>
      </c>
      <c r="F89">
        <f t="shared" si="17"/>
        <v>-2.0335359260711439</v>
      </c>
      <c r="G89">
        <f t="shared" si="18"/>
        <v>-0.31565335996032606</v>
      </c>
      <c r="H89">
        <f t="shared" si="19"/>
        <v>-0.632742409156963</v>
      </c>
    </row>
    <row r="90" spans="1:8" x14ac:dyDescent="0.35">
      <c r="A90">
        <v>90</v>
      </c>
      <c r="B90">
        <f t="shared" si="14"/>
        <v>-2.0209443723493408</v>
      </c>
      <c r="C90">
        <f t="shared" si="15"/>
        <v>-0.43509883653458314</v>
      </c>
      <c r="D90">
        <f t="shared" si="16"/>
        <v>-0.90038269777148217</v>
      </c>
      <c r="E90">
        <v>90</v>
      </c>
      <c r="F90">
        <f t="shared" si="17"/>
        <v>-2.0209443723493408</v>
      </c>
      <c r="G90">
        <f t="shared" si="18"/>
        <v>-0.30766133779998112</v>
      </c>
      <c r="H90">
        <f t="shared" si="19"/>
        <v>-0.63666671125725327</v>
      </c>
    </row>
    <row r="91" spans="1:8" x14ac:dyDescent="0.35">
      <c r="A91">
        <v>91</v>
      </c>
      <c r="B91">
        <f t="shared" si="14"/>
        <v>-2.0083528186275381</v>
      </c>
      <c r="C91">
        <f t="shared" si="15"/>
        <v>-0.42372742760287452</v>
      </c>
      <c r="D91">
        <f t="shared" si="16"/>
        <v>-0.9057897477323591</v>
      </c>
      <c r="E91">
        <v>91</v>
      </c>
      <c r="F91">
        <f t="shared" si="17"/>
        <v>-2.0083528186275381</v>
      </c>
      <c r="G91">
        <f t="shared" si="18"/>
        <v>-0.29962053743272465</v>
      </c>
      <c r="H91">
        <f t="shared" si="19"/>
        <v>-0.64049007295080373</v>
      </c>
    </row>
    <row r="92" spans="1:8" x14ac:dyDescent="0.35">
      <c r="A92">
        <v>92</v>
      </c>
      <c r="B92">
        <f t="shared" si="14"/>
        <v>-1.9957612649057352</v>
      </c>
      <c r="C92">
        <f t="shared" si="15"/>
        <v>-0.41228883875091432</v>
      </c>
      <c r="D92">
        <f t="shared" si="16"/>
        <v>-0.91105318913959277</v>
      </c>
      <c r="E92">
        <v>92</v>
      </c>
      <c r="F92">
        <f t="shared" si="17"/>
        <v>-1.9957612649057352</v>
      </c>
      <c r="G92">
        <f t="shared" si="18"/>
        <v>-0.29153223368829873</v>
      </c>
      <c r="H92">
        <f t="shared" si="19"/>
        <v>-0.64421188806223673</v>
      </c>
    </row>
    <row r="93" spans="1:8" x14ac:dyDescent="0.35">
      <c r="A93">
        <v>93</v>
      </c>
      <c r="B93">
        <f t="shared" si="14"/>
        <v>-1.9831697111839324</v>
      </c>
      <c r="C93">
        <f t="shared" si="15"/>
        <v>-0.40078488351126368</v>
      </c>
      <c r="D93">
        <f t="shared" si="16"/>
        <v>-0.91617218750017881</v>
      </c>
      <c r="E93">
        <v>93</v>
      </c>
      <c r="F93">
        <f t="shared" si="17"/>
        <v>-1.9831697111839324</v>
      </c>
      <c r="G93">
        <f t="shared" si="18"/>
        <v>-0.28339770892787525</v>
      </c>
      <c r="H93">
        <f t="shared" si="19"/>
        <v>-0.64783156651589002</v>
      </c>
    </row>
    <row r="94" spans="1:8" x14ac:dyDescent="0.35">
      <c r="A94">
        <v>94</v>
      </c>
      <c r="B94">
        <f t="shared" si="14"/>
        <v>-1.9705781574621297</v>
      </c>
      <c r="C94">
        <f t="shared" si="15"/>
        <v>-0.38921738578000598</v>
      </c>
      <c r="D94">
        <f t="shared" si="16"/>
        <v>-0.92114593122185473</v>
      </c>
      <c r="E94">
        <v>94</v>
      </c>
      <c r="F94">
        <f t="shared" si="17"/>
        <v>-1.9705781574621297</v>
      </c>
      <c r="G94">
        <f t="shared" si="18"/>
        <v>-0.27521825284074292</v>
      </c>
      <c r="H94">
        <f t="shared" si="19"/>
        <v>-0.65134853442937102</v>
      </c>
    </row>
    <row r="95" spans="1:8" x14ac:dyDescent="0.35">
      <c r="A95">
        <v>95</v>
      </c>
      <c r="B95">
        <f t="shared" si="14"/>
        <v>-1.9579866037403268</v>
      </c>
      <c r="C95">
        <f t="shared" si="15"/>
        <v>-0.37758817952757667</v>
      </c>
      <c r="D95">
        <f t="shared" si="16"/>
        <v>-0.92597363174177405</v>
      </c>
      <c r="E95">
        <v>95</v>
      </c>
      <c r="F95">
        <f t="shared" si="17"/>
        <v>-1.9579866037403268</v>
      </c>
      <c r="G95">
        <f t="shared" si="18"/>
        <v>-0.26699516223983316</v>
      </c>
      <c r="H95">
        <f t="shared" si="19"/>
        <v>-0.65476223420454382</v>
      </c>
    </row>
    <row r="96" spans="1:8" x14ac:dyDescent="0.35">
      <c r="A96">
        <v>96</v>
      </c>
      <c r="B96">
        <f t="shared" si="14"/>
        <v>-1.945395050018524</v>
      </c>
      <c r="C96">
        <f t="shared" si="15"/>
        <v>-0.36589910850799745</v>
      </c>
      <c r="D96">
        <f t="shared" si="16"/>
        <v>-0.93065452365152812</v>
      </c>
      <c r="E96">
        <v>96</v>
      </c>
      <c r="F96">
        <f t="shared" si="17"/>
        <v>-1.945395050018524</v>
      </c>
      <c r="G96">
        <f t="shared" si="18"/>
        <v>-0.25872974085611755</v>
      </c>
      <c r="H96">
        <f t="shared" si="19"/>
        <v>-0.65807212461593212</v>
      </c>
    </row>
    <row r="97" spans="1:8" x14ac:dyDescent="0.35">
      <c r="A97">
        <v>97</v>
      </c>
      <c r="B97">
        <f t="shared" si="14"/>
        <v>-1.9328034962967213</v>
      </c>
      <c r="C97">
        <f t="shared" si="15"/>
        <v>-0.3541520259665572</v>
      </c>
      <c r="D97">
        <f t="shared" si="16"/>
        <v>-0.93518786481849892</v>
      </c>
      <c r="E97">
        <v>97</v>
      </c>
      <c r="F97">
        <f t="shared" si="17"/>
        <v>-1.9328034962967213</v>
      </c>
      <c r="G97">
        <f t="shared" si="18"/>
        <v>-0.25042329913190703</v>
      </c>
      <c r="H97">
        <f t="shared" si="19"/>
        <v>-0.66127768089652939</v>
      </c>
    </row>
    <row r="98" spans="1:8" x14ac:dyDescent="0.35">
      <c r="A98">
        <v>98</v>
      </c>
      <c r="B98">
        <f t="shared" si="14"/>
        <v>-1.9202119425749185</v>
      </c>
      <c r="C98">
        <f t="shared" si="15"/>
        <v>-0.34234879434598847</v>
      </c>
      <c r="D98">
        <f t="shared" si="16"/>
        <v>-0.93957293650352025</v>
      </c>
      <c r="E98">
        <v>98</v>
      </c>
      <c r="F98">
        <f t="shared" si="17"/>
        <v>-1.9202119425749185</v>
      </c>
      <c r="G98">
        <f t="shared" si="18"/>
        <v>-0.24207715401308741</v>
      </c>
      <c r="H98">
        <f t="shared" si="19"/>
        <v>-0.66437839482099703</v>
      </c>
    </row>
    <row r="99" spans="1:8" x14ac:dyDescent="0.35">
      <c r="A99">
        <v>99</v>
      </c>
      <c r="B99">
        <f t="shared" si="14"/>
        <v>-1.9076203888531156</v>
      </c>
      <c r="C99">
        <f t="shared" si="15"/>
        <v>-0.33049128499118763</v>
      </c>
      <c r="D99">
        <f t="shared" si="16"/>
        <v>-0.94380904347483008</v>
      </c>
      <c r="E99">
        <v>99</v>
      </c>
      <c r="F99">
        <f t="shared" si="17"/>
        <v>-1.9076203888531156</v>
      </c>
      <c r="G99">
        <f t="shared" si="18"/>
        <v>-0.23369262874032479</v>
      </c>
      <c r="H99">
        <f t="shared" si="19"/>
        <v>-0.66737377478624182</v>
      </c>
    </row>
    <row r="100" spans="1:8" x14ac:dyDescent="0.35">
      <c r="A100">
        <v>100</v>
      </c>
      <c r="B100">
        <f t="shared" si="14"/>
        <v>-1.8950288351313127</v>
      </c>
      <c r="C100">
        <f t="shared" si="15"/>
        <v>-0.31858137785252122</v>
      </c>
      <c r="D100">
        <f t="shared" si="16"/>
        <v>-0.9478955141182962</v>
      </c>
      <c r="E100">
        <v>100</v>
      </c>
      <c r="F100">
        <f t="shared" si="17"/>
        <v>-1.8950288351313127</v>
      </c>
      <c r="G100">
        <f t="shared" si="18"/>
        <v>-0.22527105263927169</v>
      </c>
      <c r="H100">
        <f t="shared" si="19"/>
        <v>-0.67026334588935654</v>
      </c>
    </row>
    <row r="101" spans="1:8" x14ac:dyDescent="0.35">
      <c r="A101">
        <v>101</v>
      </c>
      <c r="B101">
        <f t="shared" si="14"/>
        <v>-1.8824372814095101</v>
      </c>
      <c r="C101">
        <f t="shared" si="15"/>
        <v>-0.30662096118776938</v>
      </c>
      <c r="D101">
        <f t="shared" si="16"/>
        <v>-0.95183170054389787</v>
      </c>
      <c r="E101">
        <v>101</v>
      </c>
      <c r="F101">
        <f t="shared" si="17"/>
        <v>-1.8824372814095101</v>
      </c>
      <c r="G101">
        <f t="shared" si="18"/>
        <v>-0.21681376090980908</v>
      </c>
      <c r="H101">
        <f t="shared" si="19"/>
        <v>-0.67304665000291386</v>
      </c>
    </row>
    <row r="102" spans="1:8" x14ac:dyDescent="0.35">
      <c r="A102">
        <v>102</v>
      </c>
      <c r="B102">
        <f t="shared" si="14"/>
        <v>-1.8698457276877072</v>
      </c>
      <c r="C102">
        <f t="shared" si="15"/>
        <v>-0.2946119312627512</v>
      </c>
      <c r="D102">
        <f t="shared" si="16"/>
        <v>-0.95561697868844497</v>
      </c>
      <c r="E102">
        <v>102</v>
      </c>
      <c r="F102">
        <f t="shared" si="17"/>
        <v>-1.8698457276877072</v>
      </c>
      <c r="G102">
        <f t="shared" si="18"/>
        <v>-0.20832209441435653</v>
      </c>
      <c r="H102">
        <f t="shared" si="19"/>
        <v>-0.67572324584760035</v>
      </c>
    </row>
    <row r="103" spans="1:8" x14ac:dyDescent="0.35">
      <c r="A103">
        <v>103</v>
      </c>
      <c r="B103">
        <f t="shared" si="14"/>
        <v>-1.8572541739659043</v>
      </c>
      <c r="C103">
        <f t="shared" si="15"/>
        <v>-0.28255619205068194</v>
      </c>
      <c r="D103">
        <f t="shared" si="16"/>
        <v>-0.95925074841452074</v>
      </c>
      <c r="E103">
        <v>103</v>
      </c>
      <c r="F103">
        <f t="shared" si="17"/>
        <v>-1.8572541739659043</v>
      </c>
      <c r="G103">
        <f t="shared" si="18"/>
        <v>-0.1997973994652858</v>
      </c>
      <c r="H103">
        <f t="shared" si="19"/>
        <v>-0.67829270906217898</v>
      </c>
    </row>
    <row r="104" spans="1:8" x14ac:dyDescent="0.35">
      <c r="A104">
        <v>104</v>
      </c>
      <c r="B104">
        <f t="shared" si="14"/>
        <v>-1.8446626202441017</v>
      </c>
      <c r="C104">
        <f t="shared" si="15"/>
        <v>-0.27045565493030693</v>
      </c>
      <c r="D104">
        <f t="shared" si="16"/>
        <v>-0.96273243360562999</v>
      </c>
      <c r="E104">
        <v>104</v>
      </c>
      <c r="F104">
        <f t="shared" si="17"/>
        <v>-1.8446626202441017</v>
      </c>
      <c r="G104">
        <f t="shared" si="18"/>
        <v>-0.19124102761146908</v>
      </c>
      <c r="H104">
        <f t="shared" si="19"/>
        <v>-0.68075463227076904</v>
      </c>
    </row>
    <row r="105" spans="1:8" x14ac:dyDescent="0.35">
      <c r="A105">
        <v>105</v>
      </c>
      <c r="B105">
        <f t="shared" si="14"/>
        <v>-1.8320710665222988</v>
      </c>
      <c r="C105">
        <f t="shared" si="15"/>
        <v>-0.25831223838286105</v>
      </c>
      <c r="D105">
        <f t="shared" si="16"/>
        <v>-0.9660614822575404</v>
      </c>
      <c r="E105">
        <v>105</v>
      </c>
      <c r="F105">
        <f t="shared" si="17"/>
        <v>-1.8320710665222988</v>
      </c>
      <c r="G105">
        <f t="shared" si="18"/>
        <v>-0.18265433542399714</v>
      </c>
      <c r="H105">
        <f t="shared" si="19"/>
        <v>-0.68310862514743487</v>
      </c>
    </row>
    <row r="106" spans="1:8" x14ac:dyDescent="0.35">
      <c r="A106">
        <v>106</v>
      </c>
      <c r="B106">
        <f t="shared" si="14"/>
        <v>-1.8194795128004959</v>
      </c>
      <c r="C106">
        <f t="shared" si="15"/>
        <v>-0.24612786768790421</v>
      </c>
      <c r="D106">
        <f t="shared" si="16"/>
        <v>-0.96923736656579929</v>
      </c>
      <c r="E106">
        <v>106</v>
      </c>
      <c r="F106">
        <f t="shared" si="17"/>
        <v>-1.8194795128004959</v>
      </c>
      <c r="G106">
        <f t="shared" si="18"/>
        <v>-0.17403868428110253</v>
      </c>
      <c r="H106">
        <f t="shared" si="19"/>
        <v>-0.68535431447806872</v>
      </c>
    </row>
    <row r="107" spans="1:8" x14ac:dyDescent="0.35">
      <c r="A107">
        <v>107</v>
      </c>
      <c r="B107">
        <f t="shared" si="14"/>
        <v>-1.8068879590786933</v>
      </c>
      <c r="C107">
        <f t="shared" si="15"/>
        <v>-0.2339044746180769</v>
      </c>
      <c r="D107">
        <f t="shared" si="16"/>
        <v>-0.97225958300941495</v>
      </c>
      <c r="E107">
        <v>107</v>
      </c>
      <c r="F107">
        <f t="shared" si="17"/>
        <v>-1.8068879590786933</v>
      </c>
      <c r="G107">
        <f t="shared" si="18"/>
        <v>-0.16539544015231897</v>
      </c>
      <c r="H107">
        <f t="shared" si="19"/>
        <v>-0.68749134421956282</v>
      </c>
    </row>
    <row r="108" spans="1:8" x14ac:dyDescent="0.35">
      <c r="A108">
        <v>108</v>
      </c>
      <c r="B108">
        <f t="shared" si="14"/>
        <v>-1.7942964053568904</v>
      </c>
      <c r="C108">
        <f t="shared" si="15"/>
        <v>-0.22164399713282656</v>
      </c>
      <c r="D108">
        <f t="shared" si="16"/>
        <v>-0.97512765243068744</v>
      </c>
      <c r="E108">
        <v>108</v>
      </c>
      <c r="F108">
        <f t="shared" si="17"/>
        <v>-1.7942964053568904</v>
      </c>
      <c r="G108">
        <f t="shared" si="18"/>
        <v>-0.15672597338191346</v>
      </c>
      <c r="H108">
        <f t="shared" si="19"/>
        <v>-0.68951937555625831</v>
      </c>
    </row>
    <row r="109" spans="1:8" x14ac:dyDescent="0.35">
      <c r="A109">
        <v>109</v>
      </c>
      <c r="B109">
        <f t="shared" si="14"/>
        <v>-1.7817048516350875</v>
      </c>
      <c r="C109">
        <f t="shared" si="15"/>
        <v>-0.20934837907115472</v>
      </c>
      <c r="D109">
        <f t="shared" si="16"/>
        <v>-0.97784112011117641</v>
      </c>
      <c r="E109">
        <v>109</v>
      </c>
      <c r="F109">
        <f t="shared" si="17"/>
        <v>-1.7817048516350875</v>
      </c>
      <c r="G109">
        <f t="shared" si="18"/>
        <v>-0.1480316584716255</v>
      </c>
      <c r="H109">
        <f t="shared" si="19"/>
        <v>-0.6914380869536626</v>
      </c>
    </row>
    <row r="110" spans="1:8" x14ac:dyDescent="0.35">
      <c r="A110">
        <v>110</v>
      </c>
      <c r="B110">
        <f t="shared" si="14"/>
        <v>-1.7691132979132849</v>
      </c>
      <c r="C110">
        <f t="shared" si="15"/>
        <v>-0.19701956984343019</v>
      </c>
      <c r="D110">
        <f t="shared" si="16"/>
        <v>-0.98039955584379457</v>
      </c>
      <c r="E110">
        <v>110</v>
      </c>
      <c r="F110">
        <f t="shared" si="17"/>
        <v>-1.7691132979132849</v>
      </c>
      <c r="G110">
        <f t="shared" si="18"/>
        <v>-0.13931387386274621</v>
      </c>
      <c r="H110">
        <f t="shared" si="19"/>
        <v>-0.69324717420942694</v>
      </c>
    </row>
    <row r="111" spans="1:8" x14ac:dyDescent="0.35">
      <c r="A111">
        <v>111</v>
      </c>
      <c r="B111">
        <f t="shared" si="14"/>
        <v>-1.756521744191482</v>
      </c>
      <c r="C111">
        <f t="shared" si="15"/>
        <v>-0.18465952412231887</v>
      </c>
      <c r="D111">
        <f t="shared" si="16"/>
        <v>-0.98280255400101535</v>
      </c>
      <c r="E111">
        <v>111</v>
      </c>
      <c r="F111">
        <f t="shared" si="17"/>
        <v>-1.756521744191482</v>
      </c>
      <c r="G111">
        <f t="shared" si="18"/>
        <v>-0.13057400171757261</v>
      </c>
      <c r="H111">
        <f t="shared" si="19"/>
        <v>-0.69494635050157649</v>
      </c>
    </row>
    <row r="112" spans="1:8" x14ac:dyDescent="0.35">
      <c r="A112">
        <v>112</v>
      </c>
      <c r="B112">
        <f t="shared" si="14"/>
        <v>-1.7439301904696791</v>
      </c>
      <c r="C112">
        <f t="shared" si="15"/>
        <v>-0.17227020153288122</v>
      </c>
      <c r="D112">
        <f t="shared" si="16"/>
        <v>-0.98504973359918258</v>
      </c>
      <c r="E112">
        <v>112</v>
      </c>
      <c r="F112">
        <f t="shared" si="17"/>
        <v>-1.7439301904696791</v>
      </c>
      <c r="G112">
        <f t="shared" si="18"/>
        <v>-0.12181342770027358</v>
      </c>
      <c r="H112">
        <f t="shared" si="19"/>
        <v>-0.69653534643398463</v>
      </c>
    </row>
    <row r="113" spans="1:8" x14ac:dyDescent="0.35">
      <c r="A113">
        <v>113</v>
      </c>
      <c r="B113">
        <f t="shared" si="14"/>
        <v>-1.7313386367478765</v>
      </c>
      <c r="C113">
        <f t="shared" si="15"/>
        <v>-0.15985356634188264</v>
      </c>
      <c r="D113">
        <f t="shared" si="16"/>
        <v>-0.98714073835891369</v>
      </c>
      <c r="E113">
        <v>113</v>
      </c>
      <c r="F113">
        <f t="shared" si="17"/>
        <v>-1.7313386367478765</v>
      </c>
      <c r="G113">
        <f t="shared" si="18"/>
        <v>-0.11303354075719894</v>
      </c>
      <c r="H113">
        <f t="shared" si="19"/>
        <v>-0.69801391007908387</v>
      </c>
    </row>
    <row r="114" spans="1:8" x14ac:dyDescent="0.35">
      <c r="A114">
        <v>114</v>
      </c>
      <c r="B114">
        <f t="shared" si="14"/>
        <v>-1.7187470830260736</v>
      </c>
      <c r="C114">
        <f t="shared" si="15"/>
        <v>-0.14741158714636779</v>
      </c>
      <c r="D114">
        <f t="shared" si="16"/>
        <v>-0.98907523676158671</v>
      </c>
      <c r="E114">
        <v>114</v>
      </c>
      <c r="F114">
        <f t="shared" si="17"/>
        <v>-1.7187470830260736</v>
      </c>
      <c r="G114">
        <f t="shared" si="18"/>
        <v>-0.10423573289666845</v>
      </c>
      <c r="H114">
        <f t="shared" si="19"/>
        <v>-0.6993818070178085</v>
      </c>
    </row>
    <row r="115" spans="1:8" x14ac:dyDescent="0.35">
      <c r="A115">
        <v>115</v>
      </c>
      <c r="B115">
        <f t="shared" si="14"/>
        <v>-1.7061555293042707</v>
      </c>
      <c r="C115">
        <f t="shared" si="15"/>
        <v>-0.13494623656155053</v>
      </c>
      <c r="D115">
        <f t="shared" si="16"/>
        <v>-0.99085292210190001</v>
      </c>
      <c r="E115">
        <v>115</v>
      </c>
      <c r="F115">
        <f t="shared" si="17"/>
        <v>-1.7061555293042707</v>
      </c>
      <c r="G115">
        <f t="shared" si="18"/>
        <v>-9.542139896827645E-2</v>
      </c>
      <c r="H115">
        <f t="shared" si="19"/>
        <v>-0.70063882037675995</v>
      </c>
    </row>
    <row r="116" spans="1:8" x14ac:dyDescent="0.35">
      <c r="A116">
        <v>116</v>
      </c>
      <c r="B116">
        <f t="shared" si="14"/>
        <v>-1.6935639755824681</v>
      </c>
      <c r="C116">
        <f t="shared" si="15"/>
        <v>-0.1224594909080647</v>
      </c>
      <c r="D116">
        <f t="shared" si="16"/>
        <v>-0.99247351253649974</v>
      </c>
      <c r="E116">
        <v>116</v>
      </c>
      <c r="F116">
        <f t="shared" si="17"/>
        <v>-1.6935639755824681</v>
      </c>
      <c r="G116">
        <f t="shared" si="18"/>
        <v>-8.6591936441744968E-2</v>
      </c>
      <c r="H116">
        <f t="shared" si="19"/>
        <v>-0.7017847508625914</v>
      </c>
    </row>
    <row r="117" spans="1:8" x14ac:dyDescent="0.35">
      <c r="A117">
        <v>117</v>
      </c>
      <c r="B117">
        <f t="shared" si="14"/>
        <v>-1.6809724218606652</v>
      </c>
      <c r="C117">
        <f t="shared" si="15"/>
        <v>-0.1099533298986274</v>
      </c>
      <c r="D117">
        <f t="shared" si="16"/>
        <v>-0.99393675112866398</v>
      </c>
      <c r="E117">
        <v>117</v>
      </c>
      <c r="F117">
        <f t="shared" si="17"/>
        <v>-1.6809724218606652</v>
      </c>
      <c r="G117">
        <f t="shared" si="18"/>
        <v>-7.7748745185361054E-2</v>
      </c>
      <c r="H117">
        <f t="shared" si="19"/>
        <v>-0.7028194167936046</v>
      </c>
    </row>
    <row r="118" spans="1:8" x14ac:dyDescent="0.35">
      <c r="A118">
        <v>118</v>
      </c>
      <c r="B118">
        <f t="shared" si="14"/>
        <v>-1.6683808681388623</v>
      </c>
      <c r="C118">
        <f t="shared" si="15"/>
        <v>-9.7429736324166516E-2</v>
      </c>
      <c r="D118">
        <f t="shared" si="16"/>
        <v>-0.99524240588903934</v>
      </c>
      <c r="E118">
        <v>118</v>
      </c>
      <c r="F118">
        <f t="shared" si="17"/>
        <v>-1.6683808681388623</v>
      </c>
      <c r="G118">
        <f t="shared" si="18"/>
        <v>-6.8893227244035488E-2</v>
      </c>
      <c r="H118">
        <f t="shared" si="19"/>
        <v>-0.70374265412855452</v>
      </c>
    </row>
    <row r="119" spans="1:8" x14ac:dyDescent="0.35">
      <c r="A119">
        <v>119</v>
      </c>
      <c r="B119">
        <f t="shared" si="14"/>
        <v>-1.6557893144170597</v>
      </c>
      <c r="C119">
        <f t="shared" si="15"/>
        <v>-8.4890695739458288E-2</v>
      </c>
      <c r="D119">
        <f t="shared" si="16"/>
        <v>-0.99639026981242185</v>
      </c>
      <c r="E119">
        <v>119</v>
      </c>
      <c r="F119">
        <f t="shared" si="17"/>
        <v>-1.6557893144170597</v>
      </c>
      <c r="G119">
        <f t="shared" si="18"/>
        <v>-6.0026786617014959E-2</v>
      </c>
      <c r="H119">
        <f t="shared" si="19"/>
        <v>-0.70455431649265776</v>
      </c>
    </row>
    <row r="120" spans="1:8" x14ac:dyDescent="0.35">
      <c r="A120">
        <v>120</v>
      </c>
      <c r="B120">
        <f t="shared" si="14"/>
        <v>-1.6431977606952568</v>
      </c>
      <c r="C120">
        <f t="shared" si="15"/>
        <v>-7.2338196148326483E-2</v>
      </c>
      <c r="D120">
        <f t="shared" si="16"/>
        <v>-0.99738016091057591</v>
      </c>
      <c r="E120">
        <v>120</v>
      </c>
      <c r="F120">
        <f t="shared" si="17"/>
        <v>-1.6431977606952568</v>
      </c>
      <c r="G120">
        <f t="shared" si="18"/>
        <v>-5.1150829035284284E-2</v>
      </c>
      <c r="H120">
        <f t="shared" si="19"/>
        <v>-0.70525427520079864</v>
      </c>
    </row>
    <row r="121" spans="1:8" x14ac:dyDescent="0.35">
      <c r="A121">
        <v>121</v>
      </c>
      <c r="B121">
        <f t="shared" si="14"/>
        <v>-1.6306062069734539</v>
      </c>
      <c r="C121">
        <f t="shared" si="15"/>
        <v>-5.9774227688455507E-2</v>
      </c>
      <c r="D121">
        <f t="shared" si="16"/>
        <v>-0.99821192224108835</v>
      </c>
      <c r="E121">
        <v>121</v>
      </c>
      <c r="F121">
        <f t="shared" si="17"/>
        <v>-1.6306062069734539</v>
      </c>
      <c r="G121">
        <f t="shared" si="18"/>
        <v>-4.2266761738695612E-2</v>
      </c>
      <c r="H121">
        <f t="shared" si="19"/>
        <v>-0.70584241927793279</v>
      </c>
    </row>
    <row r="122" spans="1:8" x14ac:dyDescent="0.35">
      <c r="A122">
        <v>122</v>
      </c>
      <c r="B122">
        <f t="shared" si="14"/>
        <v>-1.6180146532516513</v>
      </c>
      <c r="C122">
        <f t="shared" si="15"/>
        <v>-4.720078231586302E-2</v>
      </c>
      <c r="D122">
        <f t="shared" si="16"/>
        <v>-0.99888542193225072</v>
      </c>
      <c r="E122">
        <v>122</v>
      </c>
      <c r="F122">
        <f t="shared" si="17"/>
        <v>-1.6180146532516513</v>
      </c>
      <c r="G122">
        <f t="shared" si="18"/>
        <v>-3.3375993252856839E-2</v>
      </c>
      <c r="H122">
        <f t="shared" si="19"/>
        <v>-0.70631865547668071</v>
      </c>
    </row>
    <row r="123" spans="1:8" x14ac:dyDescent="0.35">
      <c r="A123">
        <v>123</v>
      </c>
      <c r="B123">
        <f t="shared" si="14"/>
        <v>-1.6054230995298484</v>
      </c>
      <c r="C123">
        <f t="shared" si="15"/>
        <v>-3.4619853489084404E-2</v>
      </c>
      <c r="D123">
        <f t="shared" si="16"/>
        <v>-0.99940055320396648</v>
      </c>
      <c r="E123">
        <v>123</v>
      </c>
      <c r="F123">
        <f t="shared" si="17"/>
        <v>-1.6054230995298484</v>
      </c>
      <c r="G123">
        <f t="shared" si="18"/>
        <v>-2.4479933165816356E-2</v>
      </c>
      <c r="H123">
        <f t="shared" si="19"/>
        <v>-0.70668290829211211</v>
      </c>
    </row>
    <row r="124" spans="1:8" x14ac:dyDescent="0.35">
      <c r="A124">
        <v>124</v>
      </c>
      <c r="B124">
        <f t="shared" si="14"/>
        <v>-1.5928315458080455</v>
      </c>
      <c r="C124">
        <f t="shared" si="15"/>
        <v>-2.2033435853120915E-2</v>
      </c>
      <c r="D124">
        <f t="shared" si="16"/>
        <v>-0.99975723438468123</v>
      </c>
      <c r="E124">
        <v>124</v>
      </c>
      <c r="F124">
        <f t="shared" si="17"/>
        <v>-1.5928315458080455</v>
      </c>
      <c r="G124">
        <f t="shared" si="18"/>
        <v>-1.5579991904580613E-2</v>
      </c>
      <c r="H124">
        <f t="shared" si="19"/>
        <v>-0.70693511997371716</v>
      </c>
    </row>
    <row r="125" spans="1:8" x14ac:dyDescent="0.35">
      <c r="A125">
        <v>125</v>
      </c>
      <c r="B125">
        <f t="shared" si="14"/>
        <v>-1.5802399920862429</v>
      </c>
      <c r="C125">
        <f t="shared" si="15"/>
        <v>-9.4435249231977821E-3</v>
      </c>
      <c r="D125">
        <f t="shared" si="16"/>
        <v>-0.99995540892433044</v>
      </c>
      <c r="E125">
        <v>125</v>
      </c>
      <c r="F125">
        <f t="shared" si="17"/>
        <v>-1.5802399920862429</v>
      </c>
      <c r="G125">
        <f t="shared" si="18"/>
        <v>-6.6775805114973269E-3</v>
      </c>
      <c r="H125">
        <f t="shared" si="19"/>
        <v>-0.70707525053456166</v>
      </c>
    </row>
    <row r="126" spans="1:8" x14ac:dyDescent="0.35">
      <c r="A126">
        <v>126</v>
      </c>
      <c r="B126">
        <f t="shared" si="14"/>
        <v>-1.56764843836444</v>
      </c>
      <c r="C126">
        <f t="shared" si="15"/>
        <v>3.1478832316156873E-3</v>
      </c>
      <c r="D126">
        <f t="shared" si="16"/>
        <v>-0.99999504540330608</v>
      </c>
      <c r="E126">
        <v>126</v>
      </c>
      <c r="F126">
        <f t="shared" si="17"/>
        <v>-1.56764843836444</v>
      </c>
      <c r="G126">
        <f t="shared" si="18"/>
        <v>2.2258895794588776E-3</v>
      </c>
      <c r="H126">
        <f t="shared" si="19"/>
        <v>-0.70710327775762771</v>
      </c>
    </row>
    <row r="127" spans="1:8" x14ac:dyDescent="0.35">
      <c r="A127">
        <v>127</v>
      </c>
      <c r="B127">
        <f t="shared" si="14"/>
        <v>-1.5550568846426371</v>
      </c>
      <c r="C127">
        <f t="shared" si="15"/>
        <v>1.5738792304871806E-2</v>
      </c>
      <c r="D127">
        <f t="shared" si="16"/>
        <v>-0.9998761375374372</v>
      </c>
      <c r="E127">
        <v>127</v>
      </c>
      <c r="F127">
        <f t="shared" si="17"/>
        <v>-1.5550568846426371</v>
      </c>
      <c r="G127">
        <f t="shared" si="18"/>
        <v>1.1129006766461514E-2</v>
      </c>
      <c r="H127">
        <f t="shared" si="19"/>
        <v>-0.70701919719933537</v>
      </c>
    </row>
    <row r="128" spans="1:8" x14ac:dyDescent="0.35">
      <c r="A128">
        <v>128</v>
      </c>
      <c r="B128">
        <f t="shared" si="14"/>
        <v>-1.5424653309208345</v>
      </c>
      <c r="C128">
        <f t="shared" si="15"/>
        <v>2.8327206069249836E-2</v>
      </c>
      <c r="D128">
        <f t="shared" si="16"/>
        <v>-0.99959870417898711</v>
      </c>
      <c r="E128">
        <v>128</v>
      </c>
      <c r="F128">
        <f t="shared" si="17"/>
        <v>-1.5424653309208345</v>
      </c>
      <c r="G128">
        <f t="shared" si="18"/>
        <v>2.0030359503635298E-2</v>
      </c>
      <c r="H128">
        <f t="shared" si="19"/>
        <v>-0.70682302219024795</v>
      </c>
    </row>
    <row r="129" spans="1:8" x14ac:dyDescent="0.35">
      <c r="A129">
        <v>129</v>
      </c>
      <c r="B129">
        <f t="shared" ref="B129:B192" si="24">-3.14159265358979+(A129-1)*0.0125915537218028</f>
        <v>-1.5298737771990316</v>
      </c>
      <c r="C129">
        <f t="shared" ref="C129:C192" si="25">1*COS(B129)+0</f>
        <v>4.0911128693048776E-2</v>
      </c>
      <c r="D129">
        <f t="shared" ref="D129:D192" si="26">1*SIN(B129)+0+0*COS(B129)</f>
        <v>-0.99916278931366376</v>
      </c>
      <c r="E129">
        <v>129</v>
      </c>
      <c r="F129">
        <f t="shared" ref="F129:F192" si="27">-3.14159265358979+(E129-1)*0.0125915537218028</f>
        <v>-1.5298737771990316</v>
      </c>
      <c r="G129">
        <f t="shared" ref="G129:G192" si="28">0.707106781186548*COS(F129)+0</f>
        <v>2.8928536524850348E-2</v>
      </c>
      <c r="H129">
        <f t="shared" ref="H129:H192" si="29">0.707106781186548*SIN(F129)+0+0*COS(F129)</f>
        <v>-0.70651478383295785</v>
      </c>
    </row>
    <row r="130" spans="1:8" x14ac:dyDescent="0.35">
      <c r="A130">
        <v>130</v>
      </c>
      <c r="B130">
        <f t="shared" si="24"/>
        <v>-1.5172822234772287</v>
      </c>
      <c r="C130">
        <f t="shared" si="25"/>
        <v>5.3488565056615429E-2</v>
      </c>
      <c r="D130">
        <f t="shared" si="26"/>
        <v>-0.99856846205364613</v>
      </c>
      <c r="E130">
        <v>130</v>
      </c>
      <c r="F130">
        <f t="shared" si="27"/>
        <v>-1.5172822234772287</v>
      </c>
      <c r="G130">
        <f t="shared" si="28"/>
        <v>3.7822127067470603E-2</v>
      </c>
      <c r="H130">
        <f t="shared" si="29"/>
        <v>-0.70609453099715536</v>
      </c>
    </row>
    <row r="131" spans="1:8" x14ac:dyDescent="0.35">
      <c r="A131">
        <v>131</v>
      </c>
      <c r="B131">
        <f t="shared" si="24"/>
        <v>-1.5046906697554261</v>
      </c>
      <c r="C131">
        <f t="shared" si="25"/>
        <v>6.605752106866157E-2</v>
      </c>
      <c r="D131">
        <f t="shared" si="26"/>
        <v>-0.99781581662662744</v>
      </c>
      <c r="E131">
        <v>131</v>
      </c>
      <c r="F131">
        <f t="shared" si="27"/>
        <v>-1.5046906697554261</v>
      </c>
      <c r="G131">
        <f t="shared" si="28"/>
        <v>4.6709721096023865E-2</v>
      </c>
      <c r="H131">
        <f t="shared" si="29"/>
        <v>-0.70556233031188131</v>
      </c>
    </row>
    <row r="132" spans="1:8" x14ac:dyDescent="0.35">
      <c r="A132">
        <v>132</v>
      </c>
      <c r="B132">
        <f t="shared" si="24"/>
        <v>-1.4920991160336232</v>
      </c>
      <c r="C132">
        <f t="shared" si="25"/>
        <v>7.8616003982418081E-2</v>
      </c>
      <c r="D132">
        <f t="shared" si="26"/>
        <v>-0.99690497236087472</v>
      </c>
      <c r="E132">
        <v>132</v>
      </c>
      <c r="F132">
        <f t="shared" si="27"/>
        <v>-1.4920991160336232</v>
      </c>
      <c r="G132">
        <f t="shared" si="28"/>
        <v>5.5589909525756487E-2</v>
      </c>
      <c r="H132">
        <f t="shared" si="29"/>
        <v>-0.70491826615496278</v>
      </c>
    </row>
    <row r="133" spans="1:8" x14ac:dyDescent="0.35">
      <c r="A133">
        <v>133</v>
      </c>
      <c r="B133">
        <f t="shared" si="24"/>
        <v>-1.4795075623118203</v>
      </c>
      <c r="C133">
        <f t="shared" si="25"/>
        <v>9.1162022711573906E-2</v>
      </c>
      <c r="D133">
        <f t="shared" si="26"/>
        <v>-0.99583607366631099</v>
      </c>
      <c r="E133">
        <v>133</v>
      </c>
      <c r="F133">
        <f t="shared" si="27"/>
        <v>-1.4795075623118203</v>
      </c>
      <c r="G133">
        <f t="shared" si="28"/>
        <v>6.4461284446036007E-2</v>
      </c>
      <c r="H133">
        <f t="shared" si="29"/>
        <v>-0.70416244063963529</v>
      </c>
    </row>
    <row r="134" spans="1:8" x14ac:dyDescent="0.35">
      <c r="A134">
        <v>134</v>
      </c>
      <c r="B134">
        <f t="shared" si="24"/>
        <v>-1.4669160085900177</v>
      </c>
      <c r="C134">
        <f t="shared" si="25"/>
        <v>0.10369358814595377</v>
      </c>
      <c r="D134">
        <f t="shared" si="26"/>
        <v>-0.99460929001161924</v>
      </c>
      <c r="E134">
        <v>134</v>
      </c>
      <c r="F134">
        <f t="shared" si="27"/>
        <v>-1.4669160085900177</v>
      </c>
      <c r="G134">
        <f t="shared" si="28"/>
        <v>7.3322439343568954E-2</v>
      </c>
      <c r="H134">
        <f t="shared" si="29"/>
        <v>-0.70329497359835391</v>
      </c>
    </row>
    <row r="135" spans="1:8" x14ac:dyDescent="0.35">
      <c r="A135">
        <v>135</v>
      </c>
      <c r="B135">
        <f t="shared" si="24"/>
        <v>-1.4543244548682148</v>
      </c>
      <c r="C135">
        <f t="shared" si="25"/>
        <v>0.11620871346688255</v>
      </c>
      <c r="D135">
        <f t="shared" si="26"/>
        <v>-0.99322481589737377</v>
      </c>
      <c r="E135">
        <v>135</v>
      </c>
      <c r="F135">
        <f t="shared" si="27"/>
        <v>-1.4543244548682148</v>
      </c>
      <c r="G135">
        <f t="shared" si="28"/>
        <v>8.2171969325397179E-2</v>
      </c>
      <c r="H135">
        <f t="shared" si="29"/>
        <v>-0.70231600256379367</v>
      </c>
    </row>
    <row r="136" spans="1:8" x14ac:dyDescent="0.35">
      <c r="A136">
        <v>136</v>
      </c>
      <c r="B136">
        <f t="shared" si="24"/>
        <v>-1.4417329011464119</v>
      </c>
      <c r="C136">
        <f t="shared" si="25"/>
        <v>0.12870541446218442</v>
      </c>
      <c r="D136">
        <f t="shared" si="26"/>
        <v>-0.99168287082520357</v>
      </c>
      <c r="E136">
        <v>136</v>
      </c>
      <c r="F136">
        <f t="shared" si="27"/>
        <v>-1.4417329011464119</v>
      </c>
      <c r="G136">
        <f t="shared" si="28"/>
        <v>9.100847134163581E-2</v>
      </c>
      <c r="H136">
        <f t="shared" si="29"/>
        <v>-0.701225682747045</v>
      </c>
    </row>
    <row r="137" spans="1:8" x14ac:dyDescent="0.35">
      <c r="A137">
        <v>137</v>
      </c>
      <c r="B137">
        <f t="shared" si="24"/>
        <v>-1.4291413474246093</v>
      </c>
      <c r="C137">
        <f t="shared" si="25"/>
        <v>0.14118170984077064</v>
      </c>
      <c r="D137">
        <f t="shared" si="26"/>
        <v>-0.98998369926299112</v>
      </c>
      <c r="E137">
        <v>137</v>
      </c>
      <c r="F137">
        <f t="shared" si="27"/>
        <v>-1.4291413474246093</v>
      </c>
      <c r="G137">
        <f t="shared" si="28"/>
        <v>9.983054440792051E-2</v>
      </c>
      <c r="H137">
        <f t="shared" si="29"/>
        <v>-0.70002418701300517</v>
      </c>
    </row>
    <row r="138" spans="1:8" x14ac:dyDescent="0.35">
      <c r="A138">
        <v>138</v>
      </c>
      <c r="B138">
        <f t="shared" si="24"/>
        <v>-1.4165497937028064</v>
      </c>
      <c r="C138">
        <f t="shared" si="25"/>
        <v>0.1536356215467643</v>
      </c>
      <c r="D138">
        <f t="shared" si="26"/>
        <v>-0.98812757060611334</v>
      </c>
      <c r="E138">
        <v>138</v>
      </c>
      <c r="F138">
        <f t="shared" si="27"/>
        <v>-1.4165497937028064</v>
      </c>
      <c r="G138">
        <f t="shared" si="28"/>
        <v>0.10863678982752717</v>
      </c>
      <c r="H138">
        <f t="shared" si="29"/>
        <v>-0.69871170585297226</v>
      </c>
    </row>
    <row r="139" spans="1:8" x14ac:dyDescent="0.35">
      <c r="A139">
        <v>139</v>
      </c>
      <c r="B139">
        <f t="shared" si="24"/>
        <v>-1.4039582399810036</v>
      </c>
      <c r="C139">
        <f t="shared" si="25"/>
        <v>0.16606517507311008</v>
      </c>
      <c r="D139">
        <f t="shared" si="26"/>
        <v>-0.98611477913473</v>
      </c>
      <c r="E139">
        <v>139</v>
      </c>
      <c r="F139">
        <f t="shared" si="27"/>
        <v>-1.4039582399810036</v>
      </c>
      <c r="G139">
        <f t="shared" si="28"/>
        <v>0.11742581141312744</v>
      </c>
      <c r="H139">
        <f t="shared" si="29"/>
        <v>-0.69728844735444262</v>
      </c>
    </row>
    <row r="140" spans="1:8" x14ac:dyDescent="0.35">
      <c r="A140">
        <v>140</v>
      </c>
      <c r="B140">
        <f t="shared" si="24"/>
        <v>-1.3913666862592009</v>
      </c>
      <c r="C140">
        <f t="shared" si="25"/>
        <v>0.17846839977462353</v>
      </c>
      <c r="D140">
        <f t="shared" si="26"/>
        <v>-0.98394564396712747</v>
      </c>
      <c r="E140">
        <v>140</v>
      </c>
      <c r="F140">
        <f t="shared" si="27"/>
        <v>-1.3913666862592009</v>
      </c>
      <c r="G140">
        <f t="shared" si="28"/>
        <v>0.1261962157081481</v>
      </c>
      <c r="H140">
        <f t="shared" si="29"/>
        <v>-0.69575463716812069</v>
      </c>
    </row>
    <row r="141" spans="1:8" x14ac:dyDescent="0.35">
      <c r="A141">
        <v>141</v>
      </c>
      <c r="B141">
        <f t="shared" si="24"/>
        <v>-1.378775132537398</v>
      </c>
      <c r="C141">
        <f t="shared" si="25"/>
        <v>0.19084332918042771</v>
      </c>
      <c r="D141">
        <f t="shared" si="26"/>
        <v>-0.98162050900912357</v>
      </c>
      <c r="E141">
        <v>141</v>
      </c>
      <c r="F141">
        <f t="shared" si="27"/>
        <v>-1.378775132537398</v>
      </c>
      <c r="G141">
        <f t="shared" si="28"/>
        <v>0.13494661220769705</v>
      </c>
      <c r="H141">
        <f t="shared" si="29"/>
        <v>-0.69411051847214222</v>
      </c>
    </row>
    <row r="142" spans="1:8" x14ac:dyDescent="0.35">
      <c r="A142">
        <v>142</v>
      </c>
      <c r="B142">
        <f t="shared" si="24"/>
        <v>-1.3661835788155952</v>
      </c>
      <c r="C142">
        <f t="shared" si="25"/>
        <v>0.20318800130572645</v>
      </c>
      <c r="D142">
        <f t="shared" si="26"/>
        <v>-0.97913974289954353</v>
      </c>
      <c r="E142">
        <v>142</v>
      </c>
      <c r="F142">
        <f t="shared" si="27"/>
        <v>-1.3661835788155952</v>
      </c>
      <c r="G142">
        <f t="shared" si="28"/>
        <v>0.14367561357902034</v>
      </c>
      <c r="H142">
        <f t="shared" si="29"/>
        <v>-0.69235635193352041</v>
      </c>
    </row>
    <row r="143" spans="1:8" x14ac:dyDescent="0.35">
      <c r="A143">
        <v>143</v>
      </c>
      <c r="B143">
        <f t="shared" si="24"/>
        <v>-1.3535920250937925</v>
      </c>
      <c r="C143">
        <f t="shared" si="25"/>
        <v>0.21550045896286801</v>
      </c>
      <c r="D143">
        <f t="shared" si="26"/>
        <v>-0.97650373895177345</v>
      </c>
      <c r="E143">
        <v>143</v>
      </c>
      <c r="F143">
        <f t="shared" si="27"/>
        <v>-1.3535920250937925</v>
      </c>
      <c r="G143">
        <f t="shared" si="28"/>
        <v>0.15238183588145737</v>
      </c>
      <c r="H143">
        <f t="shared" si="29"/>
        <v>-0.69049241566681763</v>
      </c>
    </row>
    <row r="144" spans="1:8" x14ac:dyDescent="0.35">
      <c r="A144">
        <v>144</v>
      </c>
      <c r="B144">
        <f t="shared" si="24"/>
        <v>-1.3410004713719896</v>
      </c>
      <c r="C144">
        <f t="shared" si="25"/>
        <v>0.22777875007164838</v>
      </c>
      <c r="D144">
        <f t="shared" si="26"/>
        <v>-0.9737129150914029</v>
      </c>
      <c r="E144">
        <v>144</v>
      </c>
      <c r="F144">
        <f t="shared" si="27"/>
        <v>-1.3410004713719896</v>
      </c>
      <c r="G144">
        <f t="shared" si="28"/>
        <v>0.16106389878585847</v>
      </c>
      <c r="H144">
        <f t="shared" si="29"/>
        <v>-0.68851900519005249</v>
      </c>
    </row>
    <row r="145" spans="1:8" x14ac:dyDescent="0.35">
      <c r="A145">
        <v>145</v>
      </c>
      <c r="B145">
        <f t="shared" si="24"/>
        <v>-1.3284089176501868</v>
      </c>
      <c r="C145">
        <f t="shared" si="25"/>
        <v>0.24002092796880276</v>
      </c>
      <c r="D145">
        <f t="shared" si="26"/>
        <v>-0.97076771378996474</v>
      </c>
      <c r="E145">
        <v>145</v>
      </c>
      <c r="F145">
        <f t="shared" si="27"/>
        <v>-1.3284089176501868</v>
      </c>
      <c r="G145">
        <f t="shared" si="28"/>
        <v>0.16972042579342841</v>
      </c>
      <c r="H145">
        <f t="shared" si="29"/>
        <v>-0.6864364333778461</v>
      </c>
    </row>
    <row r="146" spans="1:8" x14ac:dyDescent="0.35">
      <c r="A146">
        <v>146</v>
      </c>
      <c r="B146">
        <f t="shared" si="24"/>
        <v>-1.3158173639283841</v>
      </c>
      <c r="C146">
        <f t="shared" si="25"/>
        <v>0.25222505171664023</v>
      </c>
      <c r="D146">
        <f t="shared" si="26"/>
        <v>-0.96766860199478322</v>
      </c>
      <c r="E146">
        <v>146</v>
      </c>
      <c r="F146">
        <f t="shared" si="27"/>
        <v>-1.3158173639283841</v>
      </c>
      <c r="G146">
        <f t="shared" si="28"/>
        <v>0.17835004445396407</v>
      </c>
      <c r="H146">
        <f t="shared" si="29"/>
        <v>-0.68424503041181794</v>
      </c>
    </row>
    <row r="147" spans="1:8" x14ac:dyDescent="0.35">
      <c r="A147">
        <v>147</v>
      </c>
      <c r="B147">
        <f t="shared" si="24"/>
        <v>-1.3032258102065812</v>
      </c>
      <c r="C147">
        <f t="shared" si="25"/>
        <v>0.26438918641077053</v>
      </c>
      <c r="D147">
        <f t="shared" si="26"/>
        <v>-0.96441607105494198</v>
      </c>
      <c r="E147">
        <v>147</v>
      </c>
      <c r="F147">
        <f t="shared" si="27"/>
        <v>-1.3032258102065812</v>
      </c>
      <c r="G147">
        <f t="shared" si="28"/>
        <v>0.18695138658345017</v>
      </c>
      <c r="H147">
        <f t="shared" si="29"/>
        <v>-0.68194514372823722</v>
      </c>
    </row>
    <row r="148" spans="1:8" x14ac:dyDescent="0.35">
      <c r="A148">
        <v>148</v>
      </c>
      <c r="B148">
        <f t="shared" si="24"/>
        <v>-1.2906342564847784</v>
      </c>
      <c r="C148">
        <f t="shared" si="25"/>
        <v>0.27651140348687248</v>
      </c>
      <c r="D148">
        <f t="shared" si="26"/>
        <v>-0.96101063664338282</v>
      </c>
      <c r="E148">
        <v>148</v>
      </c>
      <c r="F148">
        <f t="shared" si="27"/>
        <v>-1.2906342564847784</v>
      </c>
      <c r="G148">
        <f t="shared" si="28"/>
        <v>0.19552308848097721</v>
      </c>
      <c r="H148">
        <f t="shared" si="29"/>
        <v>-0.67953713796293769</v>
      </c>
    </row>
    <row r="149" spans="1:8" x14ac:dyDescent="0.35">
      <c r="A149">
        <v>149</v>
      </c>
      <c r="B149">
        <f t="shared" si="24"/>
        <v>-1.2780427027629757</v>
      </c>
      <c r="C149">
        <f t="shared" si="25"/>
        <v>0.28858978102645916</v>
      </c>
      <c r="D149">
        <f t="shared" si="26"/>
        <v>-0.95745283867514874</v>
      </c>
      <c r="E149">
        <v>149</v>
      </c>
      <c r="F149">
        <f t="shared" si="27"/>
        <v>-1.2780427027629757</v>
      </c>
      <c r="G149">
        <f t="shared" si="28"/>
        <v>0.20406379114495027</v>
      </c>
      <c r="H149">
        <f t="shared" si="29"/>
        <v>-0.67702139489350766</v>
      </c>
    </row>
    <row r="150" spans="1:8" x14ac:dyDescent="0.35">
      <c r="A150">
        <v>150</v>
      </c>
      <c r="B150">
        <f t="shared" si="24"/>
        <v>-1.2654511490411728</v>
      </c>
      <c r="C150">
        <f t="shared" si="25"/>
        <v>0.3006224040615893</v>
      </c>
      <c r="D150">
        <f t="shared" si="26"/>
        <v>-0.95374324122178211</v>
      </c>
      <c r="E150">
        <v>150</v>
      </c>
      <c r="F150">
        <f t="shared" si="27"/>
        <v>-1.2654511490411728</v>
      </c>
      <c r="G150">
        <f t="shared" si="28"/>
        <v>0.21257214048855225</v>
      </c>
      <c r="H150">
        <f t="shared" si="29"/>
        <v>-0.67439831337875977</v>
      </c>
    </row>
    <row r="151" spans="1:8" x14ac:dyDescent="0.35">
      <c r="A151">
        <v>151</v>
      </c>
      <c r="B151">
        <f t="shared" si="24"/>
        <v>-1.25285959531937</v>
      </c>
      <c r="C151">
        <f t="shared" si="25"/>
        <v>0.3126073648784749</v>
      </c>
      <c r="D151">
        <f t="shared" si="26"/>
        <v>-0.94988243242189507</v>
      </c>
      <c r="E151">
        <v>151</v>
      </c>
      <c r="F151">
        <f t="shared" si="27"/>
        <v>-1.25285959531937</v>
      </c>
      <c r="G151">
        <f t="shared" si="28"/>
        <v>0.22104678755442714</v>
      </c>
      <c r="H151">
        <f t="shared" si="29"/>
        <v>-0.67166830929549493</v>
      </c>
    </row>
    <row r="152" spans="1:8" x14ac:dyDescent="0.35">
      <c r="A152">
        <v>152</v>
      </c>
      <c r="B152">
        <f t="shared" si="24"/>
        <v>-1.2402680415975673</v>
      </c>
      <c r="C152">
        <f t="shared" si="25"/>
        <v>0.32454276331994053</v>
      </c>
      <c r="D152">
        <f t="shared" si="26"/>
        <v>-0.94587102438792203</v>
      </c>
      <c r="E152">
        <v>152</v>
      </c>
      <c r="F152">
        <f t="shared" si="27"/>
        <v>-1.2402680415975673</v>
      </c>
      <c r="G152">
        <f t="shared" si="28"/>
        <v>0.22948638872855084</v>
      </c>
      <c r="H152">
        <f t="shared" si="29"/>
        <v>-0.66883181547256643</v>
      </c>
    </row>
    <row r="153" spans="1:8" x14ac:dyDescent="0.35">
      <c r="A153">
        <v>153</v>
      </c>
      <c r="B153">
        <f t="shared" si="24"/>
        <v>-1.2276764878757644</v>
      </c>
      <c r="C153">
        <f t="shared" si="25"/>
        <v>0.33642670708668465</v>
      </c>
      <c r="D153">
        <f t="shared" si="26"/>
        <v>-0.94170965310907273</v>
      </c>
      <c r="E153">
        <v>153</v>
      </c>
      <c r="F153">
        <f t="shared" si="27"/>
        <v>-1.2276764878757644</v>
      </c>
      <c r="G153">
        <f t="shared" si="28"/>
        <v>0.2378896059532552</v>
      </c>
      <c r="H153">
        <f t="shared" si="29"/>
        <v>-0.66588928162225713</v>
      </c>
    </row>
    <row r="154" spans="1:8" x14ac:dyDescent="0.35">
      <c r="A154">
        <v>154</v>
      </c>
      <c r="B154">
        <f t="shared" si="24"/>
        <v>-1.2150849341539616</v>
      </c>
      <c r="C154">
        <f t="shared" si="25"/>
        <v>0.34825731203729327</v>
      </c>
      <c r="D154">
        <f t="shared" si="26"/>
        <v>-0.93739897835049901</v>
      </c>
      <c r="E154">
        <v>154</v>
      </c>
      <c r="F154">
        <f t="shared" si="27"/>
        <v>-1.2150849341539616</v>
      </c>
      <c r="G154">
        <f t="shared" si="28"/>
        <v>0.24625510693936969</v>
      </c>
      <c r="H154">
        <f t="shared" si="29"/>
        <v>-0.66284117426897993</v>
      </c>
    </row>
    <row r="155" spans="1:8" x14ac:dyDescent="0.35">
      <c r="A155">
        <v>155</v>
      </c>
      <c r="B155">
        <f t="shared" si="24"/>
        <v>-1.2024933804321589</v>
      </c>
      <c r="C155">
        <f t="shared" si="25"/>
        <v>0.36003270248696184</v>
      </c>
      <c r="D155">
        <f t="shared" si="26"/>
        <v>-0.93293968354869272</v>
      </c>
      <c r="E155">
        <v>155</v>
      </c>
      <c r="F155">
        <f t="shared" si="27"/>
        <v>-1.2024933804321589</v>
      </c>
      <c r="G155">
        <f t="shared" si="28"/>
        <v>0.25458156537744969</v>
      </c>
      <c r="H155">
        <f t="shared" si="29"/>
        <v>-0.65968797667531287</v>
      </c>
    </row>
    <row r="156" spans="1:8" x14ac:dyDescent="0.35">
      <c r="A156">
        <v>156</v>
      </c>
      <c r="B156">
        <f t="shared" si="24"/>
        <v>-1.189901826710356</v>
      </c>
      <c r="C156">
        <f t="shared" si="25"/>
        <v>0.37175101150487677</v>
      </c>
      <c r="D156">
        <f t="shared" si="26"/>
        <v>-0.92833247570312916</v>
      </c>
      <c r="E156">
        <v>156</v>
      </c>
      <c r="F156">
        <f t="shared" si="27"/>
        <v>-1.189901826710356</v>
      </c>
      <c r="G156">
        <f t="shared" si="28"/>
        <v>0.26286766114805682</v>
      </c>
      <c r="H156">
        <f t="shared" si="29"/>
        <v>-0.65643018876537895</v>
      </c>
    </row>
    <row r="157" spans="1:8" x14ac:dyDescent="0.35">
      <c r="A157">
        <v>157</v>
      </c>
      <c r="B157">
        <f t="shared" si="24"/>
        <v>-1.1773102729885532</v>
      </c>
      <c r="C157">
        <f t="shared" si="25"/>
        <v>0.38341038121020693</v>
      </c>
      <c r="D157">
        <f t="shared" si="26"/>
        <v>-0.92357808526417717</v>
      </c>
      <c r="E157">
        <v>157</v>
      </c>
      <c r="F157">
        <f t="shared" si="27"/>
        <v>-1.1773102729885532</v>
      </c>
      <c r="G157">
        <f t="shared" si="28"/>
        <v>0.27111208053105673</v>
      </c>
      <c r="H157">
        <f t="shared" si="29"/>
        <v>-0.65306832704558748</v>
      </c>
    </row>
    <row r="158" spans="1:8" x14ac:dyDescent="0.35">
      <c r="A158">
        <v>158</v>
      </c>
      <c r="B158">
        <f t="shared" si="24"/>
        <v>-1.1647187192667505</v>
      </c>
      <c r="C158">
        <f t="shared" si="25"/>
        <v>0.39500896306666211</v>
      </c>
      <c r="D158">
        <f t="shared" si="26"/>
        <v>-0.91867726601728883</v>
      </c>
      <c r="E158">
        <v>158</v>
      </c>
      <c r="F158">
        <f t="shared" si="27"/>
        <v>-1.1647187192667505</v>
      </c>
      <c r="G158">
        <f t="shared" si="28"/>
        <v>0.27931351641390345</v>
      </c>
      <c r="H158">
        <f t="shared" si="29"/>
        <v>-0.64960292452274326</v>
      </c>
    </row>
    <row r="159" spans="1:8" x14ac:dyDescent="0.35">
      <c r="A159">
        <v>159</v>
      </c>
      <c r="B159">
        <f t="shared" si="24"/>
        <v>-1.1521271655449477</v>
      </c>
      <c r="C159">
        <f t="shared" si="25"/>
        <v>0.40654491817557015</v>
      </c>
      <c r="D159">
        <f t="shared" si="26"/>
        <v>-0.9136307949634902</v>
      </c>
      <c r="E159">
        <v>159</v>
      </c>
      <c r="F159">
        <f t="shared" si="27"/>
        <v>-1.1521271655449477</v>
      </c>
      <c r="G159">
        <f t="shared" si="28"/>
        <v>0.28747066849887593</v>
      </c>
      <c r="H159">
        <f t="shared" si="29"/>
        <v>-0.64603453061954053</v>
      </c>
    </row>
    <row r="160" spans="1:8" x14ac:dyDescent="0.35">
      <c r="A160">
        <v>160</v>
      </c>
      <c r="B160">
        <f t="shared" si="24"/>
        <v>-1.139535611823145</v>
      </c>
      <c r="C160">
        <f t="shared" si="25"/>
        <v>0.41801641756742391</v>
      </c>
      <c r="D160">
        <f t="shared" si="26"/>
        <v>-0.9084394721961927</v>
      </c>
      <c r="E160">
        <v>160</v>
      </c>
      <c r="F160">
        <f t="shared" si="27"/>
        <v>-1.139535611823145</v>
      </c>
      <c r="G160">
        <f t="shared" si="28"/>
        <v>0.29558224350923312</v>
      </c>
      <c r="H160">
        <f t="shared" si="29"/>
        <v>-0.64236371108745638</v>
      </c>
    </row>
    <row r="161" spans="1:8" x14ac:dyDescent="0.35">
      <c r="A161">
        <v>161</v>
      </c>
      <c r="B161">
        <f t="shared" si="24"/>
        <v>-1.1269440581013419</v>
      </c>
      <c r="C161">
        <f t="shared" si="25"/>
        <v>0.42942164249185744</v>
      </c>
      <c r="D161">
        <f t="shared" si="26"/>
        <v>-0.90310412077434099</v>
      </c>
      <c r="E161">
        <v>161</v>
      </c>
      <c r="F161">
        <f t="shared" si="27"/>
        <v>-1.1269440581013419</v>
      </c>
      <c r="G161">
        <f t="shared" si="28"/>
        <v>0.3036469553942579</v>
      </c>
      <c r="H161">
        <f t="shared" si="29"/>
        <v>-0.63859104791705179</v>
      </c>
    </row>
    <row r="162" spans="1:8" x14ac:dyDescent="0.35">
      <c r="A162">
        <v>162</v>
      </c>
      <c r="B162">
        <f t="shared" si="24"/>
        <v>-1.1143525043795393</v>
      </c>
      <c r="C162">
        <f t="shared" si="25"/>
        <v>0.44075878470599728</v>
      </c>
      <c r="D162">
        <f t="shared" si="26"/>
        <v>-0.89762558659192215</v>
      </c>
      <c r="E162">
        <v>162</v>
      </c>
      <c r="F162">
        <f t="shared" si="27"/>
        <v>-1.1143525043795393</v>
      </c>
      <c r="G162">
        <f t="shared" si="28"/>
        <v>0.31166352553315246</v>
      </c>
      <c r="H162">
        <f t="shared" si="29"/>
        <v>-0.63471713924570106</v>
      </c>
    </row>
    <row r="163" spans="1:8" x14ac:dyDescent="0.35">
      <c r="A163">
        <v>163</v>
      </c>
      <c r="B163">
        <f t="shared" si="24"/>
        <v>-1.1017609506577366</v>
      </c>
      <c r="C163">
        <f t="shared" si="25"/>
        <v>0.45202604676115354</v>
      </c>
      <c r="D163">
        <f t="shared" si="26"/>
        <v>-0.89200473824385229</v>
      </c>
      <c r="E163">
        <v>163</v>
      </c>
      <c r="F163">
        <f t="shared" si="27"/>
        <v>-1.1017609506577366</v>
      </c>
      <c r="G163">
        <f t="shared" si="28"/>
        <v>0.31963068293775931</v>
      </c>
      <c r="H163">
        <f t="shared" si="29"/>
        <v>-0.63074259926275966</v>
      </c>
    </row>
    <row r="164" spans="1:8" x14ac:dyDescent="0.35">
      <c r="A164">
        <v>164</v>
      </c>
      <c r="B164">
        <f t="shared" si="24"/>
        <v>-1.0891693969359335</v>
      </c>
      <c r="C164">
        <f t="shared" si="25"/>
        <v>0.46322164228779505</v>
      </c>
      <c r="D164">
        <f t="shared" si="26"/>
        <v>-0.88624246688826536</v>
      </c>
      <c r="E164">
        <v>164</v>
      </c>
      <c r="F164">
        <f t="shared" si="27"/>
        <v>-1.0891693969359335</v>
      </c>
      <c r="G164">
        <f t="shared" si="28"/>
        <v>0.32754716445406934</v>
      </c>
      <c r="H164">
        <f t="shared" si="29"/>
        <v>-0.62666805811218718</v>
      </c>
    </row>
    <row r="165" spans="1:8" x14ac:dyDescent="0.35">
      <c r="A165">
        <v>165</v>
      </c>
      <c r="B165">
        <f t="shared" si="24"/>
        <v>-1.0765778432141309</v>
      </c>
      <c r="C165">
        <f t="shared" si="25"/>
        <v>0.47434379627876877</v>
      </c>
      <c r="D165">
        <f t="shared" si="26"/>
        <v>-0.88033968610522495</v>
      </c>
      <c r="E165">
        <v>165</v>
      </c>
      <c r="F165">
        <f t="shared" si="27"/>
        <v>-1.0765778432141309</v>
      </c>
      <c r="G165">
        <f t="shared" si="28"/>
        <v>0.33541171496248784</v>
      </c>
      <c r="H165">
        <f t="shared" si="29"/>
        <v>-0.62249416179264161</v>
      </c>
    </row>
    <row r="166" spans="1:8" x14ac:dyDescent="0.35">
      <c r="A166">
        <v>166</v>
      </c>
      <c r="B166">
        <f t="shared" si="24"/>
        <v>-1.0639862894923282</v>
      </c>
      <c r="C166">
        <f t="shared" si="25"/>
        <v>0.48539074537072052</v>
      </c>
      <c r="D166">
        <f t="shared" si="26"/>
        <v>-0.87429733175187974</v>
      </c>
      <c r="E166">
        <v>166</v>
      </c>
      <c r="F166">
        <f t="shared" si="27"/>
        <v>-1.0639862894923282</v>
      </c>
      <c r="G166">
        <f t="shared" si="28"/>
        <v>0.34322308757682951</v>
      </c>
      <c r="H166">
        <f t="shared" si="29"/>
        <v>-0.61822157205505923</v>
      </c>
    </row>
    <row r="167" spans="1:8" x14ac:dyDescent="0.35">
      <c r="A167">
        <v>167</v>
      </c>
      <c r="B167">
        <f t="shared" si="24"/>
        <v>-1.0513947357705251</v>
      </c>
      <c r="C167">
        <f t="shared" si="25"/>
        <v>0.49636073812366666</v>
      </c>
      <c r="D167">
        <f t="shared" si="26"/>
        <v>-0.86811636181408813</v>
      </c>
      <c r="E167">
        <v>167</v>
      </c>
      <c r="F167">
        <f t="shared" si="27"/>
        <v>-1.0513947357705251</v>
      </c>
      <c r="G167">
        <f t="shared" si="28"/>
        <v>0.35098004384200504</v>
      </c>
      <c r="H167">
        <f t="shared" si="29"/>
        <v>-0.61385096629773661</v>
      </c>
    </row>
    <row r="168" spans="1:8" x14ac:dyDescent="0.35">
      <c r="A168">
        <v>168</v>
      </c>
      <c r="B168">
        <f t="shared" si="24"/>
        <v>-1.0388031820487225</v>
      </c>
      <c r="C168">
        <f t="shared" si="25"/>
        <v>0.50725203529867535</v>
      </c>
      <c r="D168">
        <f t="shared" si="26"/>
        <v>-0.86179775625453536</v>
      </c>
      <c r="E168">
        <v>168</v>
      </c>
      <c r="F168">
        <f t="shared" si="27"/>
        <v>-1.0388031820487225</v>
      </c>
      <c r="G168">
        <f t="shared" si="28"/>
        <v>0.35868135393037154</v>
      </c>
      <c r="H168">
        <f t="shared" si="29"/>
        <v>-0.60938303745893374</v>
      </c>
    </row>
    <row r="169" spans="1:8" x14ac:dyDescent="0.35">
      <c r="A169">
        <v>169</v>
      </c>
      <c r="B169">
        <f t="shared" si="24"/>
        <v>-1.0262116283269198</v>
      </c>
      <c r="C169">
        <f t="shared" si="25"/>
        <v>0.51806291013361627</v>
      </c>
      <c r="D169">
        <f t="shared" si="26"/>
        <v>-0.85534251685736318</v>
      </c>
      <c r="E169">
        <v>169</v>
      </c>
      <c r="F169">
        <f t="shared" si="27"/>
        <v>-1.0262116283269198</v>
      </c>
      <c r="G169">
        <f t="shared" si="28"/>
        <v>0.36632579683671729</v>
      </c>
      <c r="H169">
        <f t="shared" si="29"/>
        <v>-0.60481849390701081</v>
      </c>
    </row>
    <row r="170" spans="1:8" x14ac:dyDescent="0.35">
      <c r="A170">
        <v>170</v>
      </c>
      <c r="B170">
        <f t="shared" si="24"/>
        <v>-1.0136200746051167</v>
      </c>
      <c r="C170">
        <f t="shared" si="25"/>
        <v>0.52879164861692984</v>
      </c>
      <c r="D170">
        <f t="shared" si="26"/>
        <v>-0.84875166706934335</v>
      </c>
      <c r="E170">
        <v>170</v>
      </c>
      <c r="F170">
        <f t="shared" si="27"/>
        <v>-1.0136200746051167</v>
      </c>
      <c r="G170">
        <f t="shared" si="28"/>
        <v>0.3739121605718454</v>
      </c>
      <c r="H170">
        <f t="shared" si="29"/>
        <v>-0.60015805932812005</v>
      </c>
    </row>
    <row r="171" spans="1:8" x14ac:dyDescent="0.35">
      <c r="A171">
        <v>171</v>
      </c>
      <c r="B171">
        <f t="shared" si="24"/>
        <v>-1.0010285208833141</v>
      </c>
      <c r="C171">
        <f t="shared" si="25"/>
        <v>0.53943654975937361</v>
      </c>
      <c r="D171">
        <f t="shared" si="26"/>
        <v>-0.84202625183761515</v>
      </c>
      <c r="E171">
        <v>171</v>
      </c>
      <c r="F171">
        <f t="shared" si="27"/>
        <v>-1.0010285208833141</v>
      </c>
      <c r="G171">
        <f t="shared" si="28"/>
        <v>0.38143924235472781</v>
      </c>
      <c r="H171">
        <f t="shared" si="29"/>
        <v>-0.59540247261146972</v>
      </c>
    </row>
    <row r="172" spans="1:8" x14ac:dyDescent="0.35">
      <c r="A172">
        <v>172</v>
      </c>
      <c r="B172">
        <f t="shared" si="24"/>
        <v>-0.98843696716151142</v>
      </c>
      <c r="C172">
        <f t="shared" si="25"/>
        <v>0.5499959258637086</v>
      </c>
      <c r="D172">
        <f t="shared" si="26"/>
        <v>-0.83516733744401306</v>
      </c>
      <c r="E172">
        <v>172</v>
      </c>
      <c r="F172">
        <f t="shared" si="27"/>
        <v>-0.98843696716151142</v>
      </c>
      <c r="G172">
        <f t="shared" si="28"/>
        <v>0.38890584880320228</v>
      </c>
      <c r="H172">
        <f t="shared" si="29"/>
        <v>-0.59055248773217561</v>
      </c>
    </row>
    <row r="173" spans="1:8" x14ac:dyDescent="0.35">
      <c r="A173">
        <v>173</v>
      </c>
      <c r="B173">
        <f t="shared" si="24"/>
        <v>-0.97584541343970832</v>
      </c>
      <c r="C173">
        <f t="shared" si="25"/>
        <v>0.5604681027922741</v>
      </c>
      <c r="D173">
        <f t="shared" si="26"/>
        <v>-0.8281760113360136</v>
      </c>
      <c r="E173">
        <v>173</v>
      </c>
      <c r="F173">
        <f t="shared" si="27"/>
        <v>-0.97584541343970832</v>
      </c>
      <c r="G173">
        <f t="shared" si="28"/>
        <v>0.39631079612317627</v>
      </c>
      <c r="H173">
        <f t="shared" si="29"/>
        <v>-0.58560887363172265</v>
      </c>
    </row>
    <row r="174" spans="1:8" x14ac:dyDescent="0.35">
      <c r="A174">
        <v>174</v>
      </c>
      <c r="B174">
        <f t="shared" si="24"/>
        <v>-0.96325385971790567</v>
      </c>
      <c r="C174">
        <f t="shared" si="25"/>
        <v>0.57085142023241298</v>
      </c>
      <c r="D174">
        <f t="shared" si="26"/>
        <v>-0.82105338195432642</v>
      </c>
      <c r="E174">
        <v>174</v>
      </c>
      <c r="F174">
        <f t="shared" si="27"/>
        <v>-0.96325385971790567</v>
      </c>
      <c r="G174">
        <f t="shared" si="28"/>
        <v>0.40365291029631101</v>
      </c>
      <c r="H174">
        <f t="shared" si="29"/>
        <v>-0.58057241409605309</v>
      </c>
    </row>
    <row r="175" spans="1:8" x14ac:dyDescent="0.35">
      <c r="A175">
        <v>175</v>
      </c>
      <c r="B175">
        <f t="shared" si="24"/>
        <v>-0.95066230599610302</v>
      </c>
      <c r="C175">
        <f t="shared" si="25"/>
        <v>0.58114423195970821</v>
      </c>
      <c r="D175">
        <f t="shared" si="26"/>
        <v>-0.81380057855715537</v>
      </c>
      <c r="E175">
        <v>175</v>
      </c>
      <c r="F175">
        <f t="shared" si="27"/>
        <v>-0.95066230599610302</v>
      </c>
      <c r="G175">
        <f t="shared" si="28"/>
        <v>0.41093102726615788</v>
      </c>
      <c r="H175">
        <f t="shared" si="29"/>
        <v>-0.5754439076313006</v>
      </c>
    </row>
    <row r="176" spans="1:8" x14ac:dyDescent="0.35">
      <c r="A176">
        <v>176</v>
      </c>
      <c r="B176">
        <f t="shared" si="24"/>
        <v>-0.93807075227429992</v>
      </c>
      <c r="C176">
        <f t="shared" si="25"/>
        <v>0.59134490609898305</v>
      </c>
      <c r="D176">
        <f t="shared" si="26"/>
        <v>-0.80641875104116034</v>
      </c>
      <c r="E176">
        <v>176</v>
      </c>
      <c r="F176">
        <f t="shared" si="27"/>
        <v>-0.93807075227429992</v>
      </c>
      <c r="G176">
        <f t="shared" si="28"/>
        <v>0.41814399312271339</v>
      </c>
      <c r="H176">
        <f t="shared" si="29"/>
        <v>-0.57022416733719106</v>
      </c>
    </row>
    <row r="177" spans="1:8" x14ac:dyDescent="0.35">
      <c r="A177">
        <v>177</v>
      </c>
      <c r="B177">
        <f t="shared" si="24"/>
        <v>-0.92547919855249727</v>
      </c>
      <c r="C177">
        <f t="shared" si="25"/>
        <v>0.60145182538302566</v>
      </c>
      <c r="D177">
        <f t="shared" si="26"/>
        <v>-0.79890906975914755</v>
      </c>
      <c r="E177">
        <v>177</v>
      </c>
      <c r="F177">
        <f t="shared" si="27"/>
        <v>-0.92547919855249727</v>
      </c>
      <c r="G177">
        <f t="shared" si="28"/>
        <v>0.42529066428536499</v>
      </c>
      <c r="H177">
        <f t="shared" si="29"/>
        <v>-0.56491402077813013</v>
      </c>
    </row>
    <row r="178" spans="1:8" x14ac:dyDescent="0.35">
      <c r="A178">
        <v>178</v>
      </c>
      <c r="B178">
        <f t="shared" si="24"/>
        <v>-0.91288764483069462</v>
      </c>
      <c r="C178">
        <f t="shared" si="25"/>
        <v>0.61146338740900052</v>
      </c>
      <c r="D178">
        <f t="shared" si="26"/>
        <v>-0.79127272533451476</v>
      </c>
      <c r="E178">
        <v>178</v>
      </c>
      <c r="F178">
        <f t="shared" si="27"/>
        <v>-0.91288764483069462</v>
      </c>
      <c r="G178">
        <f t="shared" si="28"/>
        <v>0.43236990768420158</v>
      </c>
      <c r="H178">
        <f t="shared" si="29"/>
        <v>-0.55951430985199624</v>
      </c>
    </row>
    <row r="179" spans="1:8" x14ac:dyDescent="0.35">
      <c r="A179">
        <v>179</v>
      </c>
      <c r="B179">
        <f t="shared" si="24"/>
        <v>-0.90029609110889153</v>
      </c>
      <c r="C179">
        <f t="shared" si="25"/>
        <v>0.62137800489250161</v>
      </c>
      <c r="D179">
        <f t="shared" si="26"/>
        <v>-0.78351092847248416</v>
      </c>
      <c r="E179">
        <v>179</v>
      </c>
      <c r="F179">
        <f t="shared" si="27"/>
        <v>-0.90029609110889153</v>
      </c>
      <c r="G179">
        <f t="shared" si="28"/>
        <v>0.43938060093965592</v>
      </c>
      <c r="H179">
        <f t="shared" si="29"/>
        <v>-0.55402589065666197</v>
      </c>
    </row>
    <row r="180" spans="1:8" x14ac:dyDescent="0.35">
      <c r="A180">
        <v>180</v>
      </c>
      <c r="B180">
        <f t="shared" si="24"/>
        <v>-0.88770453738708888</v>
      </c>
      <c r="C180">
        <f t="shared" si="25"/>
        <v>0.63119410591920666</v>
      </c>
      <c r="D180">
        <f t="shared" si="26"/>
        <v>-0.77562490976815157</v>
      </c>
      <c r="E180">
        <v>180</v>
      </c>
      <c r="F180">
        <f t="shared" si="27"/>
        <v>-0.88770453738708888</v>
      </c>
      <c r="G180">
        <f t="shared" si="28"/>
        <v>0.44632163254045126</v>
      </c>
      <c r="H180">
        <f t="shared" si="29"/>
        <v>-0.54844963335426444</v>
      </c>
    </row>
    <row r="181" spans="1:8" x14ac:dyDescent="0.35">
      <c r="A181">
        <v>181</v>
      </c>
      <c r="B181">
        <f t="shared" si="24"/>
        <v>-0.87511298366528623</v>
      </c>
      <c r="C181">
        <f t="shared" si="25"/>
        <v>0.64091013419409903</v>
      </c>
      <c r="D181">
        <f t="shared" si="26"/>
        <v>-0.76761591951138042</v>
      </c>
      <c r="E181">
        <v>181</v>
      </c>
      <c r="F181">
        <f t="shared" si="27"/>
        <v>-0.87511298366528623</v>
      </c>
      <c r="G181">
        <f t="shared" si="28"/>
        <v>0.4531919020198279</v>
      </c>
      <c r="H181">
        <f t="shared" si="29"/>
        <v>-0.54278642203324456</v>
      </c>
    </row>
    <row r="182" spans="1:8" x14ac:dyDescent="0.35">
      <c r="A182">
        <v>182</v>
      </c>
      <c r="B182">
        <f t="shared" si="24"/>
        <v>-0.86252142994348313</v>
      </c>
      <c r="C182">
        <f t="shared" si="25"/>
        <v>0.65052454928820946</v>
      </c>
      <c r="D182">
        <f t="shared" si="26"/>
        <v>-0.75948522748857461</v>
      </c>
      <c r="E182">
        <v>182</v>
      </c>
      <c r="F182">
        <f t="shared" si="27"/>
        <v>-0.86252142994348313</v>
      </c>
      <c r="G182">
        <f t="shared" si="28"/>
        <v>0.45999032013001567</v>
      </c>
      <c r="H182">
        <f t="shared" si="29"/>
        <v>-0.53703715456817913</v>
      </c>
    </row>
    <row r="183" spans="1:8" x14ac:dyDescent="0.35">
      <c r="A183">
        <v>183</v>
      </c>
      <c r="B183">
        <f t="shared" si="24"/>
        <v>-0.84992987622168048</v>
      </c>
      <c r="C183">
        <f t="shared" si="25"/>
        <v>0.66003582688284268</v>
      </c>
      <c r="D183">
        <f t="shared" si="26"/>
        <v>-0.75123412278136181</v>
      </c>
      <c r="E183">
        <v>183</v>
      </c>
      <c r="F183">
        <f t="shared" si="27"/>
        <v>-0.84992987622168048</v>
      </c>
      <c r="G183">
        <f t="shared" si="28"/>
        <v>0.46671580901492854</v>
      </c>
      <c r="H183">
        <f t="shared" si="29"/>
        <v>-0.53120274247742871</v>
      </c>
    </row>
    <row r="184" spans="1:8" x14ac:dyDescent="0.35">
      <c r="A184">
        <v>184</v>
      </c>
      <c r="B184">
        <f t="shared" si="24"/>
        <v>-0.83733832249987783</v>
      </c>
      <c r="C184">
        <f t="shared" si="25"/>
        <v>0.66944245901125288</v>
      </c>
      <c r="D184">
        <f t="shared" si="26"/>
        <v>-0.74286391356221293</v>
      </c>
      <c r="E184">
        <v>184</v>
      </c>
      <c r="F184">
        <f t="shared" si="27"/>
        <v>-0.83733832249987783</v>
      </c>
      <c r="G184">
        <f t="shared" si="28"/>
        <v>0.47336730238105462</v>
      </c>
      <c r="H184">
        <f t="shared" si="29"/>
        <v>-0.52528411077861836</v>
      </c>
    </row>
    <row r="185" spans="1:8" x14ac:dyDescent="0.35">
      <c r="A185">
        <v>185</v>
      </c>
      <c r="B185">
        <f t="shared" si="24"/>
        <v>-0.82474676877807473</v>
      </c>
      <c r="C185">
        <f t="shared" si="25"/>
        <v>0.67874295429772324</v>
      </c>
      <c r="D185">
        <f t="shared" si="26"/>
        <v>-0.73437592688703979</v>
      </c>
      <c r="E185">
        <v>185</v>
      </c>
      <c r="F185">
        <f t="shared" si="27"/>
        <v>-0.82474676877807473</v>
      </c>
      <c r="G185">
        <f t="shared" si="28"/>
        <v>0.47994374566651132</v>
      </c>
      <c r="H185">
        <f t="shared" si="29"/>
        <v>-0.51928219784198237</v>
      </c>
    </row>
    <row r="186" spans="1:8" x14ac:dyDescent="0.35">
      <c r="A186">
        <v>186</v>
      </c>
      <c r="B186">
        <f t="shared" si="24"/>
        <v>-0.81215521505627208</v>
      </c>
      <c r="C186">
        <f t="shared" si="25"/>
        <v>0.68793583819401527</v>
      </c>
      <c r="D186">
        <f t="shared" si="26"/>
        <v>-0.72577150848479688</v>
      </c>
      <c r="E186">
        <v>186</v>
      </c>
      <c r="F186">
        <f t="shared" si="27"/>
        <v>-0.81215521505627208</v>
      </c>
      <c r="G186">
        <f t="shared" si="28"/>
        <v>0.48644409620824008</v>
      </c>
      <c r="H186">
        <f t="shared" si="29"/>
        <v>-0.51319795524159018</v>
      </c>
    </row>
    <row r="187" spans="1:8" x14ac:dyDescent="0.35">
      <c r="A187">
        <v>187</v>
      </c>
      <c r="B187">
        <f t="shared" si="24"/>
        <v>-0.79956366133446943</v>
      </c>
      <c r="C187">
        <f t="shared" si="25"/>
        <v>0.69701965321315373</v>
      </c>
      <c r="D187">
        <f t="shared" si="26"/>
        <v>-0.71705202254412126</v>
      </c>
      <c r="E187">
        <v>187</v>
      </c>
      <c r="F187">
        <f t="shared" si="27"/>
        <v>-0.79956366133446943</v>
      </c>
      <c r="G187">
        <f t="shared" si="28"/>
        <v>0.49286732340731709</v>
      </c>
      <c r="H187">
        <f t="shared" si="29"/>
        <v>-0.50703234760447768</v>
      </c>
    </row>
    <row r="188" spans="1:8" x14ac:dyDescent="0.35">
      <c r="A188">
        <v>188</v>
      </c>
      <c r="B188">
        <f t="shared" si="24"/>
        <v>-0.78697210761266634</v>
      </c>
      <c r="C188">
        <f t="shared" si="25"/>
        <v>0.70599295916050209</v>
      </c>
      <c r="D188">
        <f t="shared" si="26"/>
        <v>-0.70821885149704789</v>
      </c>
      <c r="E188">
        <v>188</v>
      </c>
      <c r="F188">
        <f t="shared" si="27"/>
        <v>-0.78697210761266634</v>
      </c>
      <c r="G188">
        <f t="shared" si="28"/>
        <v>0.49921240889234869</v>
      </c>
      <c r="H188">
        <f t="shared" si="29"/>
        <v>-0.50078635245771141</v>
      </c>
    </row>
    <row r="189" spans="1:8" x14ac:dyDescent="0.35">
      <c r="A189">
        <v>189</v>
      </c>
      <c r="B189">
        <f t="shared" si="24"/>
        <v>-0.77438055389086369</v>
      </c>
      <c r="C189">
        <f t="shared" si="25"/>
        <v>0.7148543333620988</v>
      </c>
      <c r="D189">
        <f t="shared" si="26"/>
        <v>-0.69927339579983261</v>
      </c>
      <c r="E189">
        <v>189</v>
      </c>
      <c r="F189">
        <f t="shared" si="27"/>
        <v>-0.77438055389086369</v>
      </c>
      <c r="G189">
        <f t="shared" si="28"/>
        <v>0.50547834668092928</v>
      </c>
      <c r="H189">
        <f t="shared" si="29"/>
        <v>-0.49446096007340662</v>
      </c>
    </row>
    <row r="190" spans="1:8" x14ac:dyDescent="0.35">
      <c r="A190">
        <v>190</v>
      </c>
      <c r="B190">
        <f t="shared" si="24"/>
        <v>-0.76178900016906104</v>
      </c>
      <c r="C190">
        <f t="shared" si="25"/>
        <v>0.72360237089021584</v>
      </c>
      <c r="D190">
        <f t="shared" si="26"/>
        <v>-0.6902170737109149</v>
      </c>
      <c r="E190">
        <v>190</v>
      </c>
      <c r="F190">
        <f t="shared" si="27"/>
        <v>-0.76178900016906104</v>
      </c>
      <c r="G190">
        <f t="shared" si="28"/>
        <v>0.51166414333913524</v>
      </c>
      <c r="H190">
        <f t="shared" si="29"/>
        <v>-0.48805717331172338</v>
      </c>
    </row>
    <row r="191" spans="1:8" x14ac:dyDescent="0.35">
      <c r="A191">
        <v>191</v>
      </c>
      <c r="B191">
        <f t="shared" si="24"/>
        <v>-0.74919744644725794</v>
      </c>
      <c r="C191">
        <f t="shared" si="25"/>
        <v>0.73223568478610324</v>
      </c>
      <c r="D191">
        <f t="shared" si="26"/>
        <v>-0.6810513210660607</v>
      </c>
      <c r="E191">
        <v>191</v>
      </c>
      <c r="F191">
        <f t="shared" si="27"/>
        <v>-0.74919744644725794</v>
      </c>
      <c r="G191">
        <f t="shared" si="28"/>
        <v>0.5177688181390292</v>
      </c>
      <c r="H191">
        <f t="shared" si="29"/>
        <v>-0.48157600746186846</v>
      </c>
    </row>
    <row r="192" spans="1:8" x14ac:dyDescent="0.35">
      <c r="A192">
        <v>192</v>
      </c>
      <c r="B192">
        <f t="shared" si="24"/>
        <v>-0.73660589272545529</v>
      </c>
      <c r="C192">
        <f t="shared" si="25"/>
        <v>0.74075290627988322</v>
      </c>
      <c r="D192">
        <f t="shared" si="26"/>
        <v>-0.67177759105071866</v>
      </c>
      <c r="E192">
        <v>192</v>
      </c>
      <c r="F192">
        <f t="shared" si="27"/>
        <v>-0.73660589272545529</v>
      </c>
      <c r="G192">
        <f t="shared" si="28"/>
        <v>0.52379140321414885</v>
      </c>
      <c r="H192">
        <f t="shared" si="29"/>
        <v>-0.47501849008112684</v>
      </c>
    </row>
    <row r="193" spans="1:8" x14ac:dyDescent="0.35">
      <c r="A193">
        <v>193</v>
      </c>
      <c r="B193">
        <f t="shared" ref="B193:B256" si="30">-3.14159265358979+(A193-1)*0.0125915537218028</f>
        <v>-0.72401433900365264</v>
      </c>
      <c r="C193">
        <f t="shared" ref="C193:C256" si="31">1*COS(B193)+0</f>
        <v>0.74915268500756382</v>
      </c>
      <c r="D193">
        <f t="shared" ref="D193:D256" si="32">1*SIN(B193)+0+0*COS(B193)</f>
        <v>-0.66239735396962285</v>
      </c>
      <c r="E193">
        <v>193</v>
      </c>
      <c r="F193">
        <f t="shared" ref="F193:F256" si="33">-3.14159265358979+(E193-1)*0.0125915537218028</f>
        <v>-0.72401433900365264</v>
      </c>
      <c r="G193">
        <f t="shared" ref="G193:G256" si="34">0.707106781186548*COS(F193)+0</f>
        <v>0.52973094371295837</v>
      </c>
      <c r="H193">
        <f t="shared" ref="H193:H256" si="35">0.707106781186548*SIN(F193)+0+0*COS(F193)</f>
        <v>-0.46838566083194649</v>
      </c>
    </row>
    <row r="194" spans="1:8" x14ac:dyDescent="0.35">
      <c r="A194">
        <v>194</v>
      </c>
      <c r="B194">
        <f t="shared" si="30"/>
        <v>-0.71142278528184955</v>
      </c>
      <c r="C194">
        <f t="shared" si="31"/>
        <v>0.7574336892251321</v>
      </c>
      <c r="D194">
        <f t="shared" si="32"/>
        <v>-0.65291209701368369</v>
      </c>
      <c r="E194">
        <v>194</v>
      </c>
      <c r="F194">
        <f t="shared" si="33"/>
        <v>-0.71142278528184955</v>
      </c>
      <c r="G194">
        <f t="shared" si="34"/>
        <v>0.53558649795023527</v>
      </c>
      <c r="H194">
        <f t="shared" si="35"/>
        <v>-0.46167857131710505</v>
      </c>
    </row>
    <row r="195" spans="1:8" x14ac:dyDescent="0.35">
      <c r="A195">
        <v>195</v>
      </c>
      <c r="B195">
        <f t="shared" si="30"/>
        <v>-0.69883123156004689</v>
      </c>
      <c r="C195">
        <f t="shared" si="31"/>
        <v>0.76559460601969409</v>
      </c>
      <c r="D195">
        <f t="shared" si="32"/>
        <v>-0.64332332402420278</v>
      </c>
      <c r="E195">
        <v>195</v>
      </c>
      <c r="F195">
        <f t="shared" si="33"/>
        <v>-0.69883123156004689</v>
      </c>
      <c r="G195">
        <f t="shared" si="34"/>
        <v>0.54135713755636927</v>
      </c>
      <c r="H195">
        <f t="shared" si="35"/>
        <v>-0.45489828491298467</v>
      </c>
    </row>
    <row r="196" spans="1:8" x14ac:dyDescent="0.35">
      <c r="A196">
        <v>196</v>
      </c>
      <c r="B196">
        <f t="shared" si="30"/>
        <v>-0.6862396778382438</v>
      </c>
      <c r="C196">
        <f t="shared" si="31"/>
        <v>0.77363414151763321</v>
      </c>
      <c r="D196">
        <f t="shared" si="32"/>
        <v>-0.63363255525444295</v>
      </c>
      <c r="E196">
        <v>196</v>
      </c>
      <c r="F196">
        <f t="shared" si="33"/>
        <v>-0.6862396778382438</v>
      </c>
      <c r="G196">
        <f t="shared" si="34"/>
        <v>0.54704194762455194</v>
      </c>
      <c r="H196">
        <f t="shared" si="35"/>
        <v>-0.44804587660097667</v>
      </c>
    </row>
    <row r="197" spans="1:8" x14ac:dyDescent="0.35">
      <c r="A197">
        <v>197</v>
      </c>
      <c r="B197">
        <f t="shared" si="30"/>
        <v>-0.67364812411644115</v>
      </c>
      <c r="C197">
        <f t="shared" si="31"/>
        <v>0.78155102108974517</v>
      </c>
      <c r="D197">
        <f t="shared" si="32"/>
        <v>-0.62384132712860307</v>
      </c>
      <c r="E197">
        <v>197</v>
      </c>
      <c r="F197">
        <f t="shared" si="33"/>
        <v>-0.67364812411644115</v>
      </c>
      <c r="G197">
        <f t="shared" si="34"/>
        <v>0.55264002685582958</v>
      </c>
      <c r="H197">
        <f t="shared" si="35"/>
        <v>-0.44112243279705088</v>
      </c>
    </row>
    <row r="198" spans="1:8" x14ac:dyDescent="0.35">
      <c r="A198">
        <v>198</v>
      </c>
      <c r="B198">
        <f t="shared" si="30"/>
        <v>-0.6610565703946385</v>
      </c>
      <c r="C198">
        <f t="shared" si="31"/>
        <v>0.78934398955332641</v>
      </c>
      <c r="D198">
        <f t="shared" si="32"/>
        <v>-0.61395119199822235</v>
      </c>
      <c r="E198">
        <v>198</v>
      </c>
      <c r="F198">
        <f t="shared" si="33"/>
        <v>-0.6610565703946385</v>
      </c>
      <c r="G198">
        <f t="shared" si="34"/>
        <v>0.55815048770200082</v>
      </c>
      <c r="H198">
        <f t="shared" si="35"/>
        <v>-0.43412905117950734</v>
      </c>
    </row>
    <row r="199" spans="1:8" x14ac:dyDescent="0.35">
      <c r="A199">
        <v>199</v>
      </c>
      <c r="B199">
        <f t="shared" si="30"/>
        <v>-0.6484650166728354</v>
      </c>
      <c r="C199">
        <f t="shared" si="31"/>
        <v>0.79701181137117627</v>
      </c>
      <c r="D199">
        <f t="shared" si="32"/>
        <v>-0.60396371789606418</v>
      </c>
      <c r="E199">
        <v>199</v>
      </c>
      <c r="F199">
        <f t="shared" si="33"/>
        <v>-0.6484650166728354</v>
      </c>
      <c r="G199">
        <f t="shared" si="34"/>
        <v>0.56357245650633259</v>
      </c>
      <c r="H199">
        <f t="shared" si="35"/>
        <v>-0.42706684051494626</v>
      </c>
    </row>
    <row r="200" spans="1:8" x14ac:dyDescent="0.35">
      <c r="A200">
        <v>200</v>
      </c>
      <c r="B200">
        <f t="shared" si="30"/>
        <v>-0.63587346295103275</v>
      </c>
      <c r="C200">
        <f t="shared" si="31"/>
        <v>0.80455327084748429</v>
      </c>
      <c r="D200">
        <f t="shared" si="32"/>
        <v>-0.59388048828751272</v>
      </c>
      <c r="E200">
        <v>200</v>
      </c>
      <c r="F200">
        <f t="shared" si="33"/>
        <v>-0.63587346295103275</v>
      </c>
      <c r="G200">
        <f t="shared" si="34"/>
        <v>0.56890507364207354</v>
      </c>
      <c r="H200">
        <f t="shared" si="35"/>
        <v>-0.41993692048247855</v>
      </c>
    </row>
    <row r="201" spans="1:8" x14ac:dyDescent="0.35">
      <c r="A201">
        <v>201</v>
      </c>
      <c r="B201">
        <f t="shared" si="30"/>
        <v>-0.6232819092292301</v>
      </c>
      <c r="C201">
        <f t="shared" si="31"/>
        <v>0.81196717232057491</v>
      </c>
      <c r="D201">
        <f t="shared" si="32"/>
        <v>-0.58370310181952068</v>
      </c>
      <c r="E201">
        <v>201</v>
      </c>
      <c r="F201">
        <f t="shared" si="33"/>
        <v>-0.6232819092292301</v>
      </c>
      <c r="G201">
        <f t="shared" si="34"/>
        <v>0.57414749364874484</v>
      </c>
      <c r="H201">
        <f t="shared" si="35"/>
        <v>-0.41274042149620516</v>
      </c>
    </row>
    <row r="202" spans="1:8" x14ac:dyDescent="0.35">
      <c r="A202">
        <v>202</v>
      </c>
      <c r="B202">
        <f t="shared" si="30"/>
        <v>-0.61069035550742701</v>
      </c>
      <c r="C202">
        <f t="shared" si="31"/>
        <v>0.81925234035247285</v>
      </c>
      <c r="D202">
        <f t="shared" si="32"/>
        <v>-0.57343317206715205</v>
      </c>
      <c r="E202">
        <v>202</v>
      </c>
      <c r="F202">
        <f t="shared" si="33"/>
        <v>-0.61069035550742701</v>
      </c>
      <c r="G202">
        <f t="shared" si="34"/>
        <v>0.57929888536618335</v>
      </c>
      <c r="H202">
        <f t="shared" si="35"/>
        <v>-0.40547848452599583</v>
      </c>
    </row>
    <row r="203" spans="1:8" x14ac:dyDescent="0.35">
      <c r="A203">
        <v>203</v>
      </c>
      <c r="B203">
        <f t="shared" si="30"/>
        <v>-0.59809880178562436</v>
      </c>
      <c r="C203">
        <f t="shared" si="31"/>
        <v>0.82640761991526213</v>
      </c>
      <c r="D203">
        <f t="shared" si="32"/>
        <v>-0.56307232727775902</v>
      </c>
      <c r="E203">
        <v>203</v>
      </c>
      <c r="F203">
        <f t="shared" si="33"/>
        <v>-0.59809880178562436</v>
      </c>
      <c r="G203">
        <f t="shared" si="34"/>
        <v>0.58435843206631721</v>
      </c>
      <c r="H203">
        <f t="shared" si="35"/>
        <v>-0.39815226091659472</v>
      </c>
    </row>
    <row r="204" spans="1:8" x14ac:dyDescent="0.35">
      <c r="A204">
        <v>204</v>
      </c>
      <c r="B204">
        <f t="shared" si="30"/>
        <v>-0.58550724806382171</v>
      </c>
      <c r="C204">
        <f t="shared" si="31"/>
        <v>0.83343187657421181</v>
      </c>
      <c r="D204">
        <f t="shared" si="32"/>
        <v>-0.55262221011282897</v>
      </c>
      <c r="E204">
        <v>204</v>
      </c>
      <c r="F204">
        <f t="shared" si="33"/>
        <v>-0.58550724806382171</v>
      </c>
      <c r="G204">
        <f t="shared" si="34"/>
        <v>0.58932533158265532</v>
      </c>
      <c r="H204">
        <f t="shared" si="35"/>
        <v>-0.39076291220507869</v>
      </c>
    </row>
    <row r="205" spans="1:8" x14ac:dyDescent="0.35">
      <c r="A205">
        <v>205</v>
      </c>
      <c r="B205">
        <f t="shared" si="30"/>
        <v>-0.57291569434201861</v>
      </c>
      <c r="C205">
        <f t="shared" si="31"/>
        <v>0.84032399666763458</v>
      </c>
      <c r="D205">
        <f t="shared" si="32"/>
        <v>-0.54208447738755017</v>
      </c>
      <c r="E205">
        <v>205</v>
      </c>
      <c r="F205">
        <f t="shared" si="33"/>
        <v>-0.57291569434201861</v>
      </c>
      <c r="G205">
        <f t="shared" si="34"/>
        <v>0.59419879643746654</v>
      </c>
      <c r="H205">
        <f t="shared" si="35"/>
        <v>-0.38331160993670266</v>
      </c>
    </row>
    <row r="206" spans="1:8" x14ac:dyDescent="0.35">
      <c r="A206">
        <v>206</v>
      </c>
      <c r="B206">
        <f t="shared" si="30"/>
        <v>-0.56032414062021596</v>
      </c>
      <c r="C206">
        <f t="shared" si="31"/>
        <v>0.84708288748345095</v>
      </c>
      <c r="D206">
        <f t="shared" si="32"/>
        <v>-0.53146079980813188</v>
      </c>
      <c r="E206">
        <v>206</v>
      </c>
      <c r="F206">
        <f t="shared" si="33"/>
        <v>-0.56032414062021596</v>
      </c>
      <c r="G206">
        <f t="shared" si="34"/>
        <v>0.59897805396662984</v>
      </c>
      <c r="H206">
        <f t="shared" si="35"/>
        <v>-0.37579953547915651</v>
      </c>
    </row>
    <row r="207" spans="1:8" x14ac:dyDescent="0.35">
      <c r="A207">
        <v>207</v>
      </c>
      <c r="B207">
        <f t="shared" si="30"/>
        <v>-0.54773258689841331</v>
      </c>
      <c r="C207">
        <f t="shared" si="31"/>
        <v>0.8537074774324358</v>
      </c>
      <c r="D207">
        <f t="shared" si="32"/>
        <v>-0.52075286170692059</v>
      </c>
      <c r="E207">
        <v>207</v>
      </c>
      <c r="F207">
        <f t="shared" si="33"/>
        <v>-0.54773258689841331</v>
      </c>
      <c r="G207">
        <f t="shared" si="34"/>
        <v>0.60366234644213723</v>
      </c>
      <c r="H207">
        <f t="shared" si="35"/>
        <v>-0.36822787983526417</v>
      </c>
    </row>
    <row r="208" spans="1:8" x14ac:dyDescent="0.35">
      <c r="A208">
        <v>208</v>
      </c>
      <c r="B208">
        <f t="shared" si="30"/>
        <v>-0.53514103317661021</v>
      </c>
      <c r="C208">
        <f t="shared" si="31"/>
        <v>0.86019671621811211</v>
      </c>
      <c r="D208">
        <f t="shared" si="32"/>
        <v>-0.50996236077535817</v>
      </c>
      <c r="E208">
        <v>208</v>
      </c>
      <c r="F208">
        <f t="shared" si="33"/>
        <v>-0.53514103317661021</v>
      </c>
      <c r="G208">
        <f t="shared" si="34"/>
        <v>0.60825093119222773</v>
      </c>
      <c r="H208">
        <f t="shared" si="35"/>
        <v>-0.36059784345415663</v>
      </c>
    </row>
    <row r="209" spans="1:8" x14ac:dyDescent="0.35">
      <c r="A209">
        <v>209</v>
      </c>
      <c r="B209">
        <f t="shared" si="30"/>
        <v>-0.52254947945480756</v>
      </c>
      <c r="C209">
        <f t="shared" si="31"/>
        <v>0.86654957500327034</v>
      </c>
      <c r="D209">
        <f t="shared" si="32"/>
        <v>-0.49909100779482252</v>
      </c>
      <c r="E209">
        <v>209</v>
      </c>
      <c r="F209">
        <f t="shared" si="33"/>
        <v>-0.52254947945480756</v>
      </c>
      <c r="G209">
        <f t="shared" si="34"/>
        <v>0.61274308071913364</v>
      </c>
      <c r="H209">
        <f t="shared" si="35"/>
        <v>-0.3529106360409473</v>
      </c>
    </row>
    <row r="210" spans="1:8" x14ac:dyDescent="0.35">
      <c r="A210">
        <v>210</v>
      </c>
      <c r="B210">
        <f t="shared" si="30"/>
        <v>-0.50995792573300491</v>
      </c>
      <c r="C210">
        <f t="shared" si="31"/>
        <v>0.87276504657308618</v>
      </c>
      <c r="D210">
        <f t="shared" si="32"/>
        <v>-0.48814052636538874</v>
      </c>
      <c r="E210">
        <v>210</v>
      </c>
      <c r="F210">
        <f t="shared" si="33"/>
        <v>-0.50995792573300491</v>
      </c>
      <c r="G210">
        <f t="shared" si="34"/>
        <v>0.61713808281442262</v>
      </c>
      <c r="H210">
        <f t="shared" si="35"/>
        <v>-0.34516747636493733</v>
      </c>
    </row>
    <row r="211" spans="1:8" x14ac:dyDescent="0.35">
      <c r="A211">
        <v>211</v>
      </c>
      <c r="B211">
        <f t="shared" si="30"/>
        <v>-0.49736637201120182</v>
      </c>
      <c r="C211">
        <f t="shared" si="31"/>
        <v>0.87884214549480955</v>
      </c>
      <c r="D211">
        <f t="shared" si="32"/>
        <v>-0.47711265263256231</v>
      </c>
      <c r="E211">
        <v>211</v>
      </c>
      <c r="F211">
        <f t="shared" si="33"/>
        <v>-0.49736637201120182</v>
      </c>
      <c r="G211">
        <f t="shared" si="34"/>
        <v>0.62143524067191469</v>
      </c>
      <c r="H211">
        <f t="shared" si="35"/>
        <v>-0.33736959206638673</v>
      </c>
    </row>
    <row r="212" spans="1:8" x14ac:dyDescent="0.35">
      <c r="A212">
        <v>212</v>
      </c>
      <c r="B212">
        <f t="shared" si="30"/>
        <v>-0.48477481828939917</v>
      </c>
      <c r="C212">
        <f t="shared" si="31"/>
        <v>0.88477990827399922</v>
      </c>
      <c r="D212">
        <f t="shared" si="32"/>
        <v>-0.46600913501202273</v>
      </c>
      <c r="E212">
        <v>212</v>
      </c>
      <c r="F212">
        <f t="shared" si="33"/>
        <v>-0.48477481828939917</v>
      </c>
      <c r="G212">
        <f t="shared" si="34"/>
        <v>0.62563387299815676</v>
      </c>
      <c r="H212">
        <f t="shared" si="35"/>
        <v>-0.32951821946187887</v>
      </c>
    </row>
    <row r="213" spans="1:8" x14ac:dyDescent="0.35">
      <c r="A213">
        <v>213</v>
      </c>
      <c r="B213">
        <f t="shared" si="30"/>
        <v>-0.47218326456759652</v>
      </c>
      <c r="C213">
        <f t="shared" si="31"/>
        <v>0.89057739350728138</v>
      </c>
      <c r="D213">
        <f t="shared" si="32"/>
        <v>-0.45483173391241832</v>
      </c>
      <c r="E213">
        <v>213</v>
      </c>
      <c r="F213">
        <f t="shared" si="33"/>
        <v>-0.47218326456759652</v>
      </c>
      <c r="G213">
        <f t="shared" si="34"/>
        <v>0.62973331412043954</v>
      </c>
      <c r="H213">
        <f t="shared" si="35"/>
        <v>-0.3216146033483066</v>
      </c>
    </row>
    <row r="214" spans="1:8" x14ac:dyDescent="0.35">
      <c r="A214">
        <v>214</v>
      </c>
      <c r="B214">
        <f t="shared" si="30"/>
        <v>-0.45959171084579342</v>
      </c>
      <c r="C214">
        <f t="shared" si="31"/>
        <v>0.89623368203160425</v>
      </c>
      <c r="D214">
        <f t="shared" si="32"/>
        <v>-0.44358222145626325</v>
      </c>
      <c r="E214">
        <v>214</v>
      </c>
      <c r="F214">
        <f t="shared" si="33"/>
        <v>-0.45959171084579342</v>
      </c>
      <c r="G214">
        <f t="shared" si="34"/>
        <v>0.63373291409233579</v>
      </c>
      <c r="H214">
        <f t="shared" si="35"/>
        <v>-0.31365999680551682</v>
      </c>
    </row>
    <row r="215" spans="1:8" x14ac:dyDescent="0.35">
      <c r="A215">
        <v>215</v>
      </c>
      <c r="B215">
        <f t="shared" si="30"/>
        <v>-0.44700015712399077</v>
      </c>
      <c r="C215">
        <f t="shared" si="31"/>
        <v>0.90174787706996573</v>
      </c>
      <c r="D215">
        <f t="shared" si="32"/>
        <v>-0.43226238119897725</v>
      </c>
      <c r="E215">
        <v>215</v>
      </c>
      <c r="F215">
        <f t="shared" si="33"/>
        <v>-0.44700015712399077</v>
      </c>
      <c r="G215">
        <f t="shared" si="34"/>
        <v>0.63763203879674646</v>
      </c>
      <c r="H215">
        <f t="shared" si="35"/>
        <v>-0.30565566099764141</v>
      </c>
    </row>
    <row r="216" spans="1:8" x14ac:dyDescent="0.35">
      <c r="A216">
        <v>216</v>
      </c>
      <c r="B216">
        <f t="shared" si="30"/>
        <v>-0.43440860340218812</v>
      </c>
      <c r="C216">
        <f t="shared" si="31"/>
        <v>0.907119104373595</v>
      </c>
      <c r="D216">
        <f t="shared" si="32"/>
        <v>-0.4208740078461094</v>
      </c>
      <c r="E216">
        <v>216</v>
      </c>
      <c r="F216">
        <f t="shared" si="33"/>
        <v>-0.43440860340218812</v>
      </c>
      <c r="G216">
        <f t="shared" si="34"/>
        <v>0.64143007004643704</v>
      </c>
      <c r="H216">
        <f t="shared" si="35"/>
        <v>-0.29760286497314437</v>
      </c>
    </row>
    <row r="217" spans="1:8" x14ac:dyDescent="0.35">
      <c r="A217">
        <v>217</v>
      </c>
      <c r="B217">
        <f t="shared" si="30"/>
        <v>-0.42181704968038503</v>
      </c>
      <c r="C217">
        <f t="shared" si="31"/>
        <v>0.91234651236055886</v>
      </c>
      <c r="D217">
        <f t="shared" si="32"/>
        <v>-0.40941890696879712</v>
      </c>
      <c r="E217">
        <v>217</v>
      </c>
      <c r="F217">
        <f t="shared" si="33"/>
        <v>-0.42181704968038503</v>
      </c>
      <c r="G217">
        <f t="shared" si="34"/>
        <v>0.64512640568204793</v>
      </c>
      <c r="H217">
        <f t="shared" si="35"/>
        <v>-0.28950288546362091</v>
      </c>
    </row>
    <row r="218" spans="1:8" x14ac:dyDescent="0.35">
      <c r="A218">
        <v>218</v>
      </c>
      <c r="B218">
        <f t="shared" si="30"/>
        <v>-0.40922549595858237</v>
      </c>
      <c r="C218">
        <f t="shared" si="31"/>
        <v>0.91742927225077642</v>
      </c>
      <c r="D218">
        <f t="shared" si="32"/>
        <v>-0.39789889471750334</v>
      </c>
      <c r="E218">
        <v>218</v>
      </c>
      <c r="F218">
        <f t="shared" si="33"/>
        <v>-0.40922549595858237</v>
      </c>
      <c r="G218">
        <f t="shared" si="34"/>
        <v>0.64872045966756375</v>
      </c>
      <c r="H218">
        <f t="shared" si="35"/>
        <v>-0.28135700668137892</v>
      </c>
    </row>
    <row r="219" spans="1:8" x14ac:dyDescent="0.35">
      <c r="A219">
        <v>219</v>
      </c>
      <c r="B219">
        <f t="shared" si="30"/>
        <v>-0.39663394223677972</v>
      </c>
      <c r="C219">
        <f t="shared" si="31"/>
        <v>0.92236657819741819</v>
      </c>
      <c r="D219">
        <f t="shared" si="32"/>
        <v>-0.38631579753407186</v>
      </c>
      <c r="E219">
        <v>219</v>
      </c>
      <c r="F219">
        <f t="shared" si="33"/>
        <v>-0.39663394223677972</v>
      </c>
      <c r="G219">
        <f t="shared" si="34"/>
        <v>0.65221166218322679</v>
      </c>
      <c r="H219">
        <f t="shared" si="35"/>
        <v>-0.27316652011583176</v>
      </c>
    </row>
    <row r="220" spans="1:8" x14ac:dyDescent="0.35">
      <c r="A220">
        <v>220</v>
      </c>
      <c r="B220">
        <f t="shared" si="30"/>
        <v>-0.38404238851497663</v>
      </c>
      <c r="C220">
        <f t="shared" si="31"/>
        <v>0.92715764741466955</v>
      </c>
      <c r="D220">
        <f t="shared" si="32"/>
        <v>-0.37467145186215534</v>
      </c>
      <c r="E220">
        <v>220</v>
      </c>
      <c r="F220">
        <f t="shared" si="33"/>
        <v>-0.38404238851497663</v>
      </c>
      <c r="G220">
        <f t="shared" si="34"/>
        <v>0.65559945971587941</v>
      </c>
      <c r="H220">
        <f t="shared" si="35"/>
        <v>-0.26493272432873932</v>
      </c>
    </row>
    <row r="221" spans="1:8" x14ac:dyDescent="0.35">
      <c r="A221">
        <v>221</v>
      </c>
      <c r="B221">
        <f t="shared" si="30"/>
        <v>-0.37145083479317398</v>
      </c>
      <c r="C221">
        <f t="shared" si="31"/>
        <v>0.93180172030183628</v>
      </c>
      <c r="D221">
        <f t="shared" si="32"/>
        <v>-0.3629677038560572</v>
      </c>
      <c r="E221">
        <v>221</v>
      </c>
      <c r="F221">
        <f t="shared" si="33"/>
        <v>-0.37145083479317398</v>
      </c>
      <c r="G221">
        <f t="shared" si="34"/>
        <v>0.65888331514671961</v>
      </c>
      <c r="H221">
        <f t="shared" si="35"/>
        <v>-0.2566569247483288</v>
      </c>
    </row>
    <row r="222" spans="1:8" x14ac:dyDescent="0.35">
      <c r="A222">
        <v>222</v>
      </c>
      <c r="B222">
        <f t="shared" si="30"/>
        <v>-0.35885928107137133</v>
      </c>
      <c r="C222">
        <f t="shared" si="31"/>
        <v>0.9362980605637774</v>
      </c>
      <c r="D222">
        <f t="shared" si="32"/>
        <v>-0.35120640908803058</v>
      </c>
      <c r="E222">
        <v>222</v>
      </c>
      <c r="F222">
        <f t="shared" si="33"/>
        <v>-0.35885928107137133</v>
      </c>
      <c r="G222">
        <f t="shared" si="34"/>
        <v>0.66206270783646026</v>
      </c>
      <c r="H222">
        <f t="shared" si="35"/>
        <v>-0.24834043346232332</v>
      </c>
    </row>
    <row r="223" spans="1:8" x14ac:dyDescent="0.35">
      <c r="A223">
        <v>223</v>
      </c>
      <c r="B223">
        <f t="shared" si="30"/>
        <v>-0.34626772734956823</v>
      </c>
      <c r="C223">
        <f t="shared" si="31"/>
        <v>0.94064595532763984</v>
      </c>
      <c r="D223">
        <f t="shared" si="32"/>
        <v>-0.3393894322540873</v>
      </c>
      <c r="E223">
        <v>223</v>
      </c>
      <c r="F223">
        <f t="shared" si="33"/>
        <v>-0.34626772734956823</v>
      </c>
      <c r="G223">
        <f t="shared" si="34"/>
        <v>0.66513713370787286</v>
      </c>
      <c r="H223">
        <f t="shared" si="35"/>
        <v>-0.23998456900991766</v>
      </c>
    </row>
    <row r="224" spans="1:8" x14ac:dyDescent="0.35">
      <c r="A224">
        <v>224</v>
      </c>
      <c r="B224">
        <f t="shared" si="30"/>
        <v>-0.33367617362776558</v>
      </c>
      <c r="C224">
        <f t="shared" si="31"/>
        <v>0.94484471525588132</v>
      </c>
      <c r="D224">
        <f t="shared" si="32"/>
        <v>-0.32751864687836102</v>
      </c>
      <c r="E224">
        <v>224</v>
      </c>
      <c r="F224">
        <f t="shared" si="33"/>
        <v>-0.33367617362776558</v>
      </c>
      <c r="G224">
        <f t="shared" si="34"/>
        <v>0.66810610532570669</v>
      </c>
      <c r="H224">
        <f t="shared" si="35"/>
        <v>-0.2315906561727315</v>
      </c>
    </row>
    <row r="225" spans="1:8" x14ac:dyDescent="0.35">
      <c r="A225">
        <v>225</v>
      </c>
      <c r="B225">
        <f t="shared" si="30"/>
        <v>-0.32108461990596293</v>
      </c>
      <c r="C225">
        <f t="shared" si="31"/>
        <v>0.94889367465556163</v>
      </c>
      <c r="D225">
        <f t="shared" si="32"/>
        <v>-0.31559593501606631</v>
      </c>
      <c r="E225">
        <v>225</v>
      </c>
      <c r="F225">
        <f t="shared" si="33"/>
        <v>-0.32108461990596293</v>
      </c>
      <c r="G225">
        <f t="shared" si="34"/>
        <v>0.67096915197396967</v>
      </c>
      <c r="H225">
        <f t="shared" si="35"/>
        <v>-0.22316002576476962</v>
      </c>
    </row>
    <row r="226" spans="1:8" x14ac:dyDescent="0.35">
      <c r="A226">
        <v>226</v>
      </c>
      <c r="B226">
        <f t="shared" si="30"/>
        <v>-0.30849306618415984</v>
      </c>
      <c r="C226">
        <f t="shared" si="31"/>
        <v>0.95279219158388506</v>
      </c>
      <c r="D226">
        <f t="shared" si="32"/>
        <v>-0.30362318695510926</v>
      </c>
      <c r="E226">
        <v>226</v>
      </c>
      <c r="F226">
        <f t="shared" si="33"/>
        <v>-0.30849306618415984</v>
      </c>
      <c r="G226">
        <f t="shared" si="34"/>
        <v>0.67372581973055778</v>
      </c>
      <c r="H226">
        <f t="shared" si="35"/>
        <v>-0.2146940144214288</v>
      </c>
    </row>
    <row r="227" spans="1:8" x14ac:dyDescent="0.35">
      <c r="A227">
        <v>227</v>
      </c>
      <c r="B227">
        <f t="shared" si="30"/>
        <v>-0.29590151246235719</v>
      </c>
      <c r="C227">
        <f t="shared" si="31"/>
        <v>0.9565396479499767</v>
      </c>
      <c r="D227">
        <f t="shared" si="32"/>
        <v>-0.29160230091639305</v>
      </c>
      <c r="E227">
        <v>227</v>
      </c>
      <c r="F227">
        <f t="shared" si="33"/>
        <v>-0.29590151246235719</v>
      </c>
      <c r="G227">
        <f t="shared" si="34"/>
        <v>0.67637567153922185</v>
      </c>
      <c r="H227">
        <f t="shared" si="35"/>
        <v>-0.20619396438758186</v>
      </c>
    </row>
    <row r="228" spans="1:8" x14ac:dyDescent="0.35">
      <c r="A228">
        <v>228</v>
      </c>
      <c r="B228">
        <f t="shared" si="30"/>
        <v>-0.28330995874055453</v>
      </c>
      <c r="C228">
        <f t="shared" si="31"/>
        <v>0.96013544961287856</v>
      </c>
      <c r="D228">
        <f t="shared" si="32"/>
        <v>-0.27953518275286143</v>
      </c>
      <c r="E228">
        <v>228</v>
      </c>
      <c r="F228">
        <f t="shared" si="33"/>
        <v>-0.28330995874055453</v>
      </c>
      <c r="G228">
        <f t="shared" si="34"/>
        <v>0.67891828727886161</v>
      </c>
      <c r="H228">
        <f t="shared" si="35"/>
        <v>-0.19766122330476929</v>
      </c>
    </row>
    <row r="229" spans="1:8" x14ac:dyDescent="0.35">
      <c r="A229">
        <v>229</v>
      </c>
      <c r="B229">
        <f t="shared" si="30"/>
        <v>-0.27071840501875144</v>
      </c>
      <c r="C229">
        <f t="shared" si="31"/>
        <v>0.96357902647574722</v>
      </c>
      <c r="D229">
        <f t="shared" si="32"/>
        <v>-0.26742374564733634</v>
      </c>
      <c r="E229">
        <v>229</v>
      </c>
      <c r="F229">
        <f t="shared" si="33"/>
        <v>-0.27071840501875144</v>
      </c>
      <c r="G229">
        <f t="shared" si="34"/>
        <v>0.68135326383013317</v>
      </c>
      <c r="H229">
        <f t="shared" si="35"/>
        <v>-0.18909714399753813</v>
      </c>
    </row>
    <row r="230" spans="1:8" x14ac:dyDescent="0.35">
      <c r="A230">
        <v>230</v>
      </c>
      <c r="B230">
        <f t="shared" si="30"/>
        <v>-0.25812685129694879</v>
      </c>
      <c r="C230">
        <f t="shared" si="31"/>
        <v>0.96686983257623993</v>
      </c>
      <c r="D230">
        <f t="shared" si="32"/>
        <v>-0.25526990980919356</v>
      </c>
      <c r="E230">
        <v>230</v>
      </c>
      <c r="F230">
        <f t="shared" si="33"/>
        <v>-0.25812685129694879</v>
      </c>
      <c r="G230">
        <f t="shared" si="34"/>
        <v>0.68368021513936161</v>
      </c>
      <c r="H230">
        <f t="shared" si="35"/>
        <v>-0.18050308425895928</v>
      </c>
    </row>
    <row r="231" spans="1:8" x14ac:dyDescent="0.35">
      <c r="A231">
        <v>231</v>
      </c>
      <c r="B231">
        <f t="shared" si="30"/>
        <v>-0.24553529757514614</v>
      </c>
      <c r="C231">
        <f t="shared" si="31"/>
        <v>0.97000734617307449</v>
      </c>
      <c r="D231">
        <f t="shared" si="32"/>
        <v>-0.24307560216992019</v>
      </c>
      <c r="E231">
        <v>231</v>
      </c>
      <c r="F231">
        <f t="shared" si="33"/>
        <v>-0.24553529757514614</v>
      </c>
      <c r="G231">
        <f t="shared" si="34"/>
        <v>0.68589877227974827</v>
      </c>
      <c r="H231">
        <f t="shared" si="35"/>
        <v>-0.17188040663535414</v>
      </c>
    </row>
    <row r="232" spans="1:8" x14ac:dyDescent="0.35">
      <c r="A232">
        <v>232</v>
      </c>
      <c r="B232">
        <f t="shared" si="30"/>
        <v>-0.23294374385334304</v>
      </c>
      <c r="C232">
        <f t="shared" si="31"/>
        <v>0.97299106982874872</v>
      </c>
      <c r="D232">
        <f t="shared" si="32"/>
        <v>-0.23084275607761018</v>
      </c>
      <c r="E232">
        <v>232</v>
      </c>
      <c r="F232">
        <f t="shared" si="33"/>
        <v>-0.23294374385334304</v>
      </c>
      <c r="G232">
        <f t="shared" si="34"/>
        <v>0.68800858350986227</v>
      </c>
      <c r="H232">
        <f t="shared" si="35"/>
        <v>-0.16323047821027037</v>
      </c>
    </row>
    <row r="233" spans="1:8" x14ac:dyDescent="0.35">
      <c r="A233">
        <v>233</v>
      </c>
      <c r="B233">
        <f t="shared" si="30"/>
        <v>-0.22035219013154039</v>
      </c>
      <c r="C233">
        <f t="shared" si="31"/>
        <v>0.97582053048840656</v>
      </c>
      <c r="D233">
        <f t="shared" si="32"/>
        <v>-0.21857331099044294</v>
      </c>
      <c r="E233">
        <v>233</v>
      </c>
      <c r="F233">
        <f t="shared" si="33"/>
        <v>-0.22035219013154039</v>
      </c>
      <c r="G233">
        <f t="shared" si="34"/>
        <v>0.69000931432940693</v>
      </c>
      <c r="H233">
        <f t="shared" si="35"/>
        <v>-0.15455467038773846</v>
      </c>
    </row>
    <row r="234" spans="1:8" x14ac:dyDescent="0.35">
      <c r="A234">
        <v>234</v>
      </c>
      <c r="B234">
        <f t="shared" si="30"/>
        <v>-0.20776063640973774</v>
      </c>
      <c r="C234">
        <f t="shared" si="31"/>
        <v>0.97849527955483873</v>
      </c>
      <c r="D234">
        <f t="shared" si="32"/>
        <v>-0.206269212169189</v>
      </c>
      <c r="E234">
        <v>234</v>
      </c>
      <c r="F234">
        <f t="shared" si="33"/>
        <v>-0.20776063640973774</v>
      </c>
      <c r="G234">
        <f t="shared" si="34"/>
        <v>0.69190064753225344</v>
      </c>
      <c r="H234">
        <f t="shared" si="35"/>
        <v>-0.14585435867484037</v>
      </c>
    </row>
    <row r="235" spans="1:8" x14ac:dyDescent="0.35">
      <c r="A235">
        <v>235</v>
      </c>
      <c r="B235">
        <f t="shared" si="30"/>
        <v>-0.19516908268793465</v>
      </c>
      <c r="C235">
        <f t="shared" si="31"/>
        <v>0.9810148929596062</v>
      </c>
      <c r="D235">
        <f t="shared" si="32"/>
        <v>-0.1939324103687996</v>
      </c>
      <c r="E235">
        <v>235</v>
      </c>
      <c r="F235">
        <f t="shared" si="33"/>
        <v>-0.19516908268793465</v>
      </c>
      <c r="G235">
        <f t="shared" si="34"/>
        <v>0.69368228325673309</v>
      </c>
      <c r="H235">
        <f t="shared" si="35"/>
        <v>-0.13713092246363062</v>
      </c>
    </row>
    <row r="236" spans="1:8" x14ac:dyDescent="0.35">
      <c r="A236">
        <v>236</v>
      </c>
      <c r="B236">
        <f t="shared" si="30"/>
        <v>-0.182577528966132</v>
      </c>
      <c r="C236">
        <f t="shared" si="31"/>
        <v>0.98337897123027274</v>
      </c>
      <c r="D236">
        <f t="shared" si="32"/>
        <v>-0.18156486152912546</v>
      </c>
      <c r="E236">
        <v>236</v>
      </c>
      <c r="F236">
        <f t="shared" si="33"/>
        <v>-0.182577528966132</v>
      </c>
      <c r="G236">
        <f t="shared" si="34"/>
        <v>0.69535393903317722</v>
      </c>
      <c r="H236">
        <f t="shared" si="35"/>
        <v>-0.12838574481244119</v>
      </c>
    </row>
    <row r="237" spans="1:8" x14ac:dyDescent="0.35">
      <c r="A237">
        <v>237</v>
      </c>
      <c r="B237">
        <f t="shared" si="30"/>
        <v>-0.16998597524432935</v>
      </c>
      <c r="C237">
        <f t="shared" si="31"/>
        <v>0.98558713955374089</v>
      </c>
      <c r="D237">
        <f t="shared" si="32"/>
        <v>-0.16916852646480929</v>
      </c>
      <c r="E237">
        <v>237</v>
      </c>
      <c r="F237">
        <f t="shared" si="33"/>
        <v>-0.16998597524432935</v>
      </c>
      <c r="G237">
        <f t="shared" si="34"/>
        <v>0.69691534982870285</v>
      </c>
      <c r="H237">
        <f t="shared" si="35"/>
        <v>-0.11962021222660266</v>
      </c>
    </row>
    <row r="238" spans="1:8" x14ac:dyDescent="0.35">
      <c r="A238">
        <v>238</v>
      </c>
      <c r="B238">
        <f t="shared" si="30"/>
        <v>-0.15739442152252625</v>
      </c>
      <c r="C238">
        <f t="shared" si="31"/>
        <v>0.98763904783567602</v>
      </c>
      <c r="D238">
        <f t="shared" si="32"/>
        <v>-0.15674537055440954</v>
      </c>
      <c r="E238">
        <v>238</v>
      </c>
      <c r="F238">
        <f t="shared" si="33"/>
        <v>-0.15739442152252625</v>
      </c>
      <c r="G238">
        <f t="shared" si="34"/>
        <v>0.69836626808923197</v>
      </c>
      <c r="H238">
        <f t="shared" si="35"/>
        <v>-0.11083571443862125</v>
      </c>
    </row>
    <row r="239" spans="1:8" x14ac:dyDescent="0.35">
      <c r="A239">
        <v>239</v>
      </c>
      <c r="B239">
        <f t="shared" si="30"/>
        <v>-0.1448028678007236</v>
      </c>
      <c r="C239">
        <f t="shared" si="31"/>
        <v>0.98953437075601203</v>
      </c>
      <c r="D239">
        <f t="shared" si="32"/>
        <v>-0.14429736342880053</v>
      </c>
      <c r="E239">
        <v>239</v>
      </c>
      <c r="F239">
        <f t="shared" si="33"/>
        <v>-0.1448028678007236</v>
      </c>
      <c r="G239">
        <f t="shared" si="34"/>
        <v>0.69970646377873991</v>
      </c>
      <c r="H239">
        <f t="shared" si="35"/>
        <v>-0.10203364418784465</v>
      </c>
    </row>
    <row r="240" spans="1:8" x14ac:dyDescent="0.35">
      <c r="A240">
        <v>240</v>
      </c>
      <c r="B240">
        <f t="shared" si="30"/>
        <v>-0.13221131407892095</v>
      </c>
      <c r="C240">
        <f t="shared" si="31"/>
        <v>0.99127280782052929</v>
      </c>
      <c r="D240">
        <f t="shared" si="32"/>
        <v>-0.13182647865889446</v>
      </c>
      <c r="E240">
        <v>240</v>
      </c>
      <c r="F240">
        <f t="shared" si="33"/>
        <v>-0.13221131407892095</v>
      </c>
      <c r="G240">
        <f t="shared" si="34"/>
        <v>0.70093572441572605</v>
      </c>
      <c r="H240">
        <f t="shared" si="35"/>
        <v>-9.3215396999648023E-2</v>
      </c>
    </row>
    <row r="241" spans="1:8" x14ac:dyDescent="0.35">
      <c r="A241">
        <v>241</v>
      </c>
      <c r="B241">
        <f t="shared" si="30"/>
        <v>-0.11961976035711785</v>
      </c>
      <c r="C241">
        <f t="shared" si="31"/>
        <v>0.99285408340849701</v>
      </c>
      <c r="D241">
        <f t="shared" si="32"/>
        <v>-0.11933469344274253</v>
      </c>
      <c r="E241">
        <v>241</v>
      </c>
      <c r="F241">
        <f t="shared" si="33"/>
        <v>-0.11961976035711785</v>
      </c>
      <c r="G241">
        <f t="shared" si="34"/>
        <v>0.70205385510690277</v>
      </c>
      <c r="H241">
        <f t="shared" si="35"/>
        <v>-8.4382370964181122E-2</v>
      </c>
    </row>
    <row r="242" spans="1:8" x14ac:dyDescent="0.35">
      <c r="A242">
        <v>242</v>
      </c>
      <c r="B242">
        <f t="shared" si="30"/>
        <v>-0.1070282066353152</v>
      </c>
      <c r="C242">
        <f t="shared" si="31"/>
        <v>0.99427794681637061</v>
      </c>
      <c r="D242">
        <f t="shared" si="32"/>
        <v>-0.1068239882920613</v>
      </c>
      <c r="E242">
        <v>242</v>
      </c>
      <c r="F242">
        <f t="shared" si="33"/>
        <v>-0.1070282066353152</v>
      </c>
      <c r="G242">
        <f t="shared" si="34"/>
        <v>0.70306067857809362</v>
      </c>
      <c r="H242">
        <f t="shared" si="35"/>
        <v>-7.5535966514708952E-2</v>
      </c>
    </row>
    <row r="243" spans="1:8" x14ac:dyDescent="0.35">
      <c r="A243">
        <v>243</v>
      </c>
      <c r="B243">
        <f t="shared" si="30"/>
        <v>-9.4436652913512553E-2</v>
      </c>
      <c r="C243">
        <f t="shared" si="31"/>
        <v>0.99554417229754077</v>
      </c>
      <c r="D243">
        <f t="shared" si="32"/>
        <v>-9.4296346718229507E-2</v>
      </c>
      <c r="E243">
        <v>243</v>
      </c>
      <c r="F243">
        <f t="shared" si="33"/>
        <v>-9.4436652913512553E-2</v>
      </c>
      <c r="G243">
        <f t="shared" si="34"/>
        <v>0.70395603520234018</v>
      </c>
      <c r="H243">
        <f t="shared" si="35"/>
        <v>-6.6677586205577982E-2</v>
      </c>
    </row>
    <row r="244" spans="1:8" x14ac:dyDescent="0.35">
      <c r="A244">
        <v>244</v>
      </c>
      <c r="B244">
        <f t="shared" si="30"/>
        <v>-8.1845099191709458E-2</v>
      </c>
      <c r="C244">
        <f t="shared" si="31"/>
        <v>0.99665255909812334</v>
      </c>
      <c r="D244">
        <f t="shared" si="32"/>
        <v>-8.1753754917813268E-2</v>
      </c>
      <c r="E244">
        <v>244</v>
      </c>
      <c r="F244">
        <f t="shared" si="33"/>
        <v>-8.1845099191709458E-2</v>
      </c>
      <c r="G244">
        <f t="shared" si="34"/>
        <v>0.70473978302520979</v>
      </c>
      <c r="H244">
        <f t="shared" si="35"/>
        <v>-5.780863448984886E-2</v>
      </c>
    </row>
    <row r="245" spans="1:8" x14ac:dyDescent="0.35">
      <c r="A245">
        <v>245</v>
      </c>
      <c r="B245">
        <f t="shared" si="30"/>
        <v>-6.9253545469906808E-2</v>
      </c>
      <c r="C245">
        <f t="shared" si="31"/>
        <v>0.99760293148878842</v>
      </c>
      <c r="D245">
        <f t="shared" si="32"/>
        <v>-6.919820145766567E-2</v>
      </c>
      <c r="E245">
        <v>245</v>
      </c>
      <c r="F245">
        <f t="shared" si="33"/>
        <v>-6.9253545469906808E-2</v>
      </c>
      <c r="G245">
        <f t="shared" si="34"/>
        <v>0.70541179778730156</v>
      </c>
      <c r="H245">
        <f t="shared" si="35"/>
        <v>-4.8930517496628266E-2</v>
      </c>
    </row>
    <row r="246" spans="1:8" x14ac:dyDescent="0.35">
      <c r="A246">
        <v>246</v>
      </c>
      <c r="B246">
        <f t="shared" si="30"/>
        <v>-5.6661991748104157E-2</v>
      </c>
      <c r="C246">
        <f t="shared" si="31"/>
        <v>0.99839513879262165</v>
      </c>
      <c r="D246">
        <f t="shared" si="32"/>
        <v>-5.6631676959646479E-2</v>
      </c>
      <c r="E246">
        <v>246</v>
      </c>
      <c r="F246">
        <f t="shared" si="33"/>
        <v>-5.6661991748104157E-2</v>
      </c>
      <c r="G246">
        <f t="shared" si="34"/>
        <v>0.70597197294394753</v>
      </c>
      <c r="H246">
        <f t="shared" si="35"/>
        <v>-4.0044642808132018E-2</v>
      </c>
    </row>
    <row r="247" spans="1:8" x14ac:dyDescent="0.35">
      <c r="A247">
        <v>247</v>
      </c>
      <c r="B247">
        <f t="shared" si="30"/>
        <v>-4.4070438026301062E-2</v>
      </c>
      <c r="C247">
        <f t="shared" si="31"/>
        <v>0.99902905540901266</v>
      </c>
      <c r="D247">
        <f t="shared" si="32"/>
        <v>-4.4056173785020115E-2</v>
      </c>
      <c r="E247">
        <v>247</v>
      </c>
      <c r="F247">
        <f t="shared" si="33"/>
        <v>-4.4070438026301062E-2</v>
      </c>
      <c r="G247">
        <f t="shared" si="34"/>
        <v>0.70642021968210444</v>
      </c>
      <c r="H247">
        <f t="shared" si="35"/>
        <v>-3.1152419236520752E-2</v>
      </c>
    </row>
    <row r="248" spans="1:8" x14ac:dyDescent="0.35">
      <c r="A248">
        <v>248</v>
      </c>
      <c r="B248">
        <f t="shared" si="30"/>
        <v>-3.1478884304498411E-2</v>
      </c>
      <c r="C248">
        <f t="shared" si="31"/>
        <v>0.99950458083356886</v>
      </c>
      <c r="D248">
        <f t="shared" si="32"/>
        <v>-3.1473685718577782E-2</v>
      </c>
      <c r="E248">
        <v>248</v>
      </c>
      <c r="F248">
        <f t="shared" si="33"/>
        <v>-3.1478884304498411E-2</v>
      </c>
      <c r="G248">
        <f t="shared" si="34"/>
        <v>0.70675646693443472</v>
      </c>
      <c r="H248">
        <f t="shared" si="35"/>
        <v>-2.2255256600540559E-2</v>
      </c>
    </row>
    <row r="249" spans="1:8" x14ac:dyDescent="0.35">
      <c r="A249">
        <v>249</v>
      </c>
      <c r="B249">
        <f t="shared" si="30"/>
        <v>-1.888733058269576E-2</v>
      </c>
      <c r="C249">
        <f t="shared" si="31"/>
        <v>0.9998216396740498</v>
      </c>
      <c r="D249">
        <f t="shared" si="32"/>
        <v>-1.8886207652529921E-2</v>
      </c>
      <c r="E249">
        <v>249</v>
      </c>
      <c r="F249">
        <f t="shared" si="33"/>
        <v>-1.888733058269576E-2</v>
      </c>
      <c r="G249">
        <f t="shared" si="34"/>
        <v>0.70698066139057403</v>
      </c>
      <c r="H249">
        <f t="shared" si="35"/>
        <v>-1.3354565502001184E-2</v>
      </c>
    </row>
    <row r="250" spans="1:8" x14ac:dyDescent="0.35">
      <c r="A250">
        <v>250</v>
      </c>
      <c r="B250">
        <f t="shared" si="30"/>
        <v>-6.2957768608926656E-3</v>
      </c>
      <c r="C250">
        <f t="shared" si="31"/>
        <v>0.99998018166232039</v>
      </c>
      <c r="D250">
        <f t="shared" si="32"/>
        <v>-6.2957352702271195E-3</v>
      </c>
      <c r="E250">
        <v>250</v>
      </c>
      <c r="F250">
        <f t="shared" si="33"/>
        <v>-6.2957768608926656E-3</v>
      </c>
      <c r="G250">
        <f t="shared" si="34"/>
        <v>0.70709276750558292</v>
      </c>
      <c r="H250">
        <f t="shared" si="35"/>
        <v>-4.4517571021329208E-3</v>
      </c>
    </row>
    <row r="251" spans="1:8" x14ac:dyDescent="0.35">
      <c r="A251">
        <v>251</v>
      </c>
      <c r="B251">
        <f t="shared" si="30"/>
        <v>6.2957768609099851E-3</v>
      </c>
      <c r="C251">
        <f t="shared" si="31"/>
        <v>0.99998018166232028</v>
      </c>
      <c r="D251">
        <f t="shared" si="32"/>
        <v>6.295735270244439E-3</v>
      </c>
      <c r="E251">
        <v>251</v>
      </c>
      <c r="F251">
        <f t="shared" si="33"/>
        <v>6.2957768609099851E-3</v>
      </c>
      <c r="G251">
        <f t="shared" si="34"/>
        <v>0.70709276750558281</v>
      </c>
      <c r="H251">
        <f t="shared" si="35"/>
        <v>4.4517571021451671E-3</v>
      </c>
    </row>
    <row r="252" spans="1:8" x14ac:dyDescent="0.35">
      <c r="A252">
        <v>252</v>
      </c>
      <c r="B252">
        <f t="shared" si="30"/>
        <v>1.8887330582712636E-2</v>
      </c>
      <c r="C252">
        <f t="shared" si="31"/>
        <v>0.99982163967404947</v>
      </c>
      <c r="D252">
        <f t="shared" si="32"/>
        <v>1.8886207652546793E-2</v>
      </c>
      <c r="E252">
        <v>252</v>
      </c>
      <c r="F252">
        <f t="shared" si="33"/>
        <v>1.8887330582712636E-2</v>
      </c>
      <c r="G252">
        <f t="shared" si="34"/>
        <v>0.70698066139057381</v>
      </c>
      <c r="H252">
        <f t="shared" si="35"/>
        <v>1.3354565502013114E-2</v>
      </c>
    </row>
    <row r="253" spans="1:8" x14ac:dyDescent="0.35">
      <c r="A253">
        <v>253</v>
      </c>
      <c r="B253">
        <f t="shared" si="30"/>
        <v>3.1478884304515731E-2</v>
      </c>
      <c r="C253">
        <f t="shared" si="31"/>
        <v>0.9995045808335683</v>
      </c>
      <c r="D253">
        <f t="shared" si="32"/>
        <v>3.1473685718595094E-2</v>
      </c>
      <c r="E253">
        <v>253</v>
      </c>
      <c r="F253">
        <f t="shared" si="33"/>
        <v>3.1478884304515731E-2</v>
      </c>
      <c r="G253">
        <f t="shared" si="34"/>
        <v>0.70675646693443439</v>
      </c>
      <c r="H253">
        <f t="shared" si="35"/>
        <v>2.2255256600552803E-2</v>
      </c>
    </row>
    <row r="254" spans="1:8" x14ac:dyDescent="0.35">
      <c r="A254">
        <v>254</v>
      </c>
      <c r="B254">
        <f t="shared" si="30"/>
        <v>4.4070438026318381E-2</v>
      </c>
      <c r="C254">
        <f t="shared" si="31"/>
        <v>0.99902905540901188</v>
      </c>
      <c r="D254">
        <f t="shared" si="32"/>
        <v>4.4056173785037421E-2</v>
      </c>
      <c r="E254">
        <v>254</v>
      </c>
      <c r="F254">
        <f t="shared" si="33"/>
        <v>4.4070438026318381E-2</v>
      </c>
      <c r="G254">
        <f t="shared" si="34"/>
        <v>0.70642021968210389</v>
      </c>
      <c r="H254">
        <f t="shared" si="35"/>
        <v>3.1152419236532988E-2</v>
      </c>
    </row>
    <row r="255" spans="1:8" x14ac:dyDescent="0.35">
      <c r="A255">
        <v>255</v>
      </c>
      <c r="B255">
        <f t="shared" si="30"/>
        <v>5.6661991748121032E-2</v>
      </c>
      <c r="C255">
        <f t="shared" si="31"/>
        <v>0.99839513879262065</v>
      </c>
      <c r="D255">
        <f t="shared" si="32"/>
        <v>5.6631676959663327E-2</v>
      </c>
      <c r="E255">
        <v>255</v>
      </c>
      <c r="F255">
        <f t="shared" si="33"/>
        <v>5.6661991748121032E-2</v>
      </c>
      <c r="G255">
        <f t="shared" si="34"/>
        <v>0.70597197294394687</v>
      </c>
      <c r="H255">
        <f t="shared" si="35"/>
        <v>4.0044642808143932E-2</v>
      </c>
    </row>
    <row r="256" spans="1:8" x14ac:dyDescent="0.35">
      <c r="A256">
        <v>256</v>
      </c>
      <c r="B256">
        <f t="shared" si="30"/>
        <v>6.9253545469924127E-2</v>
      </c>
      <c r="C256">
        <f t="shared" si="31"/>
        <v>0.9976029314887872</v>
      </c>
      <c r="D256">
        <f t="shared" si="32"/>
        <v>6.9198201457682948E-2</v>
      </c>
      <c r="E256">
        <v>256</v>
      </c>
      <c r="F256">
        <f t="shared" si="33"/>
        <v>6.9253545469924127E-2</v>
      </c>
      <c r="G256">
        <f t="shared" si="34"/>
        <v>0.70541179778730068</v>
      </c>
      <c r="H256">
        <f t="shared" si="35"/>
        <v>4.8930517496640485E-2</v>
      </c>
    </row>
    <row r="257" spans="1:8" x14ac:dyDescent="0.35">
      <c r="A257">
        <v>257</v>
      </c>
      <c r="B257">
        <f t="shared" ref="B257:B320" si="36">-3.14159265358979+(A257-1)*0.0125915537218028</f>
        <v>8.1845099191726778E-2</v>
      </c>
      <c r="C257">
        <f t="shared" ref="C257:C320" si="37">1*COS(B257)+0</f>
        <v>0.99665255909812189</v>
      </c>
      <c r="D257">
        <f t="shared" ref="D257:D320" si="38">1*SIN(B257)+0+0*COS(B257)</f>
        <v>8.1753754917830532E-2</v>
      </c>
      <c r="E257">
        <v>257</v>
      </c>
      <c r="F257">
        <f t="shared" ref="F257:F320" si="39">-3.14159265358979+(E257-1)*0.0125915537218028</f>
        <v>8.1845099191726778E-2</v>
      </c>
      <c r="G257">
        <f t="shared" ref="G257:G320" si="40">0.707106781186548*COS(F257)+0</f>
        <v>0.70473978302520879</v>
      </c>
      <c r="H257">
        <f t="shared" ref="H257:H320" si="41">0.707106781186548*SIN(F257)+0+0*COS(F257)</f>
        <v>5.7808634489861066E-2</v>
      </c>
    </row>
    <row r="258" spans="1:8" x14ac:dyDescent="0.35">
      <c r="A258">
        <v>258</v>
      </c>
      <c r="B258">
        <f t="shared" si="36"/>
        <v>9.4436652913529429E-2</v>
      </c>
      <c r="C258">
        <f t="shared" si="37"/>
        <v>0.99554417229753911</v>
      </c>
      <c r="D258">
        <f t="shared" si="38"/>
        <v>9.4296346718246313E-2</v>
      </c>
      <c r="E258">
        <v>258</v>
      </c>
      <c r="F258">
        <f t="shared" si="39"/>
        <v>9.4436652913529429E-2</v>
      </c>
      <c r="G258">
        <f t="shared" si="40"/>
        <v>0.70395603520233907</v>
      </c>
      <c r="H258">
        <f t="shared" si="41"/>
        <v>6.6677586205589862E-2</v>
      </c>
    </row>
    <row r="259" spans="1:8" x14ac:dyDescent="0.35">
      <c r="A259">
        <v>259</v>
      </c>
      <c r="B259">
        <f t="shared" si="36"/>
        <v>0.10702820663533252</v>
      </c>
      <c r="C259">
        <f t="shared" si="37"/>
        <v>0.99427794681636883</v>
      </c>
      <c r="D259">
        <f t="shared" si="38"/>
        <v>0.10682398829207852</v>
      </c>
      <c r="E259">
        <v>259</v>
      </c>
      <c r="F259">
        <f t="shared" si="39"/>
        <v>0.10702820663533252</v>
      </c>
      <c r="G259">
        <f t="shared" si="40"/>
        <v>0.70306067857809229</v>
      </c>
      <c r="H259">
        <f t="shared" si="41"/>
        <v>7.5535966514721137E-2</v>
      </c>
    </row>
    <row r="260" spans="1:8" x14ac:dyDescent="0.35">
      <c r="A260">
        <v>260</v>
      </c>
      <c r="B260">
        <f t="shared" si="36"/>
        <v>0.11961976035713517</v>
      </c>
      <c r="C260">
        <f t="shared" si="37"/>
        <v>0.9928540834084949</v>
      </c>
      <c r="D260">
        <f t="shared" si="38"/>
        <v>0.11933469344275972</v>
      </c>
      <c r="E260">
        <v>260</v>
      </c>
      <c r="F260">
        <f t="shared" si="39"/>
        <v>0.11961976035713517</v>
      </c>
      <c r="G260">
        <f t="shared" si="40"/>
        <v>0.70205385510690133</v>
      </c>
      <c r="H260">
        <f t="shared" si="41"/>
        <v>8.4382370964193293E-2</v>
      </c>
    </row>
    <row r="261" spans="1:8" x14ac:dyDescent="0.35">
      <c r="A261">
        <v>261</v>
      </c>
      <c r="B261">
        <f t="shared" si="36"/>
        <v>0.13221131407893782</v>
      </c>
      <c r="C261">
        <f t="shared" si="37"/>
        <v>0.99127280782052707</v>
      </c>
      <c r="D261">
        <f t="shared" si="38"/>
        <v>0.13182647865891117</v>
      </c>
      <c r="E261">
        <v>261</v>
      </c>
      <c r="F261">
        <f t="shared" si="39"/>
        <v>0.13221131407893782</v>
      </c>
      <c r="G261">
        <f t="shared" si="40"/>
        <v>0.70093572441572449</v>
      </c>
      <c r="H261">
        <f t="shared" si="41"/>
        <v>9.3215396999659847E-2</v>
      </c>
    </row>
    <row r="262" spans="1:8" x14ac:dyDescent="0.35">
      <c r="A262">
        <v>262</v>
      </c>
      <c r="B262">
        <f t="shared" si="36"/>
        <v>0.14480286780074092</v>
      </c>
      <c r="C262">
        <f t="shared" si="37"/>
        <v>0.98953437075600947</v>
      </c>
      <c r="D262">
        <f t="shared" si="38"/>
        <v>0.14429736342881769</v>
      </c>
      <c r="E262">
        <v>262</v>
      </c>
      <c r="F262">
        <f t="shared" si="39"/>
        <v>0.14480286780074092</v>
      </c>
      <c r="G262">
        <f t="shared" si="40"/>
        <v>0.69970646377873802</v>
      </c>
      <c r="H262">
        <f t="shared" si="41"/>
        <v>0.10203364418785678</v>
      </c>
    </row>
    <row r="263" spans="1:8" x14ac:dyDescent="0.35">
      <c r="A263">
        <v>263</v>
      </c>
      <c r="B263">
        <f t="shared" si="36"/>
        <v>0.15739442152254357</v>
      </c>
      <c r="C263">
        <f t="shared" si="37"/>
        <v>0.98763904783567336</v>
      </c>
      <c r="D263">
        <f t="shared" si="38"/>
        <v>0.15674537055442664</v>
      </c>
      <c r="E263">
        <v>263</v>
      </c>
      <c r="F263">
        <f t="shared" si="39"/>
        <v>0.15739442152254357</v>
      </c>
      <c r="G263">
        <f t="shared" si="40"/>
        <v>0.69836626808923008</v>
      </c>
      <c r="H263">
        <f t="shared" si="41"/>
        <v>0.11083571443863334</v>
      </c>
    </row>
    <row r="264" spans="1:8" x14ac:dyDescent="0.35">
      <c r="A264">
        <v>264</v>
      </c>
      <c r="B264">
        <f t="shared" si="36"/>
        <v>0.16998597524434622</v>
      </c>
      <c r="C264">
        <f t="shared" si="37"/>
        <v>0.985587139553738</v>
      </c>
      <c r="D264">
        <f t="shared" si="38"/>
        <v>0.16916852646482591</v>
      </c>
      <c r="E264">
        <v>264</v>
      </c>
      <c r="F264">
        <f t="shared" si="39"/>
        <v>0.16998597524434622</v>
      </c>
      <c r="G264">
        <f t="shared" si="40"/>
        <v>0.69691534982870074</v>
      </c>
      <c r="H264">
        <f t="shared" si="41"/>
        <v>0.11962021222661441</v>
      </c>
    </row>
    <row r="265" spans="1:8" x14ac:dyDescent="0.35">
      <c r="A265">
        <v>265</v>
      </c>
      <c r="B265">
        <f t="shared" si="36"/>
        <v>0.18257752896614932</v>
      </c>
      <c r="C265">
        <f t="shared" si="37"/>
        <v>0.98337897123026952</v>
      </c>
      <c r="D265">
        <f t="shared" si="38"/>
        <v>0.1815648615291425</v>
      </c>
      <c r="E265">
        <v>265</v>
      </c>
      <c r="F265">
        <f t="shared" si="39"/>
        <v>0.18257752896614932</v>
      </c>
      <c r="G265">
        <f t="shared" si="40"/>
        <v>0.69535393903317488</v>
      </c>
      <c r="H265">
        <f t="shared" si="41"/>
        <v>0.12838574481245327</v>
      </c>
    </row>
    <row r="266" spans="1:8" x14ac:dyDescent="0.35">
      <c r="A266">
        <v>266</v>
      </c>
      <c r="B266">
        <f t="shared" si="36"/>
        <v>0.19516908268795197</v>
      </c>
      <c r="C266">
        <f t="shared" si="37"/>
        <v>0.98101489295960276</v>
      </c>
      <c r="D266">
        <f t="shared" si="38"/>
        <v>0.19393241036881659</v>
      </c>
      <c r="E266">
        <v>266</v>
      </c>
      <c r="F266">
        <f t="shared" si="39"/>
        <v>0.19516908268795197</v>
      </c>
      <c r="G266">
        <f t="shared" si="40"/>
        <v>0.69368228325673065</v>
      </c>
      <c r="H266">
        <f t="shared" si="41"/>
        <v>0.13713092246364264</v>
      </c>
    </row>
    <row r="267" spans="1:8" x14ac:dyDescent="0.35">
      <c r="A267">
        <v>267</v>
      </c>
      <c r="B267">
        <f t="shared" si="36"/>
        <v>0.20776063640975462</v>
      </c>
      <c r="C267">
        <f t="shared" si="37"/>
        <v>0.97849527955483528</v>
      </c>
      <c r="D267">
        <f t="shared" si="38"/>
        <v>0.20626921216920552</v>
      </c>
      <c r="E267">
        <v>267</v>
      </c>
      <c r="F267">
        <f t="shared" si="39"/>
        <v>0.20776063640975462</v>
      </c>
      <c r="G267">
        <f t="shared" si="40"/>
        <v>0.691900647532251</v>
      </c>
      <c r="H267">
        <f t="shared" si="41"/>
        <v>0.14585435867485205</v>
      </c>
    </row>
    <row r="268" spans="1:8" x14ac:dyDescent="0.35">
      <c r="A268">
        <v>268</v>
      </c>
      <c r="B268">
        <f t="shared" si="36"/>
        <v>0.22035219013155771</v>
      </c>
      <c r="C268">
        <f t="shared" si="37"/>
        <v>0.97582053048840278</v>
      </c>
      <c r="D268">
        <f t="shared" si="38"/>
        <v>0.21857331099045985</v>
      </c>
      <c r="E268">
        <v>268</v>
      </c>
      <c r="F268">
        <f t="shared" si="39"/>
        <v>0.22035219013155771</v>
      </c>
      <c r="G268">
        <f t="shared" si="40"/>
        <v>0.69000931432940427</v>
      </c>
      <c r="H268">
        <f t="shared" si="41"/>
        <v>0.15455467038775039</v>
      </c>
    </row>
    <row r="269" spans="1:8" x14ac:dyDescent="0.35">
      <c r="A269">
        <v>269</v>
      </c>
      <c r="B269">
        <f t="shared" si="36"/>
        <v>0.23294374385336036</v>
      </c>
      <c r="C269">
        <f t="shared" si="37"/>
        <v>0.97299106982874473</v>
      </c>
      <c r="D269">
        <f t="shared" si="38"/>
        <v>0.23084275607762703</v>
      </c>
      <c r="E269">
        <v>269</v>
      </c>
      <c r="F269">
        <f t="shared" si="39"/>
        <v>0.23294374385336036</v>
      </c>
      <c r="G269">
        <f t="shared" si="40"/>
        <v>0.68800858350985949</v>
      </c>
      <c r="H269">
        <f t="shared" si="41"/>
        <v>0.1632304782102823</v>
      </c>
    </row>
    <row r="270" spans="1:8" x14ac:dyDescent="0.35">
      <c r="A270">
        <v>270</v>
      </c>
      <c r="B270">
        <f t="shared" si="36"/>
        <v>0.24553529757516301</v>
      </c>
      <c r="C270">
        <f t="shared" si="37"/>
        <v>0.97000734617307038</v>
      </c>
      <c r="D270">
        <f t="shared" si="38"/>
        <v>0.24307560216993654</v>
      </c>
      <c r="E270">
        <v>270</v>
      </c>
      <c r="F270">
        <f t="shared" si="39"/>
        <v>0.24553529757516301</v>
      </c>
      <c r="G270">
        <f t="shared" si="40"/>
        <v>0.68589877227974538</v>
      </c>
      <c r="H270">
        <f t="shared" si="41"/>
        <v>0.17188040663536572</v>
      </c>
    </row>
    <row r="271" spans="1:8" x14ac:dyDescent="0.35">
      <c r="A271">
        <v>271</v>
      </c>
      <c r="B271">
        <f t="shared" si="36"/>
        <v>0.25812685129696611</v>
      </c>
      <c r="C271">
        <f t="shared" si="37"/>
        <v>0.96686983257623549</v>
      </c>
      <c r="D271">
        <f t="shared" si="38"/>
        <v>0.25526990980921033</v>
      </c>
      <c r="E271">
        <v>271</v>
      </c>
      <c r="F271">
        <f t="shared" si="39"/>
        <v>0.25812685129696611</v>
      </c>
      <c r="G271">
        <f t="shared" si="40"/>
        <v>0.6836802151393585</v>
      </c>
      <c r="H271">
        <f t="shared" si="41"/>
        <v>0.18050308425897113</v>
      </c>
    </row>
    <row r="272" spans="1:8" x14ac:dyDescent="0.35">
      <c r="A272">
        <v>272</v>
      </c>
      <c r="B272">
        <f t="shared" si="36"/>
        <v>0.27071840501876876</v>
      </c>
      <c r="C272">
        <f t="shared" si="37"/>
        <v>0.96357902647574256</v>
      </c>
      <c r="D272">
        <f t="shared" si="38"/>
        <v>0.267423745647353</v>
      </c>
      <c r="E272">
        <v>272</v>
      </c>
      <c r="F272">
        <f t="shared" si="39"/>
        <v>0.27071840501876876</v>
      </c>
      <c r="G272">
        <f t="shared" si="40"/>
        <v>0.68135326383012984</v>
      </c>
      <c r="H272">
        <f t="shared" si="41"/>
        <v>0.1890971439975499</v>
      </c>
    </row>
    <row r="273" spans="1:8" x14ac:dyDescent="0.35">
      <c r="A273">
        <v>273</v>
      </c>
      <c r="B273">
        <f t="shared" si="36"/>
        <v>0.28330995874057141</v>
      </c>
      <c r="C273">
        <f t="shared" si="37"/>
        <v>0.96013544961287378</v>
      </c>
      <c r="D273">
        <f t="shared" si="38"/>
        <v>0.27953518275287759</v>
      </c>
      <c r="E273">
        <v>273</v>
      </c>
      <c r="F273">
        <f t="shared" si="39"/>
        <v>0.28330995874057141</v>
      </c>
      <c r="G273">
        <f t="shared" si="40"/>
        <v>0.67891828727885828</v>
      </c>
      <c r="H273">
        <f t="shared" si="41"/>
        <v>0.19766122330478073</v>
      </c>
    </row>
    <row r="274" spans="1:8" x14ac:dyDescent="0.35">
      <c r="A274">
        <v>274</v>
      </c>
      <c r="B274">
        <f t="shared" si="36"/>
        <v>0.29590151246237451</v>
      </c>
      <c r="C274">
        <f t="shared" si="37"/>
        <v>0.95653964794997159</v>
      </c>
      <c r="D274">
        <f t="shared" si="38"/>
        <v>0.29160230091640965</v>
      </c>
      <c r="E274">
        <v>274</v>
      </c>
      <c r="F274">
        <f t="shared" si="39"/>
        <v>0.29590151246237451</v>
      </c>
      <c r="G274">
        <f t="shared" si="40"/>
        <v>0.67637567153921829</v>
      </c>
      <c r="H274">
        <f t="shared" si="41"/>
        <v>0.2061939643875936</v>
      </c>
    </row>
    <row r="275" spans="1:8" x14ac:dyDescent="0.35">
      <c r="A275">
        <v>275</v>
      </c>
      <c r="B275">
        <f t="shared" si="36"/>
        <v>0.30849306618417716</v>
      </c>
      <c r="C275">
        <f t="shared" si="37"/>
        <v>0.95279219158387984</v>
      </c>
      <c r="D275">
        <f t="shared" si="38"/>
        <v>0.3036231869551258</v>
      </c>
      <c r="E275">
        <v>275</v>
      </c>
      <c r="F275">
        <f t="shared" si="39"/>
        <v>0.30849306618417716</v>
      </c>
      <c r="G275">
        <f t="shared" si="40"/>
        <v>0.67372581973055401</v>
      </c>
      <c r="H275">
        <f t="shared" si="41"/>
        <v>0.21469401442144051</v>
      </c>
    </row>
    <row r="276" spans="1:8" x14ac:dyDescent="0.35">
      <c r="A276">
        <v>276</v>
      </c>
      <c r="B276">
        <f t="shared" si="36"/>
        <v>0.32108461990597981</v>
      </c>
      <c r="C276">
        <f t="shared" si="37"/>
        <v>0.9488936746555563</v>
      </c>
      <c r="D276">
        <f t="shared" si="38"/>
        <v>0.3155959350160823</v>
      </c>
      <c r="E276">
        <v>276</v>
      </c>
      <c r="F276">
        <f t="shared" si="39"/>
        <v>0.32108461990597981</v>
      </c>
      <c r="G276">
        <f t="shared" si="40"/>
        <v>0.67096915197396589</v>
      </c>
      <c r="H276">
        <f t="shared" si="41"/>
        <v>0.22316002576478094</v>
      </c>
    </row>
    <row r="277" spans="1:8" x14ac:dyDescent="0.35">
      <c r="A277">
        <v>277</v>
      </c>
      <c r="B277">
        <f t="shared" si="36"/>
        <v>0.3336761736277829</v>
      </c>
      <c r="C277">
        <f t="shared" si="37"/>
        <v>0.94484471525587566</v>
      </c>
      <c r="D277">
        <f t="shared" si="38"/>
        <v>0.3275186468783774</v>
      </c>
      <c r="E277">
        <v>277</v>
      </c>
      <c r="F277">
        <f t="shared" si="39"/>
        <v>0.3336761736277829</v>
      </c>
      <c r="G277">
        <f t="shared" si="40"/>
        <v>0.66810610532570269</v>
      </c>
      <c r="H277">
        <f t="shared" si="41"/>
        <v>0.2315906561727431</v>
      </c>
    </row>
    <row r="278" spans="1:8" x14ac:dyDescent="0.35">
      <c r="A278">
        <v>278</v>
      </c>
      <c r="B278">
        <f t="shared" si="36"/>
        <v>0.34626772734958555</v>
      </c>
      <c r="C278">
        <f t="shared" si="37"/>
        <v>0.94064595532763395</v>
      </c>
      <c r="D278">
        <f t="shared" si="38"/>
        <v>0.33938943225410362</v>
      </c>
      <c r="E278">
        <v>278</v>
      </c>
      <c r="F278">
        <f t="shared" si="39"/>
        <v>0.34626772734958555</v>
      </c>
      <c r="G278">
        <f t="shared" si="40"/>
        <v>0.66513713370786864</v>
      </c>
      <c r="H278">
        <f t="shared" si="41"/>
        <v>0.23998456900992921</v>
      </c>
    </row>
    <row r="279" spans="1:8" x14ac:dyDescent="0.35">
      <c r="A279">
        <v>279</v>
      </c>
      <c r="B279">
        <f t="shared" si="36"/>
        <v>0.3588592810713882</v>
      </c>
      <c r="C279">
        <f t="shared" si="37"/>
        <v>0.93629806056377141</v>
      </c>
      <c r="D279">
        <f t="shared" si="38"/>
        <v>0.35120640908804635</v>
      </c>
      <c r="E279">
        <v>279</v>
      </c>
      <c r="F279">
        <f t="shared" si="39"/>
        <v>0.3588592810713882</v>
      </c>
      <c r="G279">
        <f t="shared" si="40"/>
        <v>0.66206270783645604</v>
      </c>
      <c r="H279">
        <f t="shared" si="41"/>
        <v>0.24834043346233445</v>
      </c>
    </row>
    <row r="280" spans="1:8" x14ac:dyDescent="0.35">
      <c r="A280">
        <v>280</v>
      </c>
      <c r="B280">
        <f t="shared" si="36"/>
        <v>0.3714508347931913</v>
      </c>
      <c r="C280">
        <f t="shared" si="37"/>
        <v>0.93180172030183006</v>
      </c>
      <c r="D280">
        <f t="shared" si="38"/>
        <v>0.36296770385607335</v>
      </c>
      <c r="E280">
        <v>280</v>
      </c>
      <c r="F280">
        <f t="shared" si="39"/>
        <v>0.3714508347931913</v>
      </c>
      <c r="G280">
        <f t="shared" si="40"/>
        <v>0.65888331514671516</v>
      </c>
      <c r="H280">
        <f t="shared" si="41"/>
        <v>0.25665692474834023</v>
      </c>
    </row>
    <row r="281" spans="1:8" x14ac:dyDescent="0.35">
      <c r="A281">
        <v>281</v>
      </c>
      <c r="B281">
        <f t="shared" si="36"/>
        <v>0.38404238851499395</v>
      </c>
      <c r="C281">
        <f t="shared" si="37"/>
        <v>0.927157647414663</v>
      </c>
      <c r="D281">
        <f t="shared" si="38"/>
        <v>0.37467145186217138</v>
      </c>
      <c r="E281">
        <v>281</v>
      </c>
      <c r="F281">
        <f t="shared" si="39"/>
        <v>0.38404238851499395</v>
      </c>
      <c r="G281">
        <f t="shared" si="40"/>
        <v>0.65559945971587474</v>
      </c>
      <c r="H281">
        <f t="shared" si="41"/>
        <v>0.2649327243287507</v>
      </c>
    </row>
    <row r="282" spans="1:8" x14ac:dyDescent="0.35">
      <c r="A282">
        <v>282</v>
      </c>
      <c r="B282">
        <f t="shared" si="36"/>
        <v>0.3966339422367966</v>
      </c>
      <c r="C282">
        <f t="shared" si="37"/>
        <v>0.92236657819741175</v>
      </c>
      <c r="D282">
        <f t="shared" si="38"/>
        <v>0.3863157975340874</v>
      </c>
      <c r="E282">
        <v>282</v>
      </c>
      <c r="F282">
        <f t="shared" si="39"/>
        <v>0.3966339422367966</v>
      </c>
      <c r="G282">
        <f t="shared" si="40"/>
        <v>0.65221166218322224</v>
      </c>
      <c r="H282">
        <f t="shared" si="41"/>
        <v>0.27316652011584275</v>
      </c>
    </row>
    <row r="283" spans="1:8" x14ac:dyDescent="0.35">
      <c r="A283">
        <v>283</v>
      </c>
      <c r="B283">
        <f t="shared" si="36"/>
        <v>0.40922549595859969</v>
      </c>
      <c r="C283">
        <f t="shared" si="37"/>
        <v>0.91742927225076953</v>
      </c>
      <c r="D283">
        <f t="shared" si="38"/>
        <v>0.39789889471751921</v>
      </c>
      <c r="E283">
        <v>283</v>
      </c>
      <c r="F283">
        <f t="shared" si="39"/>
        <v>0.40922549595859969</v>
      </c>
      <c r="G283">
        <f t="shared" si="40"/>
        <v>0.64872045966755887</v>
      </c>
      <c r="H283">
        <f t="shared" si="41"/>
        <v>0.28135700668139019</v>
      </c>
    </row>
    <row r="284" spans="1:8" x14ac:dyDescent="0.35">
      <c r="A284">
        <v>284</v>
      </c>
      <c r="B284">
        <f t="shared" si="36"/>
        <v>0.42181704968040235</v>
      </c>
      <c r="C284">
        <f t="shared" si="37"/>
        <v>0.91234651236055175</v>
      </c>
      <c r="D284">
        <f t="shared" si="38"/>
        <v>0.40941890696881295</v>
      </c>
      <c r="E284">
        <v>284</v>
      </c>
      <c r="F284">
        <f t="shared" si="39"/>
        <v>0.42181704968040235</v>
      </c>
      <c r="G284">
        <f t="shared" si="40"/>
        <v>0.64512640568204294</v>
      </c>
      <c r="H284">
        <f t="shared" si="41"/>
        <v>0.28950288546363206</v>
      </c>
    </row>
    <row r="285" spans="1:8" x14ac:dyDescent="0.35">
      <c r="A285">
        <v>285</v>
      </c>
      <c r="B285">
        <f t="shared" si="36"/>
        <v>0.434408603402205</v>
      </c>
      <c r="C285">
        <f t="shared" si="37"/>
        <v>0.90711910437358789</v>
      </c>
      <c r="D285">
        <f t="shared" si="38"/>
        <v>0.42087400784612472</v>
      </c>
      <c r="E285">
        <v>285</v>
      </c>
      <c r="F285">
        <f t="shared" si="39"/>
        <v>0.434408603402205</v>
      </c>
      <c r="G285">
        <f t="shared" si="40"/>
        <v>0.64143007004643204</v>
      </c>
      <c r="H285">
        <f t="shared" si="41"/>
        <v>0.29760286497315519</v>
      </c>
    </row>
    <row r="286" spans="1:8" x14ac:dyDescent="0.35">
      <c r="A286">
        <v>286</v>
      </c>
      <c r="B286">
        <f t="shared" si="36"/>
        <v>0.44700015712400809</v>
      </c>
      <c r="C286">
        <f t="shared" si="37"/>
        <v>0.90174787706995829</v>
      </c>
      <c r="D286">
        <f t="shared" si="38"/>
        <v>0.43226238119899291</v>
      </c>
      <c r="E286">
        <v>286</v>
      </c>
      <c r="F286">
        <f t="shared" si="39"/>
        <v>0.44700015712400809</v>
      </c>
      <c r="G286">
        <f t="shared" si="40"/>
        <v>0.63763203879674124</v>
      </c>
      <c r="H286">
        <f t="shared" si="41"/>
        <v>0.30565566099765251</v>
      </c>
    </row>
    <row r="287" spans="1:8" x14ac:dyDescent="0.35">
      <c r="A287">
        <v>287</v>
      </c>
      <c r="B287">
        <f t="shared" si="36"/>
        <v>0.45959171084581074</v>
      </c>
      <c r="C287">
        <f t="shared" si="37"/>
        <v>0.89623368203159648</v>
      </c>
      <c r="D287">
        <f t="shared" si="38"/>
        <v>0.44358222145627879</v>
      </c>
      <c r="E287">
        <v>287</v>
      </c>
      <c r="F287">
        <f t="shared" si="39"/>
        <v>0.45959171084581074</v>
      </c>
      <c r="G287">
        <f t="shared" si="40"/>
        <v>0.63373291409233035</v>
      </c>
      <c r="H287">
        <f t="shared" si="41"/>
        <v>0.31365999680552781</v>
      </c>
    </row>
    <row r="288" spans="1:8" x14ac:dyDescent="0.35">
      <c r="A288">
        <v>288</v>
      </c>
      <c r="B288">
        <f t="shared" si="36"/>
        <v>0.47218326456761339</v>
      </c>
      <c r="C288">
        <f t="shared" si="37"/>
        <v>0.89057739350727372</v>
      </c>
      <c r="D288">
        <f t="shared" si="38"/>
        <v>0.45483173391243337</v>
      </c>
      <c r="E288">
        <v>288</v>
      </c>
      <c r="F288">
        <f t="shared" si="39"/>
        <v>0.47218326456761339</v>
      </c>
      <c r="G288">
        <f t="shared" si="40"/>
        <v>0.6297333141204341</v>
      </c>
      <c r="H288">
        <f t="shared" si="41"/>
        <v>0.32161460334831726</v>
      </c>
    </row>
    <row r="289" spans="1:8" x14ac:dyDescent="0.35">
      <c r="A289">
        <v>289</v>
      </c>
      <c r="B289">
        <f t="shared" si="36"/>
        <v>0.48477481828941649</v>
      </c>
      <c r="C289">
        <f t="shared" si="37"/>
        <v>0.88477990827399111</v>
      </c>
      <c r="D289">
        <f t="shared" si="38"/>
        <v>0.46600913501203806</v>
      </c>
      <c r="E289">
        <v>289</v>
      </c>
      <c r="F289">
        <f t="shared" si="39"/>
        <v>0.48477481828941649</v>
      </c>
      <c r="G289">
        <f t="shared" si="40"/>
        <v>0.6256338729981511</v>
      </c>
      <c r="H289">
        <f t="shared" si="41"/>
        <v>0.32951821946188969</v>
      </c>
    </row>
    <row r="290" spans="1:8" x14ac:dyDescent="0.35">
      <c r="A290">
        <v>290</v>
      </c>
      <c r="B290">
        <f t="shared" si="36"/>
        <v>0.49736637201121914</v>
      </c>
      <c r="C290">
        <f t="shared" si="37"/>
        <v>0.87884214549480122</v>
      </c>
      <c r="D290">
        <f t="shared" si="38"/>
        <v>0.47711265263257752</v>
      </c>
      <c r="E290">
        <v>290</v>
      </c>
      <c r="F290">
        <f t="shared" si="39"/>
        <v>0.49736637201121914</v>
      </c>
      <c r="G290">
        <f t="shared" si="40"/>
        <v>0.62143524067190881</v>
      </c>
      <c r="H290">
        <f t="shared" si="41"/>
        <v>0.33736959206639749</v>
      </c>
    </row>
    <row r="291" spans="1:8" x14ac:dyDescent="0.35">
      <c r="A291">
        <v>291</v>
      </c>
      <c r="B291">
        <f t="shared" si="36"/>
        <v>0.50995792573302179</v>
      </c>
      <c r="C291">
        <f t="shared" si="37"/>
        <v>0.87276504657307785</v>
      </c>
      <c r="D291">
        <f t="shared" si="38"/>
        <v>0.48814052636540345</v>
      </c>
      <c r="E291">
        <v>291</v>
      </c>
      <c r="F291">
        <f t="shared" si="39"/>
        <v>0.50995792573302179</v>
      </c>
      <c r="G291">
        <f t="shared" si="40"/>
        <v>0.61713808281441673</v>
      </c>
      <c r="H291">
        <f t="shared" si="41"/>
        <v>0.34516747636494771</v>
      </c>
    </row>
    <row r="292" spans="1:8" x14ac:dyDescent="0.35">
      <c r="A292">
        <v>292</v>
      </c>
      <c r="B292">
        <f t="shared" si="36"/>
        <v>0.52254947945482488</v>
      </c>
      <c r="C292">
        <f t="shared" si="37"/>
        <v>0.86654957500326169</v>
      </c>
      <c r="D292">
        <f t="shared" si="38"/>
        <v>0.49909100779483756</v>
      </c>
      <c r="E292">
        <v>292</v>
      </c>
      <c r="F292">
        <f t="shared" si="39"/>
        <v>0.52254947945482488</v>
      </c>
      <c r="G292">
        <f t="shared" si="40"/>
        <v>0.61274308071912753</v>
      </c>
      <c r="H292">
        <f t="shared" si="41"/>
        <v>0.35291063604095796</v>
      </c>
    </row>
    <row r="293" spans="1:8" x14ac:dyDescent="0.35">
      <c r="A293">
        <v>293</v>
      </c>
      <c r="B293">
        <f t="shared" si="36"/>
        <v>0.53514103317662753</v>
      </c>
      <c r="C293">
        <f t="shared" si="37"/>
        <v>0.86019671621810334</v>
      </c>
      <c r="D293">
        <f t="shared" si="38"/>
        <v>0.50996236077537316</v>
      </c>
      <c r="E293">
        <v>293</v>
      </c>
      <c r="F293">
        <f t="shared" si="39"/>
        <v>0.53514103317662753</v>
      </c>
      <c r="G293">
        <f t="shared" si="40"/>
        <v>0.60825093119222151</v>
      </c>
      <c r="H293">
        <f t="shared" si="41"/>
        <v>0.36059784345416723</v>
      </c>
    </row>
    <row r="294" spans="1:8" x14ac:dyDescent="0.35">
      <c r="A294">
        <v>294</v>
      </c>
      <c r="B294">
        <f t="shared" si="36"/>
        <v>0.54773258689843018</v>
      </c>
      <c r="C294">
        <f t="shared" si="37"/>
        <v>0.85370747743242703</v>
      </c>
      <c r="D294">
        <f t="shared" si="38"/>
        <v>0.52075286170693491</v>
      </c>
      <c r="E294">
        <v>294</v>
      </c>
      <c r="F294">
        <f t="shared" si="39"/>
        <v>0.54773258689843018</v>
      </c>
      <c r="G294">
        <f t="shared" si="40"/>
        <v>0.60366234644213101</v>
      </c>
      <c r="H294">
        <f t="shared" si="41"/>
        <v>0.36822787983527433</v>
      </c>
    </row>
    <row r="295" spans="1:8" x14ac:dyDescent="0.35">
      <c r="A295">
        <v>295</v>
      </c>
      <c r="B295">
        <f t="shared" si="36"/>
        <v>0.56032414062023328</v>
      </c>
      <c r="C295">
        <f t="shared" si="37"/>
        <v>0.84708288748344174</v>
      </c>
      <c r="D295">
        <f t="shared" si="38"/>
        <v>0.53146079980814653</v>
      </c>
      <c r="E295">
        <v>295</v>
      </c>
      <c r="F295">
        <f t="shared" si="39"/>
        <v>0.56032414062023328</v>
      </c>
      <c r="G295">
        <f t="shared" si="40"/>
        <v>0.59897805396662329</v>
      </c>
      <c r="H295">
        <f t="shared" si="41"/>
        <v>0.37579953547916689</v>
      </c>
    </row>
    <row r="296" spans="1:8" x14ac:dyDescent="0.35">
      <c r="A296">
        <v>296</v>
      </c>
      <c r="B296">
        <f t="shared" si="36"/>
        <v>0.57291569434203593</v>
      </c>
      <c r="C296">
        <f t="shared" si="37"/>
        <v>0.84032399666762514</v>
      </c>
      <c r="D296">
        <f t="shared" si="38"/>
        <v>0.54208447738756471</v>
      </c>
      <c r="E296">
        <v>296</v>
      </c>
      <c r="F296">
        <f t="shared" si="39"/>
        <v>0.57291569434203593</v>
      </c>
      <c r="G296">
        <f t="shared" si="40"/>
        <v>0.59419879643745988</v>
      </c>
      <c r="H296">
        <f t="shared" si="41"/>
        <v>0.38331160993671298</v>
      </c>
    </row>
    <row r="297" spans="1:8" x14ac:dyDescent="0.35">
      <c r="A297">
        <v>297</v>
      </c>
      <c r="B297">
        <f t="shared" si="36"/>
        <v>0.58550724806383858</v>
      </c>
      <c r="C297">
        <f t="shared" si="37"/>
        <v>0.83343187657420248</v>
      </c>
      <c r="D297">
        <f t="shared" si="38"/>
        <v>0.55262221011284307</v>
      </c>
      <c r="E297">
        <v>297</v>
      </c>
      <c r="F297">
        <f t="shared" si="39"/>
        <v>0.58550724806383858</v>
      </c>
      <c r="G297">
        <f t="shared" si="40"/>
        <v>0.58932533158264866</v>
      </c>
      <c r="H297">
        <f t="shared" si="41"/>
        <v>0.39076291220508869</v>
      </c>
    </row>
    <row r="298" spans="1:8" x14ac:dyDescent="0.35">
      <c r="A298">
        <v>298</v>
      </c>
      <c r="B298">
        <f t="shared" si="36"/>
        <v>0.59809880178564168</v>
      </c>
      <c r="C298">
        <f t="shared" si="37"/>
        <v>0.82640761991525236</v>
      </c>
      <c r="D298">
        <f t="shared" si="38"/>
        <v>0.56307232727777323</v>
      </c>
      <c r="E298">
        <v>298</v>
      </c>
      <c r="F298">
        <f t="shared" si="39"/>
        <v>0.59809880178564168</v>
      </c>
      <c r="G298">
        <f t="shared" si="40"/>
        <v>0.58435843206631033</v>
      </c>
      <c r="H298">
        <f t="shared" si="41"/>
        <v>0.39815226091660477</v>
      </c>
    </row>
    <row r="299" spans="1:8" x14ac:dyDescent="0.35">
      <c r="A299">
        <v>299</v>
      </c>
      <c r="B299">
        <f t="shared" si="36"/>
        <v>0.61069035550744433</v>
      </c>
      <c r="C299">
        <f t="shared" si="37"/>
        <v>0.81925234035246286</v>
      </c>
      <c r="D299">
        <f t="shared" si="38"/>
        <v>0.57343317206716626</v>
      </c>
      <c r="E299">
        <v>299</v>
      </c>
      <c r="F299">
        <f t="shared" si="39"/>
        <v>0.61069035550744433</v>
      </c>
      <c r="G299">
        <f t="shared" si="40"/>
        <v>0.57929888536617635</v>
      </c>
      <c r="H299">
        <f t="shared" si="41"/>
        <v>0.40547848452600588</v>
      </c>
    </row>
    <row r="300" spans="1:8" x14ac:dyDescent="0.35">
      <c r="A300">
        <v>300</v>
      </c>
      <c r="B300">
        <f t="shared" si="36"/>
        <v>0.62328190922924698</v>
      </c>
      <c r="C300">
        <f t="shared" si="37"/>
        <v>0.81196717232056503</v>
      </c>
      <c r="D300">
        <f t="shared" si="38"/>
        <v>0.58370310181953444</v>
      </c>
      <c r="E300">
        <v>300</v>
      </c>
      <c r="F300">
        <f t="shared" si="39"/>
        <v>0.62328190922924698</v>
      </c>
      <c r="G300">
        <f t="shared" si="40"/>
        <v>0.57414749364873796</v>
      </c>
      <c r="H300">
        <f t="shared" si="41"/>
        <v>0.41274042149621487</v>
      </c>
    </row>
    <row r="301" spans="1:8" x14ac:dyDescent="0.35">
      <c r="A301">
        <v>301</v>
      </c>
      <c r="B301">
        <f t="shared" si="36"/>
        <v>0.63587346295105007</v>
      </c>
      <c r="C301">
        <f t="shared" si="37"/>
        <v>0.80455327084747397</v>
      </c>
      <c r="D301">
        <f t="shared" si="38"/>
        <v>0.59388048828752671</v>
      </c>
      <c r="E301">
        <v>301</v>
      </c>
      <c r="F301">
        <f t="shared" si="39"/>
        <v>0.63587346295105007</v>
      </c>
      <c r="G301">
        <f t="shared" si="40"/>
        <v>0.56890507364206633</v>
      </c>
      <c r="H301">
        <f t="shared" si="41"/>
        <v>0.41993692048248843</v>
      </c>
    </row>
    <row r="302" spans="1:8" x14ac:dyDescent="0.35">
      <c r="A302">
        <v>302</v>
      </c>
      <c r="B302">
        <f t="shared" si="36"/>
        <v>0.64846501667285272</v>
      </c>
      <c r="C302">
        <f t="shared" si="37"/>
        <v>0.79701181137116583</v>
      </c>
      <c r="D302">
        <f t="shared" si="38"/>
        <v>0.60396371789607795</v>
      </c>
      <c r="E302">
        <v>302</v>
      </c>
      <c r="F302">
        <f t="shared" si="39"/>
        <v>0.64846501667285272</v>
      </c>
      <c r="G302">
        <f t="shared" si="40"/>
        <v>0.56357245650632526</v>
      </c>
      <c r="H302">
        <f t="shared" si="41"/>
        <v>0.42706684051495603</v>
      </c>
    </row>
    <row r="303" spans="1:8" x14ac:dyDescent="0.35">
      <c r="A303">
        <v>303</v>
      </c>
      <c r="B303">
        <f t="shared" si="36"/>
        <v>0.66105657039465537</v>
      </c>
      <c r="C303">
        <f t="shared" si="37"/>
        <v>0.78934398955331608</v>
      </c>
      <c r="D303">
        <f t="shared" si="38"/>
        <v>0.61395119199823567</v>
      </c>
      <c r="E303">
        <v>303</v>
      </c>
      <c r="F303">
        <f t="shared" si="39"/>
        <v>0.66105657039465537</v>
      </c>
      <c r="G303">
        <f t="shared" si="40"/>
        <v>0.55815048770199349</v>
      </c>
      <c r="H303">
        <f t="shared" si="41"/>
        <v>0.43412905117951678</v>
      </c>
    </row>
    <row r="304" spans="1:8" x14ac:dyDescent="0.35">
      <c r="A304">
        <v>304</v>
      </c>
      <c r="B304">
        <f t="shared" si="36"/>
        <v>0.67364812411645847</v>
      </c>
      <c r="C304">
        <f t="shared" si="37"/>
        <v>0.7815510210897344</v>
      </c>
      <c r="D304">
        <f t="shared" si="38"/>
        <v>0.62384132712861662</v>
      </c>
      <c r="E304">
        <v>304</v>
      </c>
      <c r="F304">
        <f t="shared" si="39"/>
        <v>0.67364812411645847</v>
      </c>
      <c r="G304">
        <f t="shared" si="40"/>
        <v>0.55264002685582203</v>
      </c>
      <c r="H304">
        <f t="shared" si="41"/>
        <v>0.44112243279706043</v>
      </c>
    </row>
    <row r="305" spans="1:8" x14ac:dyDescent="0.35">
      <c r="A305">
        <v>305</v>
      </c>
      <c r="B305">
        <f t="shared" si="36"/>
        <v>0.68623967783826112</v>
      </c>
      <c r="C305">
        <f t="shared" si="37"/>
        <v>0.77363414151762222</v>
      </c>
      <c r="D305">
        <f t="shared" si="38"/>
        <v>0.63363255525445639</v>
      </c>
      <c r="E305">
        <v>305</v>
      </c>
      <c r="F305">
        <f t="shared" si="39"/>
        <v>0.68623967783826112</v>
      </c>
      <c r="G305">
        <f t="shared" si="40"/>
        <v>0.54704194762454417</v>
      </c>
      <c r="H305">
        <f t="shared" si="41"/>
        <v>0.44804587660098621</v>
      </c>
    </row>
    <row r="306" spans="1:8" x14ac:dyDescent="0.35">
      <c r="A306">
        <v>306</v>
      </c>
      <c r="B306">
        <f t="shared" si="36"/>
        <v>0.69883123156006377</v>
      </c>
      <c r="C306">
        <f t="shared" si="37"/>
        <v>0.76559460601968321</v>
      </c>
      <c r="D306">
        <f t="shared" si="38"/>
        <v>0.64332332402421566</v>
      </c>
      <c r="E306">
        <v>306</v>
      </c>
      <c r="F306">
        <f t="shared" si="39"/>
        <v>0.69883123156006377</v>
      </c>
      <c r="G306">
        <f t="shared" si="40"/>
        <v>0.54135713755636161</v>
      </c>
      <c r="H306">
        <f t="shared" si="41"/>
        <v>0.45489828491299378</v>
      </c>
    </row>
    <row r="307" spans="1:8" x14ac:dyDescent="0.35">
      <c r="A307">
        <v>307</v>
      </c>
      <c r="B307">
        <f t="shared" si="36"/>
        <v>0.71142278528186687</v>
      </c>
      <c r="C307">
        <f t="shared" si="37"/>
        <v>0.75743368922512078</v>
      </c>
      <c r="D307">
        <f t="shared" si="38"/>
        <v>0.65291209701369679</v>
      </c>
      <c r="E307">
        <v>307</v>
      </c>
      <c r="F307">
        <f t="shared" si="39"/>
        <v>0.71142278528186687</v>
      </c>
      <c r="G307">
        <f t="shared" si="40"/>
        <v>0.53558649795022728</v>
      </c>
      <c r="H307">
        <f t="shared" si="41"/>
        <v>0.46167857131711432</v>
      </c>
    </row>
    <row r="308" spans="1:8" x14ac:dyDescent="0.35">
      <c r="A308">
        <v>308</v>
      </c>
      <c r="B308">
        <f t="shared" si="36"/>
        <v>0.72401433900366952</v>
      </c>
      <c r="C308">
        <f t="shared" si="37"/>
        <v>0.74915268500755272</v>
      </c>
      <c r="D308">
        <f t="shared" si="38"/>
        <v>0.66239735396963551</v>
      </c>
      <c r="E308">
        <v>308</v>
      </c>
      <c r="F308">
        <f t="shared" si="39"/>
        <v>0.72401433900366952</v>
      </c>
      <c r="G308">
        <f t="shared" si="40"/>
        <v>0.52973094371295049</v>
      </c>
      <c r="H308">
        <f t="shared" si="41"/>
        <v>0.46838566083195543</v>
      </c>
    </row>
    <row r="309" spans="1:8" x14ac:dyDescent="0.35">
      <c r="A309">
        <v>309</v>
      </c>
      <c r="B309">
        <f t="shared" si="36"/>
        <v>0.73660589272547217</v>
      </c>
      <c r="C309">
        <f t="shared" si="37"/>
        <v>0.74075290627987178</v>
      </c>
      <c r="D309">
        <f t="shared" si="38"/>
        <v>0.6717775910507312</v>
      </c>
      <c r="E309">
        <v>309</v>
      </c>
      <c r="F309">
        <f t="shared" si="39"/>
        <v>0.73660589272547217</v>
      </c>
      <c r="G309">
        <f t="shared" si="40"/>
        <v>0.52379140321414086</v>
      </c>
      <c r="H309">
        <f t="shared" si="41"/>
        <v>0.47501849008113572</v>
      </c>
    </row>
    <row r="310" spans="1:8" x14ac:dyDescent="0.35">
      <c r="A310">
        <v>310</v>
      </c>
      <c r="B310">
        <f t="shared" si="36"/>
        <v>0.74919744644727526</v>
      </c>
      <c r="C310">
        <f t="shared" si="37"/>
        <v>0.73223568478609136</v>
      </c>
      <c r="D310">
        <f t="shared" si="38"/>
        <v>0.68105132106607336</v>
      </c>
      <c r="E310">
        <v>310</v>
      </c>
      <c r="F310">
        <f t="shared" si="39"/>
        <v>0.74919744644727526</v>
      </c>
      <c r="G310">
        <f t="shared" si="40"/>
        <v>0.51776881813902087</v>
      </c>
      <c r="H310">
        <f t="shared" si="41"/>
        <v>0.4815760074618774</v>
      </c>
    </row>
    <row r="311" spans="1:8" x14ac:dyDescent="0.35">
      <c r="A311">
        <v>311</v>
      </c>
      <c r="B311">
        <f t="shared" si="36"/>
        <v>0.76178900016907791</v>
      </c>
      <c r="C311">
        <f t="shared" si="37"/>
        <v>0.72360237089020418</v>
      </c>
      <c r="D311">
        <f t="shared" si="38"/>
        <v>0.69021707371092711</v>
      </c>
      <c r="E311">
        <v>311</v>
      </c>
      <c r="F311">
        <f t="shared" si="39"/>
        <v>0.76178900016907791</v>
      </c>
      <c r="G311">
        <f t="shared" si="40"/>
        <v>0.51166414333912702</v>
      </c>
      <c r="H311">
        <f t="shared" si="41"/>
        <v>0.48805717331173204</v>
      </c>
    </row>
    <row r="312" spans="1:8" x14ac:dyDescent="0.35">
      <c r="A312">
        <v>312</v>
      </c>
      <c r="B312">
        <f t="shared" si="36"/>
        <v>0.77438055389088056</v>
      </c>
      <c r="C312">
        <f t="shared" si="37"/>
        <v>0.71485433336208692</v>
      </c>
      <c r="D312">
        <f t="shared" si="38"/>
        <v>0.69927339579984471</v>
      </c>
      <c r="E312">
        <v>312</v>
      </c>
      <c r="F312">
        <f t="shared" si="39"/>
        <v>0.77438055389088056</v>
      </c>
      <c r="G312">
        <f t="shared" si="40"/>
        <v>0.50547834668092084</v>
      </c>
      <c r="H312">
        <f t="shared" si="41"/>
        <v>0.49446096007341517</v>
      </c>
    </row>
    <row r="313" spans="1:8" x14ac:dyDescent="0.35">
      <c r="A313">
        <v>313</v>
      </c>
      <c r="B313">
        <f t="shared" si="36"/>
        <v>0.78697210761268366</v>
      </c>
      <c r="C313">
        <f t="shared" si="37"/>
        <v>0.70599295916048987</v>
      </c>
      <c r="D313">
        <f t="shared" si="38"/>
        <v>0.7082188514970601</v>
      </c>
      <c r="E313">
        <v>313</v>
      </c>
      <c r="F313">
        <f t="shared" si="39"/>
        <v>0.78697210761268366</v>
      </c>
      <c r="G313">
        <f t="shared" si="40"/>
        <v>0.49921240889234003</v>
      </c>
      <c r="H313">
        <f t="shared" si="41"/>
        <v>0.50078635245772007</v>
      </c>
    </row>
    <row r="314" spans="1:8" x14ac:dyDescent="0.35">
      <c r="A314">
        <v>314</v>
      </c>
      <c r="B314">
        <f t="shared" si="36"/>
        <v>0.79956366133448631</v>
      </c>
      <c r="C314">
        <f t="shared" si="37"/>
        <v>0.69701965321314163</v>
      </c>
      <c r="D314">
        <f t="shared" si="38"/>
        <v>0.71705202254413303</v>
      </c>
      <c r="E314">
        <v>314</v>
      </c>
      <c r="F314">
        <f t="shared" si="39"/>
        <v>0.79956366133448631</v>
      </c>
      <c r="G314">
        <f t="shared" si="40"/>
        <v>0.49286732340730854</v>
      </c>
      <c r="H314">
        <f t="shared" si="41"/>
        <v>0.50703234760448601</v>
      </c>
    </row>
    <row r="315" spans="1:8" x14ac:dyDescent="0.35">
      <c r="A315">
        <v>315</v>
      </c>
      <c r="B315">
        <f t="shared" si="36"/>
        <v>0.81215521505628896</v>
      </c>
      <c r="C315">
        <f t="shared" si="37"/>
        <v>0.68793583819400306</v>
      </c>
      <c r="D315">
        <f t="shared" si="38"/>
        <v>0.72577150848480843</v>
      </c>
      <c r="E315">
        <v>315</v>
      </c>
      <c r="F315">
        <f t="shared" si="39"/>
        <v>0.81215521505628896</v>
      </c>
      <c r="G315">
        <f t="shared" si="40"/>
        <v>0.48644409620823142</v>
      </c>
      <c r="H315">
        <f t="shared" si="41"/>
        <v>0.51319795524159828</v>
      </c>
    </row>
    <row r="316" spans="1:8" x14ac:dyDescent="0.35">
      <c r="A316">
        <v>316</v>
      </c>
      <c r="B316">
        <f t="shared" si="36"/>
        <v>0.82474676877809205</v>
      </c>
      <c r="C316">
        <f t="shared" si="37"/>
        <v>0.67874295429771048</v>
      </c>
      <c r="D316">
        <f t="shared" si="38"/>
        <v>0.73437592688705156</v>
      </c>
      <c r="E316">
        <v>316</v>
      </c>
      <c r="F316">
        <f t="shared" si="39"/>
        <v>0.82474676877809205</v>
      </c>
      <c r="G316">
        <f t="shared" si="40"/>
        <v>0.47994374566650233</v>
      </c>
      <c r="H316">
        <f t="shared" si="41"/>
        <v>0.5192821978419907</v>
      </c>
    </row>
    <row r="317" spans="1:8" x14ac:dyDescent="0.35">
      <c r="A317">
        <v>317</v>
      </c>
      <c r="B317">
        <f t="shared" si="36"/>
        <v>0.8373383224998947</v>
      </c>
      <c r="C317">
        <f t="shared" si="37"/>
        <v>0.66944245901124033</v>
      </c>
      <c r="D317">
        <f t="shared" si="38"/>
        <v>0.74286391356222425</v>
      </c>
      <c r="E317">
        <v>317</v>
      </c>
      <c r="F317">
        <f t="shared" si="39"/>
        <v>0.8373383224998947</v>
      </c>
      <c r="G317">
        <f t="shared" si="40"/>
        <v>0.47336730238104574</v>
      </c>
      <c r="H317">
        <f t="shared" si="41"/>
        <v>0.52528411077862647</v>
      </c>
    </row>
    <row r="318" spans="1:8" x14ac:dyDescent="0.35">
      <c r="A318">
        <v>318</v>
      </c>
      <c r="B318">
        <f t="shared" si="36"/>
        <v>0.84992987622169736</v>
      </c>
      <c r="C318">
        <f t="shared" si="37"/>
        <v>0.66003582688283002</v>
      </c>
      <c r="D318">
        <f t="shared" si="38"/>
        <v>0.75123412278137291</v>
      </c>
      <c r="E318">
        <v>318</v>
      </c>
      <c r="F318">
        <f t="shared" si="39"/>
        <v>0.84992987622169736</v>
      </c>
      <c r="G318">
        <f t="shared" si="40"/>
        <v>0.4667158090149196</v>
      </c>
      <c r="H318">
        <f t="shared" si="41"/>
        <v>0.5312027424774366</v>
      </c>
    </row>
    <row r="319" spans="1:8" x14ac:dyDescent="0.35">
      <c r="A319">
        <v>319</v>
      </c>
      <c r="B319">
        <f t="shared" si="36"/>
        <v>0.86252142994350001</v>
      </c>
      <c r="C319">
        <f t="shared" si="37"/>
        <v>0.65052454928819659</v>
      </c>
      <c r="D319">
        <f t="shared" si="38"/>
        <v>0.7594852274885856</v>
      </c>
      <c r="E319">
        <v>319</v>
      </c>
      <c r="F319">
        <f t="shared" si="39"/>
        <v>0.86252142994350001</v>
      </c>
      <c r="G319">
        <f t="shared" si="40"/>
        <v>0.45999032013000657</v>
      </c>
      <c r="H319">
        <f t="shared" si="41"/>
        <v>0.5370371545681869</v>
      </c>
    </row>
    <row r="320" spans="1:8" x14ac:dyDescent="0.35">
      <c r="A320">
        <v>320</v>
      </c>
      <c r="B320">
        <f t="shared" si="36"/>
        <v>0.8751129836653031</v>
      </c>
      <c r="C320">
        <f t="shared" si="37"/>
        <v>0.64091013419408605</v>
      </c>
      <c r="D320">
        <f t="shared" si="38"/>
        <v>0.76761591951139119</v>
      </c>
      <c r="E320">
        <v>320</v>
      </c>
      <c r="F320">
        <f t="shared" si="39"/>
        <v>0.8751129836653031</v>
      </c>
      <c r="G320">
        <f t="shared" si="40"/>
        <v>0.45319190201981874</v>
      </c>
      <c r="H320">
        <f t="shared" si="41"/>
        <v>0.54278642203325211</v>
      </c>
    </row>
    <row r="321" spans="1:8" x14ac:dyDescent="0.35">
      <c r="A321">
        <v>321</v>
      </c>
      <c r="B321">
        <f t="shared" ref="B321:B384" si="42">-3.14159265358979+(A321-1)*0.0125915537218028</f>
        <v>0.8877045373871062</v>
      </c>
      <c r="C321">
        <f t="shared" ref="C321:C384" si="43">1*COS(B321)+0</f>
        <v>0.63119410591919323</v>
      </c>
      <c r="D321">
        <f t="shared" ref="D321:D384" si="44">1*SIN(B321)+0+0*COS(B321)</f>
        <v>0.77562490976816245</v>
      </c>
      <c r="E321">
        <v>321</v>
      </c>
      <c r="F321">
        <f t="shared" ref="F321:F384" si="45">-3.14159265358979+(E321-1)*0.0125915537218028</f>
        <v>0.8877045373871062</v>
      </c>
      <c r="G321">
        <f t="shared" ref="G321:G384" si="46">0.707106781186548*COS(F321)+0</f>
        <v>0.44632163254044177</v>
      </c>
      <c r="H321">
        <f t="shared" ref="H321:H384" si="47">0.707106781186548*SIN(F321)+0+0*COS(F321)</f>
        <v>0.5484496333542721</v>
      </c>
    </row>
    <row r="322" spans="1:8" x14ac:dyDescent="0.35">
      <c r="A322">
        <v>322</v>
      </c>
      <c r="B322">
        <f t="shared" si="42"/>
        <v>0.9002960911089084</v>
      </c>
      <c r="C322">
        <f t="shared" si="43"/>
        <v>0.6213780048924884</v>
      </c>
      <c r="D322">
        <f t="shared" si="44"/>
        <v>0.78351092847249459</v>
      </c>
      <c r="E322">
        <v>322</v>
      </c>
      <c r="F322">
        <f t="shared" si="45"/>
        <v>0.9002960911089084</v>
      </c>
      <c r="G322">
        <f t="shared" si="46"/>
        <v>0.43938060093964654</v>
      </c>
      <c r="H322">
        <f t="shared" si="47"/>
        <v>0.5540258906566693</v>
      </c>
    </row>
    <row r="323" spans="1:8" x14ac:dyDescent="0.35">
      <c r="A323">
        <v>323</v>
      </c>
      <c r="B323">
        <f t="shared" si="42"/>
        <v>0.9128876448307115</v>
      </c>
      <c r="C323">
        <f t="shared" si="43"/>
        <v>0.6114633874089872</v>
      </c>
      <c r="D323">
        <f t="shared" si="44"/>
        <v>0.79127272533452508</v>
      </c>
      <c r="E323">
        <v>323</v>
      </c>
      <c r="F323">
        <f t="shared" si="45"/>
        <v>0.9128876448307115</v>
      </c>
      <c r="G323">
        <f t="shared" si="46"/>
        <v>0.43236990768419215</v>
      </c>
      <c r="H323">
        <f t="shared" si="47"/>
        <v>0.55951430985200357</v>
      </c>
    </row>
    <row r="324" spans="1:8" x14ac:dyDescent="0.35">
      <c r="A324">
        <v>324</v>
      </c>
      <c r="B324">
        <f t="shared" si="42"/>
        <v>0.92547919855251459</v>
      </c>
      <c r="C324">
        <f t="shared" si="43"/>
        <v>0.60145182538301178</v>
      </c>
      <c r="D324">
        <f t="shared" si="44"/>
        <v>0.79890906975915799</v>
      </c>
      <c r="E324">
        <v>324</v>
      </c>
      <c r="F324">
        <f t="shared" si="45"/>
        <v>0.92547919855251459</v>
      </c>
      <c r="G324">
        <f t="shared" si="46"/>
        <v>0.42529066428535522</v>
      </c>
      <c r="H324">
        <f t="shared" si="47"/>
        <v>0.56491402077813757</v>
      </c>
    </row>
    <row r="325" spans="1:8" x14ac:dyDescent="0.35">
      <c r="A325">
        <v>325</v>
      </c>
      <c r="B325">
        <f t="shared" si="42"/>
        <v>0.9380707522743168</v>
      </c>
      <c r="C325">
        <f t="shared" si="43"/>
        <v>0.5913449060989695</v>
      </c>
      <c r="D325">
        <f t="shared" si="44"/>
        <v>0.80641875104117022</v>
      </c>
      <c r="E325">
        <v>325</v>
      </c>
      <c r="F325">
        <f t="shared" si="45"/>
        <v>0.9380707522743168</v>
      </c>
      <c r="G325">
        <f t="shared" si="46"/>
        <v>0.41814399312270384</v>
      </c>
      <c r="H325">
        <f t="shared" si="47"/>
        <v>0.57022416733719805</v>
      </c>
    </row>
    <row r="326" spans="1:8" x14ac:dyDescent="0.35">
      <c r="A326">
        <v>326</v>
      </c>
      <c r="B326">
        <f t="shared" si="42"/>
        <v>0.95066230599611989</v>
      </c>
      <c r="C326">
        <f t="shared" si="43"/>
        <v>0.58114423195969445</v>
      </c>
      <c r="D326">
        <f t="shared" si="44"/>
        <v>0.81380057855716526</v>
      </c>
      <c r="E326">
        <v>326</v>
      </c>
      <c r="F326">
        <f t="shared" si="45"/>
        <v>0.95066230599611989</v>
      </c>
      <c r="G326">
        <f t="shared" si="46"/>
        <v>0.41093102726614816</v>
      </c>
      <c r="H326">
        <f t="shared" si="47"/>
        <v>0.57544390763130759</v>
      </c>
    </row>
    <row r="327" spans="1:8" x14ac:dyDescent="0.35">
      <c r="A327">
        <v>327</v>
      </c>
      <c r="B327">
        <f t="shared" si="42"/>
        <v>0.96325385971792299</v>
      </c>
      <c r="C327">
        <f t="shared" si="43"/>
        <v>0.57085142023239865</v>
      </c>
      <c r="D327">
        <f t="shared" si="44"/>
        <v>0.8210533819543363</v>
      </c>
      <c r="E327">
        <v>327</v>
      </c>
      <c r="F327">
        <f t="shared" si="45"/>
        <v>0.96325385971792299</v>
      </c>
      <c r="G327">
        <f t="shared" si="46"/>
        <v>0.4036529102963009</v>
      </c>
      <c r="H327">
        <f t="shared" si="47"/>
        <v>0.58057241409606009</v>
      </c>
    </row>
    <row r="328" spans="1:8" x14ac:dyDescent="0.35">
      <c r="A328">
        <v>328</v>
      </c>
      <c r="B328">
        <f t="shared" si="42"/>
        <v>0.9758454134397252</v>
      </c>
      <c r="C328">
        <f t="shared" si="43"/>
        <v>0.56046810279226011</v>
      </c>
      <c r="D328">
        <f t="shared" si="44"/>
        <v>0.82817601133602303</v>
      </c>
      <c r="E328">
        <v>328</v>
      </c>
      <c r="F328">
        <f t="shared" si="45"/>
        <v>0.9758454134397252</v>
      </c>
      <c r="G328">
        <f t="shared" si="46"/>
        <v>0.39631079612316639</v>
      </c>
      <c r="H328">
        <f t="shared" si="47"/>
        <v>0.58560887363172931</v>
      </c>
    </row>
    <row r="329" spans="1:8" x14ac:dyDescent="0.35">
      <c r="A329">
        <v>329</v>
      </c>
      <c r="B329">
        <f t="shared" si="42"/>
        <v>0.98843696716152829</v>
      </c>
      <c r="C329">
        <f t="shared" si="43"/>
        <v>0.5499959258636945</v>
      </c>
      <c r="D329">
        <f t="shared" si="44"/>
        <v>0.83516733744402227</v>
      </c>
      <c r="E329">
        <v>329</v>
      </c>
      <c r="F329">
        <f t="shared" si="45"/>
        <v>0.98843696716152829</v>
      </c>
      <c r="G329">
        <f t="shared" si="46"/>
        <v>0.38890584880319229</v>
      </c>
      <c r="H329">
        <f t="shared" si="47"/>
        <v>0.59055248773218216</v>
      </c>
    </row>
    <row r="330" spans="1:8" x14ac:dyDescent="0.35">
      <c r="A330">
        <v>330</v>
      </c>
      <c r="B330">
        <f t="shared" si="42"/>
        <v>1.0010285208833314</v>
      </c>
      <c r="C330">
        <f t="shared" si="43"/>
        <v>0.53943654975935906</v>
      </c>
      <c r="D330">
        <f t="shared" si="44"/>
        <v>0.84202625183762447</v>
      </c>
      <c r="E330">
        <v>330</v>
      </c>
      <c r="F330">
        <f t="shared" si="45"/>
        <v>1.0010285208833314</v>
      </c>
      <c r="G330">
        <f t="shared" si="46"/>
        <v>0.38143924235471754</v>
      </c>
      <c r="H330">
        <f t="shared" si="47"/>
        <v>0.59540247261147627</v>
      </c>
    </row>
    <row r="331" spans="1:8" x14ac:dyDescent="0.35">
      <c r="A331">
        <v>331</v>
      </c>
      <c r="B331">
        <f t="shared" si="42"/>
        <v>1.0136200746051336</v>
      </c>
      <c r="C331">
        <f t="shared" si="43"/>
        <v>0.52879164861691552</v>
      </c>
      <c r="D331">
        <f t="shared" si="44"/>
        <v>0.84875166706935223</v>
      </c>
      <c r="E331">
        <v>331</v>
      </c>
      <c r="F331">
        <f t="shared" si="45"/>
        <v>1.0136200746051336</v>
      </c>
      <c r="G331">
        <f t="shared" si="46"/>
        <v>0.37391216057183529</v>
      </c>
      <c r="H331">
        <f t="shared" si="47"/>
        <v>0.60015805932812627</v>
      </c>
    </row>
    <row r="332" spans="1:8" x14ac:dyDescent="0.35">
      <c r="A332">
        <v>332</v>
      </c>
      <c r="B332">
        <f t="shared" si="42"/>
        <v>1.0262116283269367</v>
      </c>
      <c r="C332">
        <f t="shared" si="43"/>
        <v>0.51806291013360184</v>
      </c>
      <c r="D332">
        <f t="shared" si="44"/>
        <v>0.85534251685737195</v>
      </c>
      <c r="E332">
        <v>332</v>
      </c>
      <c r="F332">
        <f t="shared" si="45"/>
        <v>1.0262116283269367</v>
      </c>
      <c r="G332">
        <f t="shared" si="46"/>
        <v>0.36632579683670707</v>
      </c>
      <c r="H332">
        <f t="shared" si="47"/>
        <v>0.60481849390701692</v>
      </c>
    </row>
    <row r="333" spans="1:8" x14ac:dyDescent="0.35">
      <c r="A333">
        <v>333</v>
      </c>
      <c r="B333">
        <f t="shared" si="42"/>
        <v>1.0388031820487398</v>
      </c>
      <c r="C333">
        <f t="shared" si="43"/>
        <v>0.50725203529866036</v>
      </c>
      <c r="D333">
        <f t="shared" si="44"/>
        <v>0.86179775625454413</v>
      </c>
      <c r="E333">
        <v>333</v>
      </c>
      <c r="F333">
        <f t="shared" si="45"/>
        <v>1.0388031820487398</v>
      </c>
      <c r="G333">
        <f t="shared" si="46"/>
        <v>0.35868135393036099</v>
      </c>
      <c r="H333">
        <f t="shared" si="47"/>
        <v>0.60938303745893996</v>
      </c>
    </row>
    <row r="334" spans="1:8" x14ac:dyDescent="0.35">
      <c r="A334">
        <v>334</v>
      </c>
      <c r="B334">
        <f t="shared" si="42"/>
        <v>1.051394735770542</v>
      </c>
      <c r="C334">
        <f t="shared" si="43"/>
        <v>0.496360738123652</v>
      </c>
      <c r="D334">
        <f t="shared" si="44"/>
        <v>0.86811636181409657</v>
      </c>
      <c r="E334">
        <v>334</v>
      </c>
      <c r="F334">
        <f t="shared" si="45"/>
        <v>1.051394735770542</v>
      </c>
      <c r="G334">
        <f t="shared" si="46"/>
        <v>0.35098004384199466</v>
      </c>
      <c r="H334">
        <f t="shared" si="47"/>
        <v>0.6138509662977425</v>
      </c>
    </row>
    <row r="335" spans="1:8" x14ac:dyDescent="0.35">
      <c r="A335">
        <v>335</v>
      </c>
      <c r="B335">
        <f t="shared" si="42"/>
        <v>1.0639862894923451</v>
      </c>
      <c r="C335">
        <f t="shared" si="43"/>
        <v>0.48539074537070576</v>
      </c>
      <c r="D335">
        <f t="shared" si="44"/>
        <v>0.87429733175188784</v>
      </c>
      <c r="E335">
        <v>335</v>
      </c>
      <c r="F335">
        <f t="shared" si="45"/>
        <v>1.0639862894923451</v>
      </c>
      <c r="G335">
        <f t="shared" si="46"/>
        <v>0.34322308757681907</v>
      </c>
      <c r="H335">
        <f t="shared" si="47"/>
        <v>0.61822157205506489</v>
      </c>
    </row>
    <row r="336" spans="1:8" x14ac:dyDescent="0.35">
      <c r="A336">
        <v>336</v>
      </c>
      <c r="B336">
        <f t="shared" si="42"/>
        <v>1.0765778432141482</v>
      </c>
      <c r="C336">
        <f t="shared" si="43"/>
        <v>0.4743437962787535</v>
      </c>
      <c r="D336">
        <f t="shared" si="44"/>
        <v>0.88033968610523317</v>
      </c>
      <c r="E336">
        <v>336</v>
      </c>
      <c r="F336">
        <f t="shared" si="45"/>
        <v>1.0765778432141482</v>
      </c>
      <c r="G336">
        <f t="shared" si="46"/>
        <v>0.33541171496247707</v>
      </c>
      <c r="H336">
        <f t="shared" si="47"/>
        <v>0.62249416179264749</v>
      </c>
    </row>
    <row r="337" spans="1:8" x14ac:dyDescent="0.35">
      <c r="A337">
        <v>337</v>
      </c>
      <c r="B337">
        <f t="shared" si="42"/>
        <v>1.0891693969359504</v>
      </c>
      <c r="C337">
        <f t="shared" si="43"/>
        <v>0.46322164228778012</v>
      </c>
      <c r="D337">
        <f t="shared" si="44"/>
        <v>0.88624246688827313</v>
      </c>
      <c r="E337">
        <v>337</v>
      </c>
      <c r="F337">
        <f t="shared" si="45"/>
        <v>1.0891693969359504</v>
      </c>
      <c r="G337">
        <f t="shared" si="46"/>
        <v>0.32754716445405874</v>
      </c>
      <c r="H337">
        <f t="shared" si="47"/>
        <v>0.62666805811219273</v>
      </c>
    </row>
    <row r="338" spans="1:8" x14ac:dyDescent="0.35">
      <c r="A338">
        <v>338</v>
      </c>
      <c r="B338">
        <f t="shared" si="42"/>
        <v>1.1017609506577535</v>
      </c>
      <c r="C338">
        <f t="shared" si="43"/>
        <v>0.4520260467611385</v>
      </c>
      <c r="D338">
        <f t="shared" si="44"/>
        <v>0.89200473824385995</v>
      </c>
      <c r="E338">
        <v>338</v>
      </c>
      <c r="F338">
        <f t="shared" si="45"/>
        <v>1.1017609506577535</v>
      </c>
      <c r="G338">
        <f t="shared" si="46"/>
        <v>0.31963068293774866</v>
      </c>
      <c r="H338">
        <f t="shared" si="47"/>
        <v>0.6307425992627651</v>
      </c>
    </row>
    <row r="339" spans="1:8" x14ac:dyDescent="0.35">
      <c r="A339">
        <v>339</v>
      </c>
      <c r="B339">
        <f t="shared" si="42"/>
        <v>1.1143525043795566</v>
      </c>
      <c r="C339">
        <f t="shared" si="43"/>
        <v>0.44075878470598173</v>
      </c>
      <c r="D339">
        <f t="shared" si="44"/>
        <v>0.89762558659192981</v>
      </c>
      <c r="E339">
        <v>339</v>
      </c>
      <c r="F339">
        <f t="shared" si="45"/>
        <v>1.1143525043795566</v>
      </c>
      <c r="G339">
        <f t="shared" si="46"/>
        <v>0.31166352553314147</v>
      </c>
      <c r="H339">
        <f t="shared" si="47"/>
        <v>0.6347171392457065</v>
      </c>
    </row>
    <row r="340" spans="1:8" x14ac:dyDescent="0.35">
      <c r="A340">
        <v>340</v>
      </c>
      <c r="B340">
        <f t="shared" si="42"/>
        <v>1.1269440581013588</v>
      </c>
      <c r="C340">
        <f t="shared" si="43"/>
        <v>0.42942164249184217</v>
      </c>
      <c r="D340">
        <f t="shared" si="44"/>
        <v>0.90310412077434821</v>
      </c>
      <c r="E340">
        <v>340</v>
      </c>
      <c r="F340">
        <f t="shared" si="45"/>
        <v>1.1269440581013588</v>
      </c>
      <c r="G340">
        <f t="shared" si="46"/>
        <v>0.30364695539424708</v>
      </c>
      <c r="H340">
        <f t="shared" si="47"/>
        <v>0.6385910479170569</v>
      </c>
    </row>
    <row r="341" spans="1:8" x14ac:dyDescent="0.35">
      <c r="A341">
        <v>341</v>
      </c>
      <c r="B341">
        <f t="shared" si="42"/>
        <v>1.1395356118231619</v>
      </c>
      <c r="C341">
        <f t="shared" si="43"/>
        <v>0.41801641756740859</v>
      </c>
      <c r="D341">
        <f t="shared" si="44"/>
        <v>0.90843947219619969</v>
      </c>
      <c r="E341">
        <v>341</v>
      </c>
      <c r="F341">
        <f t="shared" si="45"/>
        <v>1.1395356118231619</v>
      </c>
      <c r="G341">
        <f t="shared" si="46"/>
        <v>0.2955822435092223</v>
      </c>
      <c r="H341">
        <f t="shared" si="47"/>
        <v>0.64236371108746138</v>
      </c>
    </row>
    <row r="342" spans="1:8" x14ac:dyDescent="0.35">
      <c r="A342">
        <v>342</v>
      </c>
      <c r="B342">
        <f t="shared" si="42"/>
        <v>1.152127165544965</v>
      </c>
      <c r="C342">
        <f t="shared" si="43"/>
        <v>0.40654491817555433</v>
      </c>
      <c r="D342">
        <f t="shared" si="44"/>
        <v>0.91363079496349719</v>
      </c>
      <c r="E342">
        <v>342</v>
      </c>
      <c r="F342">
        <f t="shared" si="45"/>
        <v>1.152127165544965</v>
      </c>
      <c r="G342">
        <f t="shared" si="46"/>
        <v>0.28747066849886477</v>
      </c>
      <c r="H342">
        <f t="shared" si="47"/>
        <v>0.64603453061954552</v>
      </c>
    </row>
    <row r="343" spans="1:8" x14ac:dyDescent="0.35">
      <c r="A343">
        <v>343</v>
      </c>
      <c r="B343">
        <f t="shared" si="42"/>
        <v>1.1647187192667672</v>
      </c>
      <c r="C343">
        <f t="shared" si="43"/>
        <v>0.39500896306664679</v>
      </c>
      <c r="D343">
        <f t="shared" si="44"/>
        <v>0.91867726601729538</v>
      </c>
      <c r="E343">
        <v>343</v>
      </c>
      <c r="F343">
        <f t="shared" si="45"/>
        <v>1.1647187192667672</v>
      </c>
      <c r="G343">
        <f t="shared" si="46"/>
        <v>0.27931351641389263</v>
      </c>
      <c r="H343">
        <f t="shared" si="47"/>
        <v>0.64960292452274782</v>
      </c>
    </row>
    <row r="344" spans="1:8" x14ac:dyDescent="0.35">
      <c r="A344">
        <v>344</v>
      </c>
      <c r="B344">
        <f t="shared" si="42"/>
        <v>1.1773102729885703</v>
      </c>
      <c r="C344">
        <f t="shared" si="43"/>
        <v>0.38341038121019116</v>
      </c>
      <c r="D344">
        <f t="shared" si="44"/>
        <v>0.92357808526418372</v>
      </c>
      <c r="E344">
        <v>344</v>
      </c>
      <c r="F344">
        <f t="shared" si="45"/>
        <v>1.1773102729885703</v>
      </c>
      <c r="G344">
        <f t="shared" si="46"/>
        <v>0.27111208053104563</v>
      </c>
      <c r="H344">
        <f t="shared" si="47"/>
        <v>0.65306832704559215</v>
      </c>
    </row>
    <row r="345" spans="1:8" x14ac:dyDescent="0.35">
      <c r="A345">
        <v>345</v>
      </c>
      <c r="B345">
        <f t="shared" si="42"/>
        <v>1.1899018267103734</v>
      </c>
      <c r="C345">
        <f t="shared" si="43"/>
        <v>0.37175101150486073</v>
      </c>
      <c r="D345">
        <f t="shared" si="44"/>
        <v>0.9283324757031356</v>
      </c>
      <c r="E345">
        <v>345</v>
      </c>
      <c r="F345">
        <f t="shared" si="45"/>
        <v>1.1899018267103734</v>
      </c>
      <c r="G345">
        <f t="shared" si="46"/>
        <v>0.26286766114804544</v>
      </c>
      <c r="H345">
        <f t="shared" si="47"/>
        <v>0.6564301887653835</v>
      </c>
    </row>
    <row r="346" spans="1:8" x14ac:dyDescent="0.35">
      <c r="A346">
        <v>346</v>
      </c>
      <c r="B346">
        <f t="shared" si="42"/>
        <v>1.2024933804321756</v>
      </c>
      <c r="C346">
        <f t="shared" si="43"/>
        <v>0.3600327024869463</v>
      </c>
      <c r="D346">
        <f t="shared" si="44"/>
        <v>0.93293968354869872</v>
      </c>
      <c r="E346">
        <v>346</v>
      </c>
      <c r="F346">
        <f t="shared" si="45"/>
        <v>1.2024933804321756</v>
      </c>
      <c r="G346">
        <f t="shared" si="46"/>
        <v>0.2545815653774387</v>
      </c>
      <c r="H346">
        <f t="shared" si="47"/>
        <v>0.65968797667531709</v>
      </c>
    </row>
    <row r="347" spans="1:8" x14ac:dyDescent="0.35">
      <c r="A347">
        <v>347</v>
      </c>
      <c r="B347">
        <f t="shared" si="42"/>
        <v>1.2150849341539787</v>
      </c>
      <c r="C347">
        <f t="shared" si="43"/>
        <v>0.34825731203727722</v>
      </c>
      <c r="D347">
        <f t="shared" si="44"/>
        <v>0.93739897835050501</v>
      </c>
      <c r="E347">
        <v>347</v>
      </c>
      <c r="F347">
        <f t="shared" si="45"/>
        <v>1.2150849341539787</v>
      </c>
      <c r="G347">
        <f t="shared" si="46"/>
        <v>0.24625510693935837</v>
      </c>
      <c r="H347">
        <f t="shared" si="47"/>
        <v>0.66284117426898426</v>
      </c>
    </row>
    <row r="348" spans="1:8" x14ac:dyDescent="0.35">
      <c r="A348">
        <v>348</v>
      </c>
      <c r="B348">
        <f t="shared" si="42"/>
        <v>1.2276764878757818</v>
      </c>
      <c r="C348">
        <f t="shared" si="43"/>
        <v>0.33642670708666833</v>
      </c>
      <c r="D348">
        <f t="shared" si="44"/>
        <v>0.9417096531090785</v>
      </c>
      <c r="E348">
        <v>348</v>
      </c>
      <c r="F348">
        <f t="shared" si="45"/>
        <v>1.2276764878757818</v>
      </c>
      <c r="G348">
        <f t="shared" si="46"/>
        <v>0.23788960595324365</v>
      </c>
      <c r="H348">
        <f t="shared" si="47"/>
        <v>0.66588928162226124</v>
      </c>
    </row>
    <row r="349" spans="1:8" x14ac:dyDescent="0.35">
      <c r="A349">
        <v>349</v>
      </c>
      <c r="B349">
        <f t="shared" si="42"/>
        <v>1.240268041597584</v>
      </c>
      <c r="C349">
        <f t="shared" si="43"/>
        <v>0.32454276331992477</v>
      </c>
      <c r="D349">
        <f t="shared" si="44"/>
        <v>0.94587102438792747</v>
      </c>
      <c r="E349">
        <v>349</v>
      </c>
      <c r="F349">
        <f t="shared" si="45"/>
        <v>1.240268041597584</v>
      </c>
      <c r="G349">
        <f t="shared" si="46"/>
        <v>0.22948638872853969</v>
      </c>
      <c r="H349">
        <f t="shared" si="47"/>
        <v>0.6688318154725702</v>
      </c>
    </row>
    <row r="350" spans="1:8" x14ac:dyDescent="0.35">
      <c r="A350">
        <v>350</v>
      </c>
      <c r="B350">
        <f t="shared" si="42"/>
        <v>1.2528595953193871</v>
      </c>
      <c r="C350">
        <f t="shared" si="43"/>
        <v>0.31260736487845869</v>
      </c>
      <c r="D350">
        <f t="shared" si="44"/>
        <v>0.9498824324219004</v>
      </c>
      <c r="E350">
        <v>350</v>
      </c>
      <c r="F350">
        <f t="shared" si="45"/>
        <v>1.2528595953193871</v>
      </c>
      <c r="G350">
        <f t="shared" si="46"/>
        <v>0.22104678755441567</v>
      </c>
      <c r="H350">
        <f t="shared" si="47"/>
        <v>0.6716683092954987</v>
      </c>
    </row>
    <row r="351" spans="1:8" x14ac:dyDescent="0.35">
      <c r="A351">
        <v>351</v>
      </c>
      <c r="B351">
        <f t="shared" si="42"/>
        <v>1.2654511490411902</v>
      </c>
      <c r="C351">
        <f t="shared" si="43"/>
        <v>0.30062240406157281</v>
      </c>
      <c r="D351">
        <f t="shared" si="44"/>
        <v>0.95374324122178733</v>
      </c>
      <c r="E351">
        <v>351</v>
      </c>
      <c r="F351">
        <f t="shared" si="45"/>
        <v>1.2654511490411902</v>
      </c>
      <c r="G351">
        <f t="shared" si="46"/>
        <v>0.21257214048854059</v>
      </c>
      <c r="H351">
        <f t="shared" si="47"/>
        <v>0.67439831337876344</v>
      </c>
    </row>
    <row r="352" spans="1:8" x14ac:dyDescent="0.35">
      <c r="A352">
        <v>352</v>
      </c>
      <c r="B352">
        <f t="shared" si="42"/>
        <v>1.2780427027629924</v>
      </c>
      <c r="C352">
        <f t="shared" si="43"/>
        <v>0.28858978102644323</v>
      </c>
      <c r="D352">
        <f t="shared" si="44"/>
        <v>0.95745283867515352</v>
      </c>
      <c r="E352">
        <v>352</v>
      </c>
      <c r="F352">
        <f t="shared" si="45"/>
        <v>1.2780427027629924</v>
      </c>
      <c r="G352">
        <f t="shared" si="46"/>
        <v>0.204063791144939</v>
      </c>
      <c r="H352">
        <f t="shared" si="47"/>
        <v>0.67702139489351099</v>
      </c>
    </row>
    <row r="353" spans="1:8" x14ac:dyDescent="0.35">
      <c r="A353">
        <v>353</v>
      </c>
      <c r="B353">
        <f t="shared" si="42"/>
        <v>1.2906342564847955</v>
      </c>
      <c r="C353">
        <f t="shared" si="43"/>
        <v>0.27651140348685604</v>
      </c>
      <c r="D353">
        <f t="shared" si="44"/>
        <v>0.96101063664338759</v>
      </c>
      <c r="E353">
        <v>353</v>
      </c>
      <c r="F353">
        <f t="shared" si="45"/>
        <v>1.2906342564847955</v>
      </c>
      <c r="G353">
        <f t="shared" si="46"/>
        <v>0.19552308848096561</v>
      </c>
      <c r="H353">
        <f t="shared" si="47"/>
        <v>0.67953713796294113</v>
      </c>
    </row>
    <row r="354" spans="1:8" x14ac:dyDescent="0.35">
      <c r="A354">
        <v>354</v>
      </c>
      <c r="B354">
        <f t="shared" si="42"/>
        <v>1.3032258102065986</v>
      </c>
      <c r="C354">
        <f t="shared" si="43"/>
        <v>0.26438918641075382</v>
      </c>
      <c r="D354">
        <f t="shared" si="44"/>
        <v>0.96441607105494653</v>
      </c>
      <c r="E354">
        <v>354</v>
      </c>
      <c r="F354">
        <f t="shared" si="45"/>
        <v>1.3032258102065986</v>
      </c>
      <c r="G354">
        <f t="shared" si="46"/>
        <v>0.18695138658343835</v>
      </c>
      <c r="H354">
        <f t="shared" si="47"/>
        <v>0.68194514372824044</v>
      </c>
    </row>
    <row r="355" spans="1:8" x14ac:dyDescent="0.35">
      <c r="A355">
        <v>355</v>
      </c>
      <c r="B355">
        <f t="shared" si="42"/>
        <v>1.3158173639284008</v>
      </c>
      <c r="C355">
        <f t="shared" si="43"/>
        <v>0.25222505171662413</v>
      </c>
      <c r="D355">
        <f t="shared" si="44"/>
        <v>0.96766860199478744</v>
      </c>
      <c r="E355">
        <v>355</v>
      </c>
      <c r="F355">
        <f t="shared" si="45"/>
        <v>1.3158173639284008</v>
      </c>
      <c r="G355">
        <f t="shared" si="46"/>
        <v>0.17835004445395269</v>
      </c>
      <c r="H355">
        <f t="shared" si="47"/>
        <v>0.68424503041182094</v>
      </c>
    </row>
    <row r="356" spans="1:8" x14ac:dyDescent="0.35">
      <c r="A356">
        <v>356</v>
      </c>
      <c r="B356">
        <f t="shared" si="42"/>
        <v>1.3284089176502039</v>
      </c>
      <c r="C356">
        <f t="shared" si="43"/>
        <v>0.24002092796878616</v>
      </c>
      <c r="D356">
        <f t="shared" si="44"/>
        <v>0.97076771378996884</v>
      </c>
      <c r="E356">
        <v>356</v>
      </c>
      <c r="F356">
        <f t="shared" si="45"/>
        <v>1.3284089176502039</v>
      </c>
      <c r="G356">
        <f t="shared" si="46"/>
        <v>0.16972042579341667</v>
      </c>
      <c r="H356">
        <f t="shared" si="47"/>
        <v>0.68643643337784899</v>
      </c>
    </row>
    <row r="357" spans="1:8" x14ac:dyDescent="0.35">
      <c r="A357">
        <v>357</v>
      </c>
      <c r="B357">
        <f t="shared" si="42"/>
        <v>1.341000471372007</v>
      </c>
      <c r="C357">
        <f t="shared" si="43"/>
        <v>0.22777875007163151</v>
      </c>
      <c r="D357">
        <f t="shared" si="44"/>
        <v>0.97371291509140678</v>
      </c>
      <c r="E357">
        <v>357</v>
      </c>
      <c r="F357">
        <f t="shared" si="45"/>
        <v>1.341000471372007</v>
      </c>
      <c r="G357">
        <f t="shared" si="46"/>
        <v>0.16106389878584654</v>
      </c>
      <c r="H357">
        <f t="shared" si="47"/>
        <v>0.68851900519005516</v>
      </c>
    </row>
    <row r="358" spans="1:8" x14ac:dyDescent="0.35">
      <c r="A358">
        <v>358</v>
      </c>
      <c r="B358">
        <f t="shared" si="42"/>
        <v>1.3535920250938092</v>
      </c>
      <c r="C358">
        <f t="shared" si="43"/>
        <v>0.21550045896285175</v>
      </c>
      <c r="D358">
        <f t="shared" si="44"/>
        <v>0.976503738951777</v>
      </c>
      <c r="E358">
        <v>358</v>
      </c>
      <c r="F358">
        <f t="shared" si="45"/>
        <v>1.3535920250938092</v>
      </c>
      <c r="G358">
        <f t="shared" si="46"/>
        <v>0.15238183588144588</v>
      </c>
      <c r="H358">
        <f t="shared" si="47"/>
        <v>0.69049241566682018</v>
      </c>
    </row>
    <row r="359" spans="1:8" x14ac:dyDescent="0.35">
      <c r="A359">
        <v>359</v>
      </c>
      <c r="B359">
        <f t="shared" si="42"/>
        <v>1.3661835788156123</v>
      </c>
      <c r="C359">
        <f t="shared" si="43"/>
        <v>0.20318800130570971</v>
      </c>
      <c r="D359">
        <f t="shared" si="44"/>
        <v>0.97913974289954697</v>
      </c>
      <c r="E359">
        <v>359</v>
      </c>
      <c r="F359">
        <f t="shared" si="45"/>
        <v>1.3661835788156123</v>
      </c>
      <c r="G359">
        <f t="shared" si="46"/>
        <v>0.14367561357900852</v>
      </c>
      <c r="H359">
        <f t="shared" si="47"/>
        <v>0.69235635193352285</v>
      </c>
    </row>
    <row r="360" spans="1:8" x14ac:dyDescent="0.35">
      <c r="A360">
        <v>360</v>
      </c>
      <c r="B360">
        <f t="shared" si="42"/>
        <v>1.3787751325374153</v>
      </c>
      <c r="C360">
        <f t="shared" si="43"/>
        <v>0.19084332918041072</v>
      </c>
      <c r="D360">
        <f t="shared" si="44"/>
        <v>0.9816205090091269</v>
      </c>
      <c r="E360">
        <v>360</v>
      </c>
      <c r="F360">
        <f t="shared" si="45"/>
        <v>1.3787751325374153</v>
      </c>
      <c r="G360">
        <f t="shared" si="46"/>
        <v>0.13494661220768503</v>
      </c>
      <c r="H360">
        <f t="shared" si="47"/>
        <v>0.69411051847214456</v>
      </c>
    </row>
    <row r="361" spans="1:8" x14ac:dyDescent="0.35">
      <c r="A361">
        <v>361</v>
      </c>
      <c r="B361">
        <f t="shared" si="42"/>
        <v>1.3913666862592176</v>
      </c>
      <c r="C361">
        <f t="shared" si="43"/>
        <v>0.17846839977460716</v>
      </c>
      <c r="D361">
        <f t="shared" si="44"/>
        <v>0.98394564396713047</v>
      </c>
      <c r="E361">
        <v>361</v>
      </c>
      <c r="F361">
        <f t="shared" si="45"/>
        <v>1.3913666862592176</v>
      </c>
      <c r="G361">
        <f t="shared" si="46"/>
        <v>0.12619621570813652</v>
      </c>
      <c r="H361">
        <f t="shared" si="47"/>
        <v>0.6957546371681228</v>
      </c>
    </row>
    <row r="362" spans="1:8" x14ac:dyDescent="0.35">
      <c r="A362">
        <v>362</v>
      </c>
      <c r="B362">
        <f t="shared" si="42"/>
        <v>1.4039582399810207</v>
      </c>
      <c r="C362">
        <f t="shared" si="43"/>
        <v>0.16606517507309324</v>
      </c>
      <c r="D362">
        <f t="shared" si="44"/>
        <v>0.98611477913473278</v>
      </c>
      <c r="E362">
        <v>362</v>
      </c>
      <c r="F362">
        <f t="shared" si="45"/>
        <v>1.4039582399810207</v>
      </c>
      <c r="G362">
        <f t="shared" si="46"/>
        <v>0.11742581141311553</v>
      </c>
      <c r="H362">
        <f t="shared" si="47"/>
        <v>0.69728844735444462</v>
      </c>
    </row>
    <row r="363" spans="1:8" x14ac:dyDescent="0.35">
      <c r="A363">
        <v>363</v>
      </c>
      <c r="B363">
        <f t="shared" si="42"/>
        <v>1.4165497937028237</v>
      </c>
      <c r="C363">
        <f t="shared" si="43"/>
        <v>0.15363562154674718</v>
      </c>
      <c r="D363">
        <f t="shared" si="44"/>
        <v>0.988127570606116</v>
      </c>
      <c r="E363">
        <v>363</v>
      </c>
      <c r="F363">
        <f t="shared" si="45"/>
        <v>1.4165497937028237</v>
      </c>
      <c r="G363">
        <f t="shared" si="46"/>
        <v>0.10863678982751505</v>
      </c>
      <c r="H363">
        <f t="shared" si="47"/>
        <v>0.69871170585297415</v>
      </c>
    </row>
    <row r="364" spans="1:8" x14ac:dyDescent="0.35">
      <c r="A364">
        <v>364</v>
      </c>
      <c r="B364">
        <f t="shared" si="42"/>
        <v>1.429141347424626</v>
      </c>
      <c r="C364">
        <f t="shared" si="43"/>
        <v>0.14118170984075415</v>
      </c>
      <c r="D364">
        <f t="shared" si="44"/>
        <v>0.98998369926299346</v>
      </c>
      <c r="E364">
        <v>364</v>
      </c>
      <c r="F364">
        <f t="shared" si="45"/>
        <v>1.429141347424626</v>
      </c>
      <c r="G364">
        <f t="shared" si="46"/>
        <v>9.9830544407908853E-2</v>
      </c>
      <c r="H364">
        <f t="shared" si="47"/>
        <v>0.70002418701300684</v>
      </c>
    </row>
    <row r="365" spans="1:8" x14ac:dyDescent="0.35">
      <c r="A365">
        <v>365</v>
      </c>
      <c r="B365">
        <f t="shared" si="42"/>
        <v>1.441732901146429</v>
      </c>
      <c r="C365">
        <f t="shared" si="43"/>
        <v>0.12870541446216746</v>
      </c>
      <c r="D365">
        <f t="shared" si="44"/>
        <v>0.99168287082520579</v>
      </c>
      <c r="E365">
        <v>365</v>
      </c>
      <c r="F365">
        <f t="shared" si="45"/>
        <v>1.441732901146429</v>
      </c>
      <c r="G365">
        <f t="shared" si="46"/>
        <v>9.100847134162382E-2</v>
      </c>
      <c r="H365">
        <f t="shared" si="47"/>
        <v>0.70122568274704655</v>
      </c>
    </row>
    <row r="366" spans="1:8" x14ac:dyDescent="0.35">
      <c r="A366">
        <v>366</v>
      </c>
      <c r="B366">
        <f t="shared" si="42"/>
        <v>1.4543244548682321</v>
      </c>
      <c r="C366">
        <f t="shared" si="43"/>
        <v>0.11620871346686536</v>
      </c>
      <c r="D366">
        <f t="shared" si="44"/>
        <v>0.99322481589737577</v>
      </c>
      <c r="E366">
        <v>366</v>
      </c>
      <c r="F366">
        <f t="shared" si="45"/>
        <v>1.4543244548682321</v>
      </c>
      <c r="G366">
        <f t="shared" si="46"/>
        <v>8.2171969325385022E-2</v>
      </c>
      <c r="H366">
        <f t="shared" si="47"/>
        <v>0.70231600256379512</v>
      </c>
    </row>
    <row r="367" spans="1:8" x14ac:dyDescent="0.35">
      <c r="A367">
        <v>367</v>
      </c>
      <c r="B367">
        <f t="shared" si="42"/>
        <v>1.4669160085900343</v>
      </c>
      <c r="C367">
        <f t="shared" si="43"/>
        <v>0.10369358814593721</v>
      </c>
      <c r="D367">
        <f t="shared" si="44"/>
        <v>0.99460929001162102</v>
      </c>
      <c r="E367">
        <v>367</v>
      </c>
      <c r="F367">
        <f t="shared" si="45"/>
        <v>1.4669160085900343</v>
      </c>
      <c r="G367">
        <f t="shared" si="46"/>
        <v>7.3322439343557255E-2</v>
      </c>
      <c r="H367">
        <f t="shared" si="47"/>
        <v>0.70329497359835513</v>
      </c>
    </row>
    <row r="368" spans="1:8" x14ac:dyDescent="0.35">
      <c r="A368">
        <v>368</v>
      </c>
      <c r="B368">
        <f t="shared" si="42"/>
        <v>1.4795075623118374</v>
      </c>
      <c r="C368">
        <f t="shared" si="43"/>
        <v>9.1162022711556878E-2</v>
      </c>
      <c r="D368">
        <f t="shared" si="44"/>
        <v>0.99583607366631266</v>
      </c>
      <c r="E368">
        <v>368</v>
      </c>
      <c r="F368">
        <f t="shared" si="45"/>
        <v>1.4795075623118374</v>
      </c>
      <c r="G368">
        <f t="shared" si="46"/>
        <v>6.4461284446023975E-2</v>
      </c>
      <c r="H368">
        <f t="shared" si="47"/>
        <v>0.70416244063963651</v>
      </c>
    </row>
    <row r="369" spans="1:8" x14ac:dyDescent="0.35">
      <c r="A369">
        <v>369</v>
      </c>
      <c r="B369">
        <f t="shared" si="42"/>
        <v>1.4920991160336405</v>
      </c>
      <c r="C369">
        <f t="shared" si="43"/>
        <v>7.8616003982400817E-2</v>
      </c>
      <c r="D369">
        <f t="shared" si="44"/>
        <v>0.99690497236087605</v>
      </c>
      <c r="E369">
        <v>369</v>
      </c>
      <c r="F369">
        <f t="shared" si="45"/>
        <v>1.4920991160336405</v>
      </c>
      <c r="G369">
        <f t="shared" si="46"/>
        <v>5.5589909525744281E-2</v>
      </c>
      <c r="H369">
        <f t="shared" si="47"/>
        <v>0.70491826615496367</v>
      </c>
    </row>
    <row r="370" spans="1:8" x14ac:dyDescent="0.35">
      <c r="A370">
        <v>370</v>
      </c>
      <c r="B370">
        <f t="shared" si="42"/>
        <v>1.5046906697554427</v>
      </c>
      <c r="C370">
        <f t="shared" si="43"/>
        <v>6.6057521068644959E-2</v>
      </c>
      <c r="D370">
        <f t="shared" si="44"/>
        <v>0.99781581662662855</v>
      </c>
      <c r="E370">
        <v>370</v>
      </c>
      <c r="F370">
        <f t="shared" si="45"/>
        <v>1.5046906697554427</v>
      </c>
      <c r="G370">
        <f t="shared" si="46"/>
        <v>4.6709721096012118E-2</v>
      </c>
      <c r="H370">
        <f t="shared" si="47"/>
        <v>0.7055623303118822</v>
      </c>
    </row>
    <row r="371" spans="1:8" x14ac:dyDescent="0.35">
      <c r="A371">
        <v>371</v>
      </c>
      <c r="B371">
        <f t="shared" si="42"/>
        <v>1.5172822234772458</v>
      </c>
      <c r="C371">
        <f t="shared" si="43"/>
        <v>5.3488565056598353E-2</v>
      </c>
      <c r="D371">
        <f t="shared" si="44"/>
        <v>0.99856846205364713</v>
      </c>
      <c r="E371">
        <v>371</v>
      </c>
      <c r="F371">
        <f t="shared" si="45"/>
        <v>1.5172822234772458</v>
      </c>
      <c r="G371">
        <f t="shared" si="46"/>
        <v>3.7822127067458529E-2</v>
      </c>
      <c r="H371">
        <f t="shared" si="47"/>
        <v>0.70609453099715602</v>
      </c>
    </row>
    <row r="372" spans="1:8" x14ac:dyDescent="0.35">
      <c r="A372">
        <v>372</v>
      </c>
      <c r="B372">
        <f t="shared" si="42"/>
        <v>1.5298737771990489</v>
      </c>
      <c r="C372">
        <f t="shared" si="43"/>
        <v>4.091112869303147E-2</v>
      </c>
      <c r="D372">
        <f t="shared" si="44"/>
        <v>0.99916278931366442</v>
      </c>
      <c r="E372">
        <v>372</v>
      </c>
      <c r="F372">
        <f t="shared" si="45"/>
        <v>1.5298737771990489</v>
      </c>
      <c r="G372">
        <f t="shared" si="46"/>
        <v>2.8928536524838112E-2</v>
      </c>
      <c r="H372">
        <f t="shared" si="47"/>
        <v>0.70651478383295829</v>
      </c>
    </row>
    <row r="373" spans="1:8" x14ac:dyDescent="0.35">
      <c r="A373">
        <v>373</v>
      </c>
      <c r="B373">
        <f t="shared" si="42"/>
        <v>1.5424653309208511</v>
      </c>
      <c r="C373">
        <f t="shared" si="43"/>
        <v>2.8327206069233189E-2</v>
      </c>
      <c r="D373">
        <f t="shared" si="44"/>
        <v>0.99959870417898766</v>
      </c>
      <c r="E373">
        <v>373</v>
      </c>
      <c r="F373">
        <f t="shared" si="45"/>
        <v>1.5424653309208511</v>
      </c>
      <c r="G373">
        <f t="shared" si="46"/>
        <v>2.0030359503623529E-2</v>
      </c>
      <c r="H373">
        <f t="shared" si="47"/>
        <v>0.7068230221902484</v>
      </c>
    </row>
    <row r="374" spans="1:8" x14ac:dyDescent="0.35">
      <c r="A374">
        <v>374</v>
      </c>
      <c r="B374">
        <f t="shared" si="42"/>
        <v>1.5550568846426542</v>
      </c>
      <c r="C374">
        <f t="shared" si="43"/>
        <v>1.5738792304854712E-2</v>
      </c>
      <c r="D374">
        <f t="shared" si="44"/>
        <v>0.99987613753743754</v>
      </c>
      <c r="E374">
        <v>374</v>
      </c>
      <c r="F374">
        <f t="shared" si="45"/>
        <v>1.5550568846426542</v>
      </c>
      <c r="G374">
        <f t="shared" si="46"/>
        <v>1.1129006766449427E-2</v>
      </c>
      <c r="H374">
        <f t="shared" si="47"/>
        <v>0.70701919719933559</v>
      </c>
    </row>
    <row r="375" spans="1:8" x14ac:dyDescent="0.35">
      <c r="A375">
        <v>375</v>
      </c>
      <c r="B375">
        <f t="shared" si="42"/>
        <v>1.5676484383644573</v>
      </c>
      <c r="C375">
        <f t="shared" si="43"/>
        <v>3.1478832315983678E-3</v>
      </c>
      <c r="D375">
        <f t="shared" si="44"/>
        <v>0.99999504540330608</v>
      </c>
      <c r="E375">
        <v>375</v>
      </c>
      <c r="F375">
        <f t="shared" si="45"/>
        <v>1.5676484383644573</v>
      </c>
      <c r="G375">
        <f t="shared" si="46"/>
        <v>2.2258895794466309E-3</v>
      </c>
      <c r="H375">
        <f t="shared" si="47"/>
        <v>0.70710327775762771</v>
      </c>
    </row>
    <row r="376" spans="1:8" x14ac:dyDescent="0.35">
      <c r="A376">
        <v>376</v>
      </c>
      <c r="B376">
        <f t="shared" si="42"/>
        <v>1.5802399920862595</v>
      </c>
      <c r="C376">
        <f t="shared" si="43"/>
        <v>-9.4435249232144355E-3</v>
      </c>
      <c r="D376">
        <f t="shared" si="44"/>
        <v>0.99995540892433032</v>
      </c>
      <c r="E376">
        <v>376</v>
      </c>
      <c r="F376">
        <f t="shared" si="45"/>
        <v>1.5802399920862595</v>
      </c>
      <c r="G376">
        <f t="shared" si="46"/>
        <v>-6.6775805115091022E-3</v>
      </c>
      <c r="H376">
        <f t="shared" si="47"/>
        <v>0.70707525053456155</v>
      </c>
    </row>
    <row r="377" spans="1:8" x14ac:dyDescent="0.35">
      <c r="A377">
        <v>377</v>
      </c>
      <c r="B377">
        <f t="shared" si="42"/>
        <v>1.5928315458080626</v>
      </c>
      <c r="C377">
        <f t="shared" si="43"/>
        <v>-2.2033435853138009E-2</v>
      </c>
      <c r="D377">
        <f t="shared" si="44"/>
        <v>0.99975723438468078</v>
      </c>
      <c r="E377">
        <v>377</v>
      </c>
      <c r="F377">
        <f t="shared" si="45"/>
        <v>1.5928315458080626</v>
      </c>
      <c r="G377">
        <f t="shared" si="46"/>
        <v>-1.5579991904592699E-2</v>
      </c>
      <c r="H377">
        <f t="shared" si="47"/>
        <v>0.70693511997371683</v>
      </c>
    </row>
    <row r="378" spans="1:8" x14ac:dyDescent="0.35">
      <c r="A378">
        <v>378</v>
      </c>
      <c r="B378">
        <f t="shared" si="42"/>
        <v>1.6054230995298657</v>
      </c>
      <c r="C378">
        <f t="shared" si="43"/>
        <v>-3.461985348910171E-2</v>
      </c>
      <c r="D378">
        <f t="shared" si="44"/>
        <v>0.99940055320396592</v>
      </c>
      <c r="E378">
        <v>378</v>
      </c>
      <c r="F378">
        <f t="shared" si="45"/>
        <v>1.6054230995298657</v>
      </c>
      <c r="G378">
        <f t="shared" si="46"/>
        <v>-2.4479933165828593E-2</v>
      </c>
      <c r="H378">
        <f t="shared" si="47"/>
        <v>0.70668290829211178</v>
      </c>
    </row>
    <row r="379" spans="1:8" x14ac:dyDescent="0.35">
      <c r="A379">
        <v>379</v>
      </c>
      <c r="B379">
        <f t="shared" si="42"/>
        <v>1.6180146532516679</v>
      </c>
      <c r="C379">
        <f t="shared" si="43"/>
        <v>-4.7200782315879652E-2</v>
      </c>
      <c r="D379">
        <f t="shared" si="44"/>
        <v>0.99888542193224994</v>
      </c>
      <c r="E379">
        <v>379</v>
      </c>
      <c r="F379">
        <f t="shared" si="45"/>
        <v>1.6180146532516679</v>
      </c>
      <c r="G379">
        <f t="shared" si="46"/>
        <v>-3.3375993252868601E-2</v>
      </c>
      <c r="H379">
        <f t="shared" si="47"/>
        <v>0.70631865547668016</v>
      </c>
    </row>
    <row r="380" spans="1:8" x14ac:dyDescent="0.35">
      <c r="A380">
        <v>380</v>
      </c>
      <c r="B380">
        <f t="shared" si="42"/>
        <v>1.630606206973471</v>
      </c>
      <c r="C380">
        <f t="shared" si="43"/>
        <v>-5.977422768847257E-2</v>
      </c>
      <c r="D380">
        <f t="shared" si="44"/>
        <v>0.99821192224108735</v>
      </c>
      <c r="E380">
        <v>380</v>
      </c>
      <c r="F380">
        <f t="shared" si="45"/>
        <v>1.630606206973471</v>
      </c>
      <c r="G380">
        <f t="shared" si="46"/>
        <v>-4.2266761738707671E-2</v>
      </c>
      <c r="H380">
        <f t="shared" si="47"/>
        <v>0.70584241927793201</v>
      </c>
    </row>
    <row r="381" spans="1:8" x14ac:dyDescent="0.35">
      <c r="A381">
        <v>381</v>
      </c>
      <c r="B381">
        <f t="shared" si="42"/>
        <v>1.6431977606952741</v>
      </c>
      <c r="C381">
        <f t="shared" si="43"/>
        <v>-7.2338196148343761E-2</v>
      </c>
      <c r="D381">
        <f t="shared" si="44"/>
        <v>0.99738016091057469</v>
      </c>
      <c r="E381">
        <v>381</v>
      </c>
      <c r="F381">
        <f t="shared" si="45"/>
        <v>1.6431977606952741</v>
      </c>
      <c r="G381">
        <f t="shared" si="46"/>
        <v>-5.1150829035296504E-2</v>
      </c>
      <c r="H381">
        <f t="shared" si="47"/>
        <v>0.70525427520079775</v>
      </c>
    </row>
    <row r="382" spans="1:8" x14ac:dyDescent="0.35">
      <c r="A382">
        <v>382</v>
      </c>
      <c r="B382">
        <f t="shared" si="42"/>
        <v>1.6557893144170763</v>
      </c>
      <c r="C382">
        <f t="shared" si="43"/>
        <v>-8.4890695739474886E-2</v>
      </c>
      <c r="D382">
        <f t="shared" si="44"/>
        <v>0.9963902698124204</v>
      </c>
      <c r="E382">
        <v>382</v>
      </c>
      <c r="F382">
        <f t="shared" si="45"/>
        <v>1.6557893144170763</v>
      </c>
      <c r="G382">
        <f t="shared" si="46"/>
        <v>-6.0026786617026692E-2</v>
      </c>
      <c r="H382">
        <f t="shared" si="47"/>
        <v>0.70455431649265665</v>
      </c>
    </row>
    <row r="383" spans="1:8" x14ac:dyDescent="0.35">
      <c r="A383">
        <v>383</v>
      </c>
      <c r="B383">
        <f t="shared" si="42"/>
        <v>1.6683808681388794</v>
      </c>
      <c r="C383">
        <f t="shared" si="43"/>
        <v>-9.7429736324183544E-2</v>
      </c>
      <c r="D383">
        <f t="shared" si="44"/>
        <v>0.99524240588903767</v>
      </c>
      <c r="E383">
        <v>383</v>
      </c>
      <c r="F383">
        <f t="shared" si="45"/>
        <v>1.6683808681388794</v>
      </c>
      <c r="G383">
        <f t="shared" si="46"/>
        <v>-6.889322724404752E-2</v>
      </c>
      <c r="H383">
        <f t="shared" si="47"/>
        <v>0.70374265412855341</v>
      </c>
    </row>
    <row r="384" spans="1:8" x14ac:dyDescent="0.35">
      <c r="A384">
        <v>384</v>
      </c>
      <c r="B384">
        <f t="shared" si="42"/>
        <v>1.6809724218606825</v>
      </c>
      <c r="C384">
        <f t="shared" si="43"/>
        <v>-0.10995332989864461</v>
      </c>
      <c r="D384">
        <f t="shared" si="44"/>
        <v>0.99393675112866198</v>
      </c>
      <c r="E384">
        <v>384</v>
      </c>
      <c r="F384">
        <f t="shared" si="45"/>
        <v>1.6809724218606825</v>
      </c>
      <c r="G384">
        <f t="shared" si="46"/>
        <v>-7.7748745185373225E-2</v>
      </c>
      <c r="H384">
        <f t="shared" si="47"/>
        <v>0.70281941679360327</v>
      </c>
    </row>
    <row r="385" spans="1:8" x14ac:dyDescent="0.35">
      <c r="A385">
        <v>385</v>
      </c>
      <c r="B385">
        <f t="shared" ref="B385:B448" si="48">-3.14159265358979+(A385-1)*0.0125915537218028</f>
        <v>1.6935639755824847</v>
      </c>
      <c r="C385">
        <f t="shared" ref="C385:C448" si="49">1*COS(B385)+0</f>
        <v>-0.12245949090808123</v>
      </c>
      <c r="D385">
        <f t="shared" ref="D385:D448" si="50">1*SIN(B385)+0+0*COS(B385)</f>
        <v>0.99247351253649763</v>
      </c>
      <c r="E385">
        <v>385</v>
      </c>
      <c r="F385">
        <f t="shared" ref="F385:F448" si="51">-3.14159265358979+(E385-1)*0.0125915537218028</f>
        <v>1.6935639755824847</v>
      </c>
      <c r="G385">
        <f t="shared" ref="G385:G448" si="52">0.707106781186548*COS(F385)+0</f>
        <v>-8.6591936441756653E-2</v>
      </c>
      <c r="H385">
        <f t="shared" ref="H385:H448" si="53">0.707106781186548*SIN(F385)+0+0*COS(F385)</f>
        <v>0.70178475086258996</v>
      </c>
    </row>
    <row r="386" spans="1:8" x14ac:dyDescent="0.35">
      <c r="A386">
        <v>386</v>
      </c>
      <c r="B386">
        <f t="shared" si="48"/>
        <v>1.7061555293042878</v>
      </c>
      <c r="C386">
        <f t="shared" si="49"/>
        <v>-0.13494623656156748</v>
      </c>
      <c r="D386">
        <f t="shared" si="50"/>
        <v>0.99085292210189779</v>
      </c>
      <c r="E386">
        <v>386</v>
      </c>
      <c r="F386">
        <f t="shared" si="51"/>
        <v>1.7061555293042878</v>
      </c>
      <c r="G386">
        <f t="shared" si="52"/>
        <v>-9.542139896828844E-2</v>
      </c>
      <c r="H386">
        <f t="shared" si="53"/>
        <v>0.7006388203767584</v>
      </c>
    </row>
    <row r="387" spans="1:8" x14ac:dyDescent="0.35">
      <c r="A387">
        <v>387</v>
      </c>
      <c r="B387">
        <f t="shared" si="48"/>
        <v>1.7187470830260909</v>
      </c>
      <c r="C387">
        <f t="shared" si="49"/>
        <v>-0.14741158714638491</v>
      </c>
      <c r="D387">
        <f t="shared" si="50"/>
        <v>0.98907523676158415</v>
      </c>
      <c r="E387">
        <v>387</v>
      </c>
      <c r="F387">
        <f t="shared" si="51"/>
        <v>1.7187470830260909</v>
      </c>
      <c r="G387">
        <f t="shared" si="52"/>
        <v>-0.10423573289668055</v>
      </c>
      <c r="H387">
        <f t="shared" si="53"/>
        <v>0.69938180701780661</v>
      </c>
    </row>
    <row r="388" spans="1:8" x14ac:dyDescent="0.35">
      <c r="A388">
        <v>388</v>
      </c>
      <c r="B388">
        <f t="shared" si="48"/>
        <v>1.731338636747894</v>
      </c>
      <c r="C388">
        <f t="shared" si="49"/>
        <v>-0.15985356634189996</v>
      </c>
      <c r="D388">
        <f t="shared" si="50"/>
        <v>0.98714073835891092</v>
      </c>
      <c r="E388">
        <v>388</v>
      </c>
      <c r="F388">
        <f t="shared" si="51"/>
        <v>1.731338636747894</v>
      </c>
      <c r="G388">
        <f t="shared" si="52"/>
        <v>-0.11303354075721118</v>
      </c>
      <c r="H388">
        <f t="shared" si="53"/>
        <v>0.69801391007908187</v>
      </c>
    </row>
    <row r="389" spans="1:8" x14ac:dyDescent="0.35">
      <c r="A389">
        <v>389</v>
      </c>
      <c r="B389">
        <f t="shared" si="48"/>
        <v>1.7439301904696962</v>
      </c>
      <c r="C389">
        <f t="shared" si="49"/>
        <v>-0.17227020153289807</v>
      </c>
      <c r="D389">
        <f t="shared" si="50"/>
        <v>0.98504973359917958</v>
      </c>
      <c r="E389">
        <v>389</v>
      </c>
      <c r="F389">
        <f t="shared" si="51"/>
        <v>1.7439301904696962</v>
      </c>
      <c r="G389">
        <f t="shared" si="52"/>
        <v>-0.12181342770028548</v>
      </c>
      <c r="H389">
        <f t="shared" si="53"/>
        <v>0.69653534643398252</v>
      </c>
    </row>
    <row r="390" spans="1:8" x14ac:dyDescent="0.35">
      <c r="A390">
        <v>390</v>
      </c>
      <c r="B390">
        <f t="shared" si="48"/>
        <v>1.7565217441914993</v>
      </c>
      <c r="C390">
        <f t="shared" si="49"/>
        <v>-0.18465952412233588</v>
      </c>
      <c r="D390">
        <f t="shared" si="50"/>
        <v>0.98280255400101213</v>
      </c>
      <c r="E390">
        <v>390</v>
      </c>
      <c r="F390">
        <f t="shared" si="51"/>
        <v>1.7565217441914993</v>
      </c>
      <c r="G390">
        <f t="shared" si="52"/>
        <v>-0.13057400171758465</v>
      </c>
      <c r="H390">
        <f t="shared" si="53"/>
        <v>0.69494635050157427</v>
      </c>
    </row>
    <row r="391" spans="1:8" x14ac:dyDescent="0.35">
      <c r="A391">
        <v>391</v>
      </c>
      <c r="B391">
        <f t="shared" si="48"/>
        <v>1.7691132979133024</v>
      </c>
      <c r="C391">
        <f t="shared" si="49"/>
        <v>-0.1970195698434474</v>
      </c>
      <c r="D391">
        <f t="shared" si="50"/>
        <v>0.98039955584379113</v>
      </c>
      <c r="E391">
        <v>391</v>
      </c>
      <c r="F391">
        <f t="shared" si="51"/>
        <v>1.7691132979133024</v>
      </c>
      <c r="G391">
        <f t="shared" si="52"/>
        <v>-0.13931387386275837</v>
      </c>
      <c r="H391">
        <f t="shared" si="53"/>
        <v>0.6932471742094245</v>
      </c>
    </row>
    <row r="392" spans="1:8" x14ac:dyDescent="0.35">
      <c r="A392">
        <v>392</v>
      </c>
      <c r="B392">
        <f t="shared" si="48"/>
        <v>1.7817048516351046</v>
      </c>
      <c r="C392">
        <f t="shared" si="49"/>
        <v>-0.20934837907117143</v>
      </c>
      <c r="D392">
        <f t="shared" si="50"/>
        <v>0.97784112011117286</v>
      </c>
      <c r="E392">
        <v>392</v>
      </c>
      <c r="F392">
        <f t="shared" si="51"/>
        <v>1.7817048516351046</v>
      </c>
      <c r="G392">
        <f t="shared" si="52"/>
        <v>-0.14803165847163732</v>
      </c>
      <c r="H392">
        <f t="shared" si="53"/>
        <v>0.69143808695366016</v>
      </c>
    </row>
    <row r="393" spans="1:8" x14ac:dyDescent="0.35">
      <c r="A393">
        <v>393</v>
      </c>
      <c r="B393">
        <f t="shared" si="48"/>
        <v>1.7942964053569077</v>
      </c>
      <c r="C393">
        <f t="shared" si="49"/>
        <v>-0.22164399713284344</v>
      </c>
      <c r="D393">
        <f t="shared" si="50"/>
        <v>0.97512765243068356</v>
      </c>
      <c r="E393">
        <v>393</v>
      </c>
      <c r="F393">
        <f t="shared" si="51"/>
        <v>1.7942964053569077</v>
      </c>
      <c r="G393">
        <f t="shared" si="52"/>
        <v>-0.1567259733819254</v>
      </c>
      <c r="H393">
        <f t="shared" si="53"/>
        <v>0.68951937555625564</v>
      </c>
    </row>
    <row r="394" spans="1:8" x14ac:dyDescent="0.35">
      <c r="A394">
        <v>394</v>
      </c>
      <c r="B394">
        <f t="shared" si="48"/>
        <v>1.8068879590787108</v>
      </c>
      <c r="C394">
        <f t="shared" si="49"/>
        <v>-0.23390447461809394</v>
      </c>
      <c r="D394">
        <f t="shared" si="50"/>
        <v>0.97225958300941084</v>
      </c>
      <c r="E394">
        <v>394</v>
      </c>
      <c r="F394">
        <f t="shared" si="51"/>
        <v>1.8068879590787108</v>
      </c>
      <c r="G394">
        <f t="shared" si="52"/>
        <v>-0.16539544015233101</v>
      </c>
      <c r="H394">
        <f t="shared" si="53"/>
        <v>0.68749134421955993</v>
      </c>
    </row>
    <row r="395" spans="1:8" x14ac:dyDescent="0.35">
      <c r="A395">
        <v>395</v>
      </c>
      <c r="B395">
        <f t="shared" si="48"/>
        <v>1.819479512800513</v>
      </c>
      <c r="C395">
        <f t="shared" si="49"/>
        <v>-0.24612786768792078</v>
      </c>
      <c r="D395">
        <f t="shared" si="50"/>
        <v>0.96923736656579507</v>
      </c>
      <c r="E395">
        <v>395</v>
      </c>
      <c r="F395">
        <f t="shared" si="51"/>
        <v>1.819479512800513</v>
      </c>
      <c r="G395">
        <f t="shared" si="52"/>
        <v>-0.17403868428111424</v>
      </c>
      <c r="H395">
        <f t="shared" si="53"/>
        <v>0.68535431447806572</v>
      </c>
    </row>
    <row r="396" spans="1:8" x14ac:dyDescent="0.35">
      <c r="A396">
        <v>396</v>
      </c>
      <c r="B396">
        <f t="shared" si="48"/>
        <v>1.8320710665223161</v>
      </c>
      <c r="C396">
        <f t="shared" si="49"/>
        <v>-0.25831223838287781</v>
      </c>
      <c r="D396">
        <f t="shared" si="50"/>
        <v>0.96606148225753585</v>
      </c>
      <c r="E396">
        <v>396</v>
      </c>
      <c r="F396">
        <f t="shared" si="51"/>
        <v>1.8320710665223161</v>
      </c>
      <c r="G396">
        <f t="shared" si="52"/>
        <v>-0.18265433542400902</v>
      </c>
      <c r="H396">
        <f t="shared" si="53"/>
        <v>0.68310862514743165</v>
      </c>
    </row>
    <row r="397" spans="1:8" x14ac:dyDescent="0.35">
      <c r="A397">
        <v>397</v>
      </c>
      <c r="B397">
        <f t="shared" si="48"/>
        <v>1.8446626202441192</v>
      </c>
      <c r="C397">
        <f t="shared" si="49"/>
        <v>-0.27045565493032381</v>
      </c>
      <c r="D397">
        <f t="shared" si="50"/>
        <v>0.96273243360562522</v>
      </c>
      <c r="E397">
        <v>397</v>
      </c>
      <c r="F397">
        <f t="shared" si="51"/>
        <v>1.8446626202441192</v>
      </c>
      <c r="G397">
        <f t="shared" si="52"/>
        <v>-0.19124102761148101</v>
      </c>
      <c r="H397">
        <f t="shared" si="53"/>
        <v>0.68075463227076571</v>
      </c>
    </row>
    <row r="398" spans="1:8" x14ac:dyDescent="0.35">
      <c r="A398">
        <v>398</v>
      </c>
      <c r="B398">
        <f t="shared" si="48"/>
        <v>1.8572541739659214</v>
      </c>
      <c r="C398">
        <f t="shared" si="49"/>
        <v>-0.28255619205069837</v>
      </c>
      <c r="D398">
        <f t="shared" si="50"/>
        <v>0.95925074841451585</v>
      </c>
      <c r="E398">
        <v>398</v>
      </c>
      <c r="F398">
        <f t="shared" si="51"/>
        <v>1.8572541739659214</v>
      </c>
      <c r="G398">
        <f t="shared" si="52"/>
        <v>-0.19979739946529743</v>
      </c>
      <c r="H398">
        <f t="shared" si="53"/>
        <v>0.67829270906217554</v>
      </c>
    </row>
    <row r="399" spans="1:8" x14ac:dyDescent="0.35">
      <c r="A399">
        <v>399</v>
      </c>
      <c r="B399">
        <f t="shared" si="48"/>
        <v>1.8698457276877245</v>
      </c>
      <c r="C399">
        <f t="shared" si="49"/>
        <v>-0.29461193126276775</v>
      </c>
      <c r="D399">
        <f t="shared" si="50"/>
        <v>0.95561697868843987</v>
      </c>
      <c r="E399">
        <v>399</v>
      </c>
      <c r="F399">
        <f t="shared" si="51"/>
        <v>1.8698457276877245</v>
      </c>
      <c r="G399">
        <f t="shared" si="52"/>
        <v>-0.20832209441436825</v>
      </c>
      <c r="H399">
        <f t="shared" si="53"/>
        <v>0.6757232458475968</v>
      </c>
    </row>
    <row r="400" spans="1:8" x14ac:dyDescent="0.35">
      <c r="A400">
        <v>400</v>
      </c>
      <c r="B400">
        <f t="shared" si="48"/>
        <v>1.8824372814095276</v>
      </c>
      <c r="C400">
        <f t="shared" si="49"/>
        <v>-0.30662096118778609</v>
      </c>
      <c r="D400">
        <f t="shared" si="50"/>
        <v>0.95183170054389243</v>
      </c>
      <c r="E400">
        <v>400</v>
      </c>
      <c r="F400">
        <f t="shared" si="51"/>
        <v>1.8824372814095276</v>
      </c>
      <c r="G400">
        <f t="shared" si="52"/>
        <v>-0.21681376090982088</v>
      </c>
      <c r="H400">
        <f t="shared" si="53"/>
        <v>0.67304665000291009</v>
      </c>
    </row>
    <row r="401" spans="1:8" x14ac:dyDescent="0.35">
      <c r="A401">
        <v>401</v>
      </c>
      <c r="B401">
        <f t="shared" si="48"/>
        <v>1.8950288351313298</v>
      </c>
      <c r="C401">
        <f t="shared" si="49"/>
        <v>-0.31858137785253743</v>
      </c>
      <c r="D401">
        <f t="shared" si="50"/>
        <v>0.94789551411829076</v>
      </c>
      <c r="E401">
        <v>401</v>
      </c>
      <c r="F401">
        <f t="shared" si="51"/>
        <v>1.8950288351313298</v>
      </c>
      <c r="G401">
        <f t="shared" si="52"/>
        <v>-0.22527105263928315</v>
      </c>
      <c r="H401">
        <f t="shared" si="53"/>
        <v>0.67026334588935266</v>
      </c>
    </row>
    <row r="402" spans="1:8" x14ac:dyDescent="0.35">
      <c r="A402">
        <v>402</v>
      </c>
      <c r="B402">
        <f t="shared" si="48"/>
        <v>1.9076203888531329</v>
      </c>
      <c r="C402">
        <f t="shared" si="49"/>
        <v>-0.330491284991204</v>
      </c>
      <c r="D402">
        <f t="shared" si="50"/>
        <v>0.94380904347482431</v>
      </c>
      <c r="E402">
        <v>402</v>
      </c>
      <c r="F402">
        <f t="shared" si="51"/>
        <v>1.9076203888531329</v>
      </c>
      <c r="G402">
        <f t="shared" si="52"/>
        <v>-0.23369262874033636</v>
      </c>
      <c r="H402">
        <f t="shared" si="53"/>
        <v>0.66737377478623783</v>
      </c>
    </row>
    <row r="403" spans="1:8" x14ac:dyDescent="0.35">
      <c r="A403">
        <v>403</v>
      </c>
      <c r="B403">
        <f t="shared" si="48"/>
        <v>1.920211942574936</v>
      </c>
      <c r="C403">
        <f t="shared" si="49"/>
        <v>-0.34234879434600496</v>
      </c>
      <c r="D403">
        <f t="shared" si="50"/>
        <v>0.93957293650351426</v>
      </c>
      <c r="E403">
        <v>403</v>
      </c>
      <c r="F403">
        <f t="shared" si="51"/>
        <v>1.920211942574936</v>
      </c>
      <c r="G403">
        <f t="shared" si="52"/>
        <v>-0.24207715401309907</v>
      </c>
      <c r="H403">
        <f t="shared" si="53"/>
        <v>0.66437839482099281</v>
      </c>
    </row>
    <row r="404" spans="1:8" x14ac:dyDescent="0.35">
      <c r="A404">
        <v>404</v>
      </c>
      <c r="B404">
        <f t="shared" si="48"/>
        <v>1.9328034962967382</v>
      </c>
      <c r="C404">
        <f t="shared" si="49"/>
        <v>-0.35415202596657297</v>
      </c>
      <c r="D404">
        <f t="shared" si="50"/>
        <v>0.93518786481849292</v>
      </c>
      <c r="E404">
        <v>404</v>
      </c>
      <c r="F404">
        <f t="shared" si="51"/>
        <v>1.9328034962967382</v>
      </c>
      <c r="G404">
        <f t="shared" si="52"/>
        <v>-0.25042329913191819</v>
      </c>
      <c r="H404">
        <f t="shared" si="53"/>
        <v>0.66127768089652517</v>
      </c>
    </row>
    <row r="405" spans="1:8" x14ac:dyDescent="0.35">
      <c r="A405">
        <v>405</v>
      </c>
      <c r="B405">
        <f t="shared" si="48"/>
        <v>1.9453950500185413</v>
      </c>
      <c r="C405">
        <f t="shared" si="49"/>
        <v>-0.3658991085080136</v>
      </c>
      <c r="D405">
        <f t="shared" si="50"/>
        <v>0.93065452365152179</v>
      </c>
      <c r="E405">
        <v>405</v>
      </c>
      <c r="F405">
        <f t="shared" si="51"/>
        <v>1.9453950500185413</v>
      </c>
      <c r="G405">
        <f t="shared" si="52"/>
        <v>-0.25872974085612899</v>
      </c>
      <c r="H405">
        <f t="shared" si="53"/>
        <v>0.65807212461592768</v>
      </c>
    </row>
    <row r="406" spans="1:8" x14ac:dyDescent="0.35">
      <c r="A406">
        <v>406</v>
      </c>
      <c r="B406">
        <f t="shared" si="48"/>
        <v>1.9579866037403444</v>
      </c>
      <c r="C406">
        <f t="shared" si="49"/>
        <v>-0.37758817952759294</v>
      </c>
      <c r="D406">
        <f t="shared" si="50"/>
        <v>0.92597363174176739</v>
      </c>
      <c r="E406">
        <v>406</v>
      </c>
      <c r="F406">
        <f t="shared" si="51"/>
        <v>1.9579866037403444</v>
      </c>
      <c r="G406">
        <f t="shared" si="52"/>
        <v>-0.26699516223984465</v>
      </c>
      <c r="H406">
        <f t="shared" si="53"/>
        <v>0.65476223420453905</v>
      </c>
    </row>
    <row r="407" spans="1:8" x14ac:dyDescent="0.35">
      <c r="A407">
        <v>407</v>
      </c>
      <c r="B407">
        <f t="shared" si="48"/>
        <v>1.9705781574621466</v>
      </c>
      <c r="C407">
        <f t="shared" si="49"/>
        <v>-0.38921738578002152</v>
      </c>
      <c r="D407">
        <f t="shared" si="50"/>
        <v>0.92114593122184818</v>
      </c>
      <c r="E407">
        <v>407</v>
      </c>
      <c r="F407">
        <f t="shared" si="51"/>
        <v>1.9705781574621466</v>
      </c>
      <c r="G407">
        <f t="shared" si="52"/>
        <v>-0.27521825284075391</v>
      </c>
      <c r="H407">
        <f t="shared" si="53"/>
        <v>0.65134853442936635</v>
      </c>
    </row>
    <row r="408" spans="1:8" x14ac:dyDescent="0.35">
      <c r="A408">
        <v>408</v>
      </c>
      <c r="B408">
        <f t="shared" si="48"/>
        <v>1.9831697111839497</v>
      </c>
      <c r="C408">
        <f t="shared" si="49"/>
        <v>-0.40078488351127955</v>
      </c>
      <c r="D408">
        <f t="shared" si="50"/>
        <v>0.91617218750017182</v>
      </c>
      <c r="E408">
        <v>408</v>
      </c>
      <c r="F408">
        <f t="shared" si="51"/>
        <v>1.9831697111839497</v>
      </c>
      <c r="G408">
        <f t="shared" si="52"/>
        <v>-0.28339770892788652</v>
      </c>
      <c r="H408">
        <f t="shared" si="53"/>
        <v>0.64783156651588503</v>
      </c>
    </row>
    <row r="409" spans="1:8" x14ac:dyDescent="0.35">
      <c r="A409">
        <v>409</v>
      </c>
      <c r="B409">
        <f t="shared" si="48"/>
        <v>1.9957612649057528</v>
      </c>
      <c r="C409">
        <f t="shared" si="49"/>
        <v>-0.41228883875093031</v>
      </c>
      <c r="D409">
        <f t="shared" si="50"/>
        <v>0.91105318913958555</v>
      </c>
      <c r="E409">
        <v>409</v>
      </c>
      <c r="F409">
        <f t="shared" si="51"/>
        <v>1.9957612649057528</v>
      </c>
      <c r="G409">
        <f t="shared" si="52"/>
        <v>-0.29153223368831005</v>
      </c>
      <c r="H409">
        <f t="shared" si="53"/>
        <v>0.64421188806223162</v>
      </c>
    </row>
    <row r="410" spans="1:8" x14ac:dyDescent="0.35">
      <c r="A410">
        <v>410</v>
      </c>
      <c r="B410">
        <f t="shared" si="48"/>
        <v>2.008352818627555</v>
      </c>
      <c r="C410">
        <f t="shared" si="49"/>
        <v>-0.42372742760288978</v>
      </c>
      <c r="D410">
        <f t="shared" si="50"/>
        <v>0.90578974773235199</v>
      </c>
      <c r="E410">
        <v>410</v>
      </c>
      <c r="F410">
        <f t="shared" si="51"/>
        <v>2.008352818627555</v>
      </c>
      <c r="G410">
        <f t="shared" si="52"/>
        <v>-0.29962053743273548</v>
      </c>
      <c r="H410">
        <f t="shared" si="53"/>
        <v>0.64049007295079874</v>
      </c>
    </row>
    <row r="411" spans="1:8" x14ac:dyDescent="0.35">
      <c r="A411">
        <v>411</v>
      </c>
      <c r="B411">
        <f t="shared" si="48"/>
        <v>2.0209443723493581</v>
      </c>
      <c r="C411">
        <f t="shared" si="49"/>
        <v>-0.43509883653459874</v>
      </c>
      <c r="D411">
        <f t="shared" si="50"/>
        <v>0.90038269777147462</v>
      </c>
      <c r="E411">
        <v>411</v>
      </c>
      <c r="F411">
        <f t="shared" si="51"/>
        <v>2.0209443723493581</v>
      </c>
      <c r="G411">
        <f t="shared" si="52"/>
        <v>-0.30766133779999216</v>
      </c>
      <c r="H411">
        <f t="shared" si="53"/>
        <v>0.63666671125724794</v>
      </c>
    </row>
    <row r="412" spans="1:8" x14ac:dyDescent="0.35">
      <c r="A412">
        <v>412</v>
      </c>
      <c r="B412">
        <f t="shared" si="48"/>
        <v>2.0335359260711612</v>
      </c>
      <c r="C412">
        <f t="shared" si="49"/>
        <v>-0.44640126266454477</v>
      </c>
      <c r="D412">
        <f t="shared" si="50"/>
        <v>0.8948328965183947</v>
      </c>
      <c r="E412">
        <v>412</v>
      </c>
      <c r="F412">
        <f t="shared" si="51"/>
        <v>2.0335359260711612</v>
      </c>
      <c r="G412">
        <f t="shared" si="52"/>
        <v>-0.315653359960337</v>
      </c>
      <c r="H412">
        <f t="shared" si="53"/>
        <v>0.63274240915695745</v>
      </c>
    </row>
    <row r="413" spans="1:8" x14ac:dyDescent="0.35">
      <c r="A413">
        <v>413</v>
      </c>
      <c r="B413">
        <f t="shared" si="48"/>
        <v>2.0461274797929634</v>
      </c>
      <c r="C413">
        <f t="shared" si="49"/>
        <v>-0.45763291404810286</v>
      </c>
      <c r="D413">
        <f t="shared" si="50"/>
        <v>0.88914122386707595</v>
      </c>
      <c r="E413">
        <v>413</v>
      </c>
      <c r="F413">
        <f t="shared" si="51"/>
        <v>2.0461274797929634</v>
      </c>
      <c r="G413">
        <f t="shared" si="52"/>
        <v>-0.32359533681757419</v>
      </c>
      <c r="H413">
        <f t="shared" si="53"/>
        <v>0.62871778882891594</v>
      </c>
    </row>
    <row r="414" spans="1:8" x14ac:dyDescent="0.35">
      <c r="A414">
        <v>414</v>
      </c>
      <c r="B414">
        <f t="shared" si="48"/>
        <v>2.0587190335147665</v>
      </c>
      <c r="C414">
        <f t="shared" si="49"/>
        <v>-0.46879200996164166</v>
      </c>
      <c r="D414">
        <f t="shared" si="50"/>
        <v>0.88330858220450004</v>
      </c>
      <c r="E414">
        <v>414</v>
      </c>
      <c r="F414">
        <f t="shared" si="51"/>
        <v>2.0587190335147665</v>
      </c>
      <c r="G414">
        <f t="shared" si="52"/>
        <v>-0.33148600920994858</v>
      </c>
      <c r="H414">
        <f t="shared" si="53"/>
        <v>0.6245934883570774</v>
      </c>
    </row>
    <row r="415" spans="1:8" x14ac:dyDescent="0.35">
      <c r="A415">
        <v>415</v>
      </c>
      <c r="B415">
        <f t="shared" si="48"/>
        <v>2.0713105872365696</v>
      </c>
      <c r="C415">
        <f t="shared" si="49"/>
        <v>-0.47987678118484395</v>
      </c>
      <c r="D415">
        <f t="shared" si="50"/>
        <v>0.87733589626760022</v>
      </c>
      <c r="E415">
        <v>415</v>
      </c>
      <c r="F415">
        <f t="shared" si="51"/>
        <v>2.0713105872365696</v>
      </c>
      <c r="G415">
        <f t="shared" si="52"/>
        <v>-0.33932412610977641</v>
      </c>
      <c r="H415">
        <f t="shared" si="53"/>
        <v>0.620370161629198</v>
      </c>
    </row>
    <row r="416" spans="1:8" x14ac:dyDescent="0.35">
      <c r="A416">
        <v>416</v>
      </c>
      <c r="B416">
        <f t="shared" si="48"/>
        <v>2.0839021409583718</v>
      </c>
      <c r="C416">
        <f t="shared" si="49"/>
        <v>-0.49088547028121021</v>
      </c>
      <c r="D416">
        <f t="shared" si="50"/>
        <v>0.87122411299664748</v>
      </c>
      <c r="E416">
        <v>416</v>
      </c>
      <c r="F416">
        <f t="shared" si="51"/>
        <v>2.0839021409583718</v>
      </c>
      <c r="G416">
        <f t="shared" si="52"/>
        <v>-0.34710844482179143</v>
      </c>
      <c r="H416">
        <f t="shared" si="53"/>
        <v>0.61604847823316478</v>
      </c>
    </row>
    <row r="417" spans="1:8" x14ac:dyDescent="0.35">
      <c r="A417">
        <v>417</v>
      </c>
      <c r="B417">
        <f t="shared" si="48"/>
        <v>2.0964936946801749</v>
      </c>
      <c r="C417">
        <f t="shared" si="49"/>
        <v>-0.50181633187669406</v>
      </c>
      <c r="D417">
        <f t="shared" si="50"/>
        <v>0.86497420138511627</v>
      </c>
      <c r="E417">
        <v>417</v>
      </c>
      <c r="F417">
        <f t="shared" si="51"/>
        <v>2.0964936946801749</v>
      </c>
      <c r="G417">
        <f t="shared" si="52"/>
        <v>-0.35483773118016965</v>
      </c>
      <c r="H417">
        <f t="shared" si="53"/>
        <v>0.61162912335083452</v>
      </c>
    </row>
    <row r="418" spans="1:8" x14ac:dyDescent="0.35">
      <c r="A418">
        <v>418</v>
      </c>
      <c r="B418">
        <f t="shared" si="48"/>
        <v>2.109085248401978</v>
      </c>
      <c r="C418">
        <f t="shared" si="49"/>
        <v>-0.51266763293641782</v>
      </c>
      <c r="D418">
        <f t="shared" si="50"/>
        <v>0.85858715232605853</v>
      </c>
      <c r="E418">
        <v>418</v>
      </c>
      <c r="F418">
        <f t="shared" si="51"/>
        <v>2.109085248401978</v>
      </c>
      <c r="G418">
        <f t="shared" si="52"/>
        <v>-0.36251075974419711</v>
      </c>
      <c r="H418">
        <f t="shared" si="53"/>
        <v>0.60711279764940362</v>
      </c>
    </row>
    <row r="419" spans="1:8" x14ac:dyDescent="0.35">
      <c r="A419">
        <v>419</v>
      </c>
      <c r="B419">
        <f t="shared" si="48"/>
        <v>2.1216768021237802</v>
      </c>
      <c r="C419">
        <f t="shared" si="49"/>
        <v>-0.52343765303943968</v>
      </c>
      <c r="D419">
        <f t="shared" si="50"/>
        <v>0.85206397845500026</v>
      </c>
      <c r="E419">
        <v>419</v>
      </c>
      <c r="F419">
        <f t="shared" si="51"/>
        <v>2.1216768021237802</v>
      </c>
      <c r="G419">
        <f t="shared" si="52"/>
        <v>-0.3701263139925593</v>
      </c>
      <c r="H419">
        <f t="shared" si="53"/>
        <v>0.60250021717031943</v>
      </c>
    </row>
    <row r="420" spans="1:8" x14ac:dyDescent="0.35">
      <c r="A420">
        <v>420</v>
      </c>
      <c r="B420">
        <f t="shared" si="48"/>
        <v>2.1342683558455833</v>
      </c>
      <c r="C420">
        <f t="shared" si="49"/>
        <v>-0.53412468465151974</v>
      </c>
      <c r="D420">
        <f t="shared" si="50"/>
        <v>0.84540571398939246</v>
      </c>
      <c r="E420">
        <v>420</v>
      </c>
      <c r="F420">
        <f t="shared" si="51"/>
        <v>2.1342683558455833</v>
      </c>
      <c r="G420">
        <f t="shared" si="52"/>
        <v>-0.37768318651621613</v>
      </c>
      <c r="H420">
        <f t="shared" si="53"/>
        <v>0.59779211321575476</v>
      </c>
    </row>
    <row r="421" spans="1:8" x14ac:dyDescent="0.35">
      <c r="A421">
        <v>421</v>
      </c>
      <c r="B421">
        <f t="shared" si="48"/>
        <v>2.1468599095673864</v>
      </c>
      <c r="C421">
        <f t="shared" si="49"/>
        <v>-0.54472703339583717</v>
      </c>
      <c r="D421">
        <f t="shared" si="50"/>
        <v>0.83861341456464344</v>
      </c>
      <c r="E421">
        <v>421</v>
      </c>
      <c r="F421">
        <f t="shared" si="51"/>
        <v>2.1468599095673864</v>
      </c>
      <c r="G421">
        <f t="shared" si="52"/>
        <v>-0.38518017920982767</v>
      </c>
      <c r="H421">
        <f t="shared" si="53"/>
        <v>0.5929892322326652</v>
      </c>
    </row>
    <row r="422" spans="1:8" x14ac:dyDescent="0.35">
      <c r="A422">
        <v>422</v>
      </c>
      <c r="B422">
        <f t="shared" si="48"/>
        <v>2.1594514632891886</v>
      </c>
      <c r="C422">
        <f t="shared" si="49"/>
        <v>-0.55524301832162715</v>
      </c>
      <c r="D422">
        <f t="shared" si="50"/>
        <v>0.83168815706675137</v>
      </c>
      <c r="E422">
        <v>422</v>
      </c>
      <c r="F422">
        <f t="shared" si="51"/>
        <v>2.1594514632891886</v>
      </c>
      <c r="G422">
        <f t="shared" si="52"/>
        <v>-0.39261610346170928</v>
      </c>
      <c r="H422">
        <f t="shared" si="53"/>
        <v>0.58809233569444275</v>
      </c>
    </row>
    <row r="423" spans="1:8" x14ac:dyDescent="0.35">
      <c r="A423">
        <v>423</v>
      </c>
      <c r="B423">
        <f t="shared" si="48"/>
        <v>2.1720430170109917</v>
      </c>
      <c r="C423">
        <f t="shared" si="49"/>
        <v>-0.56567097217069007</v>
      </c>
      <c r="D423">
        <f t="shared" si="50"/>
        <v>0.82463103946156813</v>
      </c>
      <c r="E423">
        <v>423</v>
      </c>
      <c r="F423">
        <f t="shared" si="51"/>
        <v>2.1720430170109917</v>
      </c>
      <c r="G423">
        <f t="shared" si="52"/>
        <v>-0.39998978034228205</v>
      </c>
      <c r="H423">
        <f t="shared" si="53"/>
        <v>0.58310219998018664</v>
      </c>
    </row>
    <row r="424" spans="1:8" x14ac:dyDescent="0.35">
      <c r="A424">
        <v>424</v>
      </c>
      <c r="B424">
        <f t="shared" si="48"/>
        <v>2.1846345707327948</v>
      </c>
      <c r="C424">
        <f t="shared" si="49"/>
        <v>-0.57600924164172285</v>
      </c>
      <c r="D424">
        <f t="shared" si="50"/>
        <v>0.81744318062072507</v>
      </c>
      <c r="E424">
        <v>424</v>
      </c>
      <c r="F424">
        <f t="shared" si="51"/>
        <v>2.1846345707327948</v>
      </c>
      <c r="G424">
        <f t="shared" si="52"/>
        <v>-0.4073000407909832</v>
      </c>
      <c r="H424">
        <f t="shared" si="53"/>
        <v>0.57801961625161491</v>
      </c>
    </row>
    <row r="425" spans="1:8" x14ac:dyDescent="0.35">
      <c r="A425">
        <v>425</v>
      </c>
      <c r="B425">
        <f t="shared" si="48"/>
        <v>2.197226124454597</v>
      </c>
      <c r="C425">
        <f t="shared" si="49"/>
        <v>-0.58625618765244358</v>
      </c>
      <c r="D425">
        <f t="shared" si="50"/>
        <v>0.81012572014423967</v>
      </c>
      <c r="E425">
        <v>425</v>
      </c>
      <c r="F425">
        <f t="shared" si="51"/>
        <v>2.197226124454597</v>
      </c>
      <c r="G425">
        <f t="shared" si="52"/>
        <v>-0.41454572580161625</v>
      </c>
      <c r="H425">
        <f t="shared" si="53"/>
        <v>0.57284539032762749</v>
      </c>
    </row>
    <row r="426" spans="1:8" x14ac:dyDescent="0.35">
      <c r="A426">
        <v>426</v>
      </c>
      <c r="B426">
        <f t="shared" si="48"/>
        <v>2.2098176781764001</v>
      </c>
      <c r="C426">
        <f t="shared" si="49"/>
        <v>-0.59641018559946257</v>
      </c>
      <c r="D426">
        <f t="shared" si="50"/>
        <v>0.80267981817983602</v>
      </c>
      <c r="E426">
        <v>426</v>
      </c>
      <c r="F426">
        <f t="shared" si="51"/>
        <v>2.2098176781764001</v>
      </c>
      <c r="G426">
        <f t="shared" si="52"/>
        <v>-0.42172568660610765</v>
      </c>
      <c r="H426">
        <f t="shared" si="53"/>
        <v>0.56758034255654743</v>
      </c>
    </row>
    <row r="427" spans="1:8" x14ac:dyDescent="0.35">
      <c r="A427">
        <v>427</v>
      </c>
      <c r="B427">
        <f t="shared" si="48"/>
        <v>2.2224092318982032</v>
      </c>
      <c r="C427">
        <f t="shared" si="49"/>
        <v>-0.60646962561585072</v>
      </c>
      <c r="D427">
        <f t="shared" si="50"/>
        <v>0.79510665523901247</v>
      </c>
      <c r="E427">
        <v>427</v>
      </c>
      <c r="F427">
        <f t="shared" si="51"/>
        <v>2.2224092318982032</v>
      </c>
      <c r="G427">
        <f t="shared" si="52"/>
        <v>-0.42883878485663507</v>
      </c>
      <c r="H427">
        <f t="shared" si="53"/>
        <v>0.56222530768606049</v>
      </c>
    </row>
    <row r="428" spans="1:8" x14ac:dyDescent="0.35">
      <c r="A428">
        <v>428</v>
      </c>
      <c r="B428">
        <f t="shared" si="48"/>
        <v>2.2350007856200054</v>
      </c>
      <c r="C428">
        <f t="shared" si="49"/>
        <v>-0.61643291282637847</v>
      </c>
      <c r="D428">
        <f t="shared" si="50"/>
        <v>0.7874074320098754</v>
      </c>
      <c r="E428">
        <v>428</v>
      </c>
      <c r="F428">
        <f t="shared" si="51"/>
        <v>2.2350007856200054</v>
      </c>
      <c r="G428">
        <f t="shared" si="52"/>
        <v>-0.43588389280610845</v>
      </c>
      <c r="H428">
        <f t="shared" si="53"/>
        <v>0.55678113473086865</v>
      </c>
    </row>
    <row r="429" spans="1:8" x14ac:dyDescent="0.35">
      <c r="A429">
        <v>429</v>
      </c>
      <c r="B429">
        <f t="shared" si="48"/>
        <v>2.2475923393418085</v>
      </c>
      <c r="C429">
        <f t="shared" si="49"/>
        <v>-0.62629846760037755</v>
      </c>
      <c r="D429">
        <f t="shared" si="50"/>
        <v>0.77958336916677407</v>
      </c>
      <c r="E429">
        <v>429</v>
      </c>
      <c r="F429">
        <f t="shared" si="51"/>
        <v>2.2475923393418085</v>
      </c>
      <c r="G429">
        <f t="shared" si="52"/>
        <v>-0.44285989348697052</v>
      </c>
      <c r="H429">
        <f t="shared" si="53"/>
        <v>0.55124868683808204</v>
      </c>
    </row>
    <row r="430" spans="1:8" x14ac:dyDescent="0.35">
      <c r="A430">
        <v>430</v>
      </c>
      <c r="B430">
        <f t="shared" si="48"/>
        <v>2.2601838930636116</v>
      </c>
      <c r="C430">
        <f t="shared" si="49"/>
        <v>-0.63606472580217954</v>
      </c>
      <c r="D430">
        <f t="shared" si="50"/>
        <v>0.77163570717677277</v>
      </c>
      <c r="E430">
        <v>430</v>
      </c>
      <c r="F430">
        <f t="shared" si="51"/>
        <v>2.2601838930636116</v>
      </c>
      <c r="G430">
        <f t="shared" si="52"/>
        <v>-0.44976568088828345</v>
      </c>
      <c r="H430">
        <f t="shared" si="53"/>
        <v>0.54562884115037347</v>
      </c>
    </row>
    <row r="431" spans="1:8" x14ac:dyDescent="0.35">
      <c r="A431">
        <v>431</v>
      </c>
      <c r="B431">
        <f t="shared" si="48"/>
        <v>2.2727754467854138</v>
      </c>
      <c r="C431">
        <f t="shared" si="49"/>
        <v>-0.64573013903910359</v>
      </c>
      <c r="D431">
        <f t="shared" si="50"/>
        <v>0.76356570610297836</v>
      </c>
      <c r="E431">
        <v>431</v>
      </c>
      <c r="F431">
        <f t="shared" si="51"/>
        <v>2.2727754467854138</v>
      </c>
      <c r="G431">
        <f t="shared" si="52"/>
        <v>-0.45660016013108262</v>
      </c>
      <c r="H431">
        <f t="shared" si="53"/>
        <v>0.53992248866691073</v>
      </c>
    </row>
    <row r="432" spans="1:8" x14ac:dyDescent="0.35">
      <c r="A432">
        <v>432</v>
      </c>
      <c r="B432">
        <f t="shared" si="48"/>
        <v>2.2853670005072169</v>
      </c>
      <c r="C432">
        <f t="shared" si="49"/>
        <v>-0.6552931749069496</v>
      </c>
      <c r="D432">
        <f t="shared" si="50"/>
        <v>0.75537464540476196</v>
      </c>
      <c r="E432">
        <v>432</v>
      </c>
      <c r="F432">
        <f t="shared" si="51"/>
        <v>2.2853670005072169</v>
      </c>
      <c r="G432">
        <f t="shared" si="52"/>
        <v>-0.46336224764196676</v>
      </c>
      <c r="H432">
        <f t="shared" si="53"/>
        <v>0.53413053410209133</v>
      </c>
    </row>
    <row r="433" spans="1:8" x14ac:dyDescent="0.35">
      <c r="A433">
        <v>433</v>
      </c>
      <c r="B433">
        <f t="shared" si="48"/>
        <v>2.29795855422902</v>
      </c>
      <c r="C433">
        <f t="shared" si="49"/>
        <v>-0.66475231723294848</v>
      </c>
      <c r="D433">
        <f t="shared" si="50"/>
        <v>0.74706382373491054</v>
      </c>
      <c r="E433">
        <v>433</v>
      </c>
      <c r="F433">
        <f t="shared" si="51"/>
        <v>2.29795855422902</v>
      </c>
      <c r="G433">
        <f t="shared" si="52"/>
        <v>-0.47005087132488926</v>
      </c>
      <c r="H433">
        <f t="shared" si="53"/>
        <v>0.52825389574210724</v>
      </c>
    </row>
    <row r="434" spans="1:8" x14ac:dyDescent="0.35">
      <c r="A434">
        <v>434</v>
      </c>
      <c r="B434">
        <f t="shared" si="48"/>
        <v>2.3105501079508222</v>
      </c>
      <c r="C434">
        <f t="shared" si="49"/>
        <v>-0.67410606631614611</v>
      </c>
      <c r="D434">
        <f t="shared" si="50"/>
        <v>0.73863455873372974</v>
      </c>
      <c r="E434">
        <v>434</v>
      </c>
      <c r="F434">
        <f t="shared" si="51"/>
        <v>2.3105501079508222</v>
      </c>
      <c r="G434">
        <f t="shared" si="52"/>
        <v>-0.47666497073113573</v>
      </c>
      <c r="H434">
        <f t="shared" si="53"/>
        <v>0.52229350529935392</v>
      </c>
    </row>
    <row r="435" spans="1:8" x14ac:dyDescent="0.35">
      <c r="A435">
        <v>435</v>
      </c>
      <c r="B435">
        <f t="shared" si="48"/>
        <v>2.3231416616726253</v>
      </c>
      <c r="C435">
        <f t="shared" si="49"/>
        <v>-0.68335293916517603</v>
      </c>
      <c r="D435">
        <f t="shared" si="50"/>
        <v>0.73008818682013699</v>
      </c>
      <c r="E435">
        <v>435</v>
      </c>
      <c r="F435">
        <f t="shared" si="51"/>
        <v>2.3231416616726253</v>
      </c>
      <c r="G435">
        <f t="shared" si="52"/>
        <v>-0.48320349722745459</v>
      </c>
      <c r="H435">
        <f t="shared" si="53"/>
        <v>0.51625030776471015</v>
      </c>
    </row>
    <row r="436" spans="1:8" x14ac:dyDescent="0.35">
      <c r="A436">
        <v>436</v>
      </c>
      <c r="B436">
        <f t="shared" si="48"/>
        <v>2.3357332153944284</v>
      </c>
      <c r="C436">
        <f t="shared" si="49"/>
        <v>-0.69249146973337627</v>
      </c>
      <c r="D436">
        <f t="shared" si="50"/>
        <v>0.72142606297978207</v>
      </c>
      <c r="E436">
        <v>436</v>
      </c>
      <c r="F436">
        <f t="shared" si="51"/>
        <v>2.3357332153944284</v>
      </c>
      <c r="G436">
        <f t="shared" si="52"/>
        <v>-0.48966541416230952</v>
      </c>
      <c r="H436">
        <f t="shared" si="53"/>
        <v>0.51012526125771762</v>
      </c>
    </row>
    <row r="437" spans="1:8" x14ac:dyDescent="0.35">
      <c r="A437">
        <v>437</v>
      </c>
      <c r="B437">
        <f t="shared" si="48"/>
        <v>2.3483247691162306</v>
      </c>
      <c r="C437">
        <f t="shared" si="49"/>
        <v>-0.7015202091512257</v>
      </c>
      <c r="D437">
        <f t="shared" si="50"/>
        <v>0.71264956055021922</v>
      </c>
      <c r="E437">
        <v>437</v>
      </c>
      <c r="F437">
        <f t="shared" si="51"/>
        <v>2.3483247691162306</v>
      </c>
      <c r="G437">
        <f t="shared" si="52"/>
        <v>-0.49604969703023716</v>
      </c>
      <c r="H437">
        <f t="shared" si="53"/>
        <v>0.5039193368746735</v>
      </c>
    </row>
    <row r="438" spans="1:8" x14ac:dyDescent="0.35">
      <c r="A438">
        <v>438</v>
      </c>
      <c r="B438">
        <f t="shared" si="48"/>
        <v>2.3609163228380337</v>
      </c>
      <c r="C438">
        <f t="shared" si="49"/>
        <v>-0.7104377259560577</v>
      </c>
      <c r="D438">
        <f t="shared" si="50"/>
        <v>0.70376007100316906</v>
      </c>
      <c r="E438">
        <v>438</v>
      </c>
      <c r="F438">
        <f t="shared" si="51"/>
        <v>2.3609163228380337</v>
      </c>
      <c r="G438">
        <f t="shared" si="52"/>
        <v>-0.50235533363427887</v>
      </c>
      <c r="H438">
        <f t="shared" si="53"/>
        <v>0.49763351853466736</v>
      </c>
    </row>
    <row r="439" spans="1:8" x14ac:dyDescent="0.35">
      <c r="A439">
        <v>439</v>
      </c>
      <c r="B439">
        <f t="shared" si="48"/>
        <v>2.3735078765598367</v>
      </c>
      <c r="C439">
        <f t="shared" si="49"/>
        <v>-0.71924260631900705</v>
      </c>
      <c r="D439">
        <f t="shared" si="50"/>
        <v>0.69475900372391142</v>
      </c>
      <c r="E439">
        <v>439</v>
      </c>
      <c r="F439">
        <f t="shared" si="51"/>
        <v>2.3735078765598367</v>
      </c>
      <c r="G439">
        <f t="shared" si="52"/>
        <v>-0.50858132424645663</v>
      </c>
      <c r="H439">
        <f t="shared" si="53"/>
        <v>0.49126880282358792</v>
      </c>
    </row>
    <row r="440" spans="1:8" x14ac:dyDescent="0.35">
      <c r="A440">
        <v>440</v>
      </c>
      <c r="B440">
        <f t="shared" si="48"/>
        <v>2.386099430281639</v>
      </c>
      <c r="C440">
        <f t="shared" si="49"/>
        <v>-0.72793345426916811</v>
      </c>
      <c r="D440">
        <f t="shared" si="50"/>
        <v>0.68564778578783214</v>
      </c>
      <c r="E440">
        <v>440</v>
      </c>
      <c r="F440">
        <f t="shared" si="51"/>
        <v>2.386099430281639</v>
      </c>
      <c r="G440">
        <f t="shared" si="52"/>
        <v>-0.51472668176627667</v>
      </c>
      <c r="H440">
        <f t="shared" si="53"/>
        <v>0.48482619883611777</v>
      </c>
    </row>
    <row r="441" spans="1:8" x14ac:dyDescent="0.35">
      <c r="A441">
        <v>441</v>
      </c>
      <c r="B441">
        <f t="shared" si="48"/>
        <v>2.3986909840034421</v>
      </c>
      <c r="C441">
        <f t="shared" si="49"/>
        <v>-0.73650889191492097</v>
      </c>
      <c r="D441">
        <f t="shared" si="50"/>
        <v>0.67642786173416547</v>
      </c>
      <c r="E441">
        <v>441</v>
      </c>
      <c r="F441">
        <f t="shared" si="51"/>
        <v>2.3986909840034421</v>
      </c>
      <c r="G441">
        <f t="shared" si="52"/>
        <v>-0.52079043187723095</v>
      </c>
      <c r="H441">
        <f t="shared" si="53"/>
        <v>0.47830672801574509</v>
      </c>
    </row>
    <row r="442" spans="1:8" x14ac:dyDescent="0.35">
      <c r="A442">
        <v>442</v>
      </c>
      <c r="B442">
        <f t="shared" si="48"/>
        <v>2.4112825377252451</v>
      </c>
      <c r="C442">
        <f t="shared" si="49"/>
        <v>-0.74496755966238526</v>
      </c>
      <c r="D442">
        <f t="shared" si="50"/>
        <v>0.6671006933369733</v>
      </c>
      <c r="E442">
        <v>442</v>
      </c>
      <c r="F442">
        <f t="shared" si="51"/>
        <v>2.4112825377252451</v>
      </c>
      <c r="G442">
        <f t="shared" si="52"/>
        <v>-0.52677161320126686</v>
      </c>
      <c r="H442">
        <f t="shared" si="53"/>
        <v>0.47171142399282168</v>
      </c>
    </row>
    <row r="443" spans="1:8" x14ac:dyDescent="0.35">
      <c r="A443">
        <v>443</v>
      </c>
      <c r="B443">
        <f t="shared" si="48"/>
        <v>2.4238740914470474</v>
      </c>
      <c r="C443">
        <f t="shared" si="49"/>
        <v>-0.75330811643097972</v>
      </c>
      <c r="D443">
        <f t="shared" si="50"/>
        <v>0.65766775937338562</v>
      </c>
      <c r="E443">
        <v>443</v>
      </c>
      <c r="F443">
        <f t="shared" si="51"/>
        <v>2.4238740914470474</v>
      </c>
      <c r="G443">
        <f t="shared" si="52"/>
        <v>-0.5326692774512114</v>
      </c>
      <c r="H443">
        <f t="shared" si="53"/>
        <v>0.46504133242068391</v>
      </c>
    </row>
    <row r="444" spans="1:8" x14ac:dyDescent="0.35">
      <c r="A444">
        <v>444</v>
      </c>
      <c r="B444">
        <f t="shared" si="48"/>
        <v>2.4364656451688504</v>
      </c>
      <c r="C444">
        <f t="shared" si="49"/>
        <v>-0.76152923986604526</v>
      </c>
      <c r="D444">
        <f t="shared" si="50"/>
        <v>0.64813055538914632</v>
      </c>
      <c r="E444">
        <v>444</v>
      </c>
      <c r="F444">
        <f t="shared" si="51"/>
        <v>2.4364656451688504</v>
      </c>
      <c r="G444">
        <f t="shared" si="52"/>
        <v>-0.53848248958111788</v>
      </c>
      <c r="H444">
        <f t="shared" si="53"/>
        <v>0.45829751080986891</v>
      </c>
    </row>
    <row r="445" spans="1:8" x14ac:dyDescent="0.35">
      <c r="A445">
        <v>445</v>
      </c>
      <c r="B445">
        <f t="shared" si="48"/>
        <v>2.4490571988906535</v>
      </c>
      <c r="C445">
        <f t="shared" si="49"/>
        <v>-0.76962962654849454</v>
      </c>
      <c r="D445">
        <f t="shared" si="50"/>
        <v>0.63849059346150505</v>
      </c>
      <c r="E445">
        <v>445</v>
      </c>
      <c r="F445">
        <f t="shared" si="51"/>
        <v>2.4490571988906535</v>
      </c>
      <c r="G445">
        <f t="shared" si="52"/>
        <v>-0.54421032793451096</v>
      </c>
      <c r="H445">
        <f t="shared" si="53"/>
        <v>0.45148102836045362</v>
      </c>
    </row>
    <row r="446" spans="1:8" x14ac:dyDescent="0.35">
      <c r="A446">
        <v>446</v>
      </c>
      <c r="B446">
        <f t="shared" si="48"/>
        <v>2.4616487526124557</v>
      </c>
      <c r="C446">
        <f t="shared" si="49"/>
        <v>-0.77760799220146415</v>
      </c>
      <c r="D446">
        <f t="shared" si="50"/>
        <v>0.62874940195948303</v>
      </c>
      <c r="E446">
        <v>446</v>
      </c>
      <c r="F446">
        <f t="shared" si="51"/>
        <v>2.4616487526124557</v>
      </c>
      <c r="G446">
        <f t="shared" si="52"/>
        <v>-0.54985188439051169</v>
      </c>
      <c r="H446">
        <f t="shared" si="53"/>
        <v>0.4445929657925371</v>
      </c>
    </row>
    <row r="447" spans="1:8" x14ac:dyDescent="0.35">
      <c r="A447">
        <v>447</v>
      </c>
      <c r="B447">
        <f t="shared" si="48"/>
        <v>2.4742403063342588</v>
      </c>
      <c r="C447">
        <f t="shared" si="49"/>
        <v>-0.78546307189393294</v>
      </c>
      <c r="D447">
        <f t="shared" si="50"/>
        <v>0.61890852530155571</v>
      </c>
      <c r="E447">
        <v>447</v>
      </c>
      <c r="F447">
        <f t="shared" si="51"/>
        <v>2.4742403063342588</v>
      </c>
      <c r="G447">
        <f t="shared" si="52"/>
        <v>-0.55540626450781705</v>
      </c>
      <c r="H447">
        <f t="shared" si="53"/>
        <v>0.43763441517489626</v>
      </c>
    </row>
    <row r="448" spans="1:8" x14ac:dyDescent="0.35">
      <c r="A448">
        <v>448</v>
      </c>
      <c r="B448">
        <f t="shared" si="48"/>
        <v>2.4868318600560619</v>
      </c>
      <c r="C448">
        <f t="shared" si="49"/>
        <v>-0.79319362024126616</v>
      </c>
      <c r="D448">
        <f t="shared" si="50"/>
        <v>0.60896952371079627</v>
      </c>
      <c r="E448">
        <v>448</v>
      </c>
      <c r="F448">
        <f t="shared" si="51"/>
        <v>2.4868318600560619</v>
      </c>
      <c r="G448">
        <f t="shared" si="52"/>
        <v>-0.56087258766650683</v>
      </c>
      <c r="H448">
        <f t="shared" si="53"/>
        <v>0.4306064797518464</v>
      </c>
    </row>
    <row r="449" spans="1:8" x14ac:dyDescent="0.35">
      <c r="A449">
        <v>449</v>
      </c>
      <c r="B449">
        <f t="shared" ref="B449:B512" si="54">-3.14159265358979+(A449-1)*0.0125915537218028</f>
        <v>2.4994234137778641</v>
      </c>
      <c r="C449">
        <f t="shared" ref="C449:C512" si="55">1*COS(B449)+0</f>
        <v>-0.80079841160266774</v>
      </c>
      <c r="D449">
        <f t="shared" ref="D449:D500" si="56">1*SIN(B449)+0+0*COS(B449)</f>
        <v>0.59893397296750861</v>
      </c>
      <c r="E449">
        <v>449</v>
      </c>
      <c r="F449">
        <f t="shared" ref="F449:F512" si="57">-3.14159265358979+(E449-1)*0.0125915537218028</f>
        <v>2.4994234137778641</v>
      </c>
      <c r="G449">
        <f t="shared" ref="G449:G512" si="58">0.707106781186548*COS(F449)+0</f>
        <v>-0.56624998720766284</v>
      </c>
      <c r="H449">
        <f t="shared" ref="H449:H500" si="59">0.707106781186548*SIN(F449)+0+0*COS(F449)</f>
        <v>0.42351027376832595</v>
      </c>
    </row>
    <row r="450" spans="1:8" x14ac:dyDescent="0.35">
      <c r="A450">
        <v>450</v>
      </c>
      <c r="B450">
        <f t="shared" si="54"/>
        <v>2.5120149674996672</v>
      </c>
      <c r="C450">
        <f t="shared" si="55"/>
        <v>-0.80827624027550105</v>
      </c>
      <c r="D450">
        <f t="shared" si="56"/>
        <v>0.588803464159392</v>
      </c>
      <c r="E450">
        <v>450</v>
      </c>
      <c r="F450">
        <f t="shared" si="57"/>
        <v>2.5120149674996672</v>
      </c>
      <c r="G450">
        <f t="shared" si="58"/>
        <v>-0.57153761057077446</v>
      </c>
      <c r="H450">
        <f t="shared" si="59"/>
        <v>0.41634692229323667</v>
      </c>
    </row>
    <row r="451" spans="1:8" x14ac:dyDescent="0.35">
      <c r="A451">
        <v>451</v>
      </c>
      <c r="B451">
        <f t="shared" si="54"/>
        <v>2.5246065212214703</v>
      </c>
      <c r="C451">
        <f t="shared" si="55"/>
        <v>-0.81562592068644368</v>
      </c>
      <c r="D451">
        <f t="shared" si="56"/>
        <v>0.57857960342928716</v>
      </c>
      <c r="E451">
        <v>451</v>
      </c>
      <c r="F451">
        <f t="shared" si="57"/>
        <v>2.5246065212214703</v>
      </c>
      <c r="G451">
        <f t="shared" si="58"/>
        <v>-0.57673461942890591</v>
      </c>
      <c r="H451">
        <f t="shared" si="59"/>
        <v>0.40911756104107266</v>
      </c>
    </row>
    <row r="452" spans="1:8" x14ac:dyDescent="0.35">
      <c r="A452">
        <v>452</v>
      </c>
      <c r="B452">
        <f t="shared" si="54"/>
        <v>2.5371980749432725</v>
      </c>
      <c r="C452">
        <f t="shared" si="55"/>
        <v>-0.82284628757945599</v>
      </c>
      <c r="D452">
        <f t="shared" si="56"/>
        <v>0.56826401172052687</v>
      </c>
      <c r="E452">
        <v>452</v>
      </c>
      <c r="F452">
        <f t="shared" si="57"/>
        <v>2.5371980749432725</v>
      </c>
      <c r="G452">
        <f t="shared" si="58"/>
        <v>-0.58184018982160979</v>
      </c>
      <c r="H452">
        <f t="shared" si="59"/>
        <v>0.40182333619185656</v>
      </c>
    </row>
    <row r="453" spans="1:8" x14ac:dyDescent="0.35">
      <c r="A453">
        <v>453</v>
      </c>
      <c r="B453">
        <f t="shared" si="54"/>
        <v>2.5497896286650756</v>
      </c>
      <c r="C453">
        <f t="shared" si="55"/>
        <v>-0.82993619620052894</v>
      </c>
      <c r="D453">
        <f t="shared" si="56"/>
        <v>0.55785832451994222</v>
      </c>
      <c r="E453">
        <v>453</v>
      </c>
      <c r="F453">
        <f t="shared" si="57"/>
        <v>2.5497896286650756</v>
      </c>
      <c r="G453">
        <f t="shared" si="58"/>
        <v>-0.58685351228556337</v>
      </c>
      <c r="H453">
        <f t="shared" si="59"/>
        <v>0.39446540420941706</v>
      </c>
    </row>
    <row r="454" spans="1:8" x14ac:dyDescent="0.35">
      <c r="A454">
        <v>454</v>
      </c>
      <c r="B454">
        <f t="shared" si="54"/>
        <v>2.5623811823868787</v>
      </c>
      <c r="C454">
        <f t="shared" si="55"/>
        <v>-0.83689452247917506</v>
      </c>
      <c r="D454">
        <f t="shared" si="56"/>
        <v>0.54736419159856775</v>
      </c>
      <c r="E454">
        <v>454</v>
      </c>
      <c r="F454">
        <f t="shared" si="57"/>
        <v>2.5623811823868787</v>
      </c>
      <c r="G454">
        <f t="shared" si="58"/>
        <v>-0.59177379198290259</v>
      </c>
      <c r="H454">
        <f t="shared" si="59"/>
        <v>0.38704493165804021</v>
      </c>
    </row>
    <row r="455" spans="1:8" x14ac:dyDescent="0.35">
      <c r="A455">
        <v>455</v>
      </c>
      <c r="B455">
        <f t="shared" si="54"/>
        <v>2.5749727361086809</v>
      </c>
      <c r="C455">
        <f t="shared" si="55"/>
        <v>-0.843720163206647</v>
      </c>
      <c r="D455">
        <f t="shared" si="56"/>
        <v>0.5367832767500762</v>
      </c>
      <c r="E455">
        <v>455</v>
      </c>
      <c r="F455">
        <f t="shared" si="57"/>
        <v>2.5749727361086809</v>
      </c>
      <c r="G455">
        <f t="shared" si="58"/>
        <v>-0.59660024882724116</v>
      </c>
      <c r="H455">
        <f t="shared" si="59"/>
        <v>0.3795630950175144</v>
      </c>
    </row>
    <row r="456" spans="1:8" x14ac:dyDescent="0.35">
      <c r="A456">
        <v>456</v>
      </c>
      <c r="B456">
        <f t="shared" si="54"/>
        <v>2.587564289830484</v>
      </c>
      <c r="C456">
        <f t="shared" si="55"/>
        <v>-0.85041203621084671</v>
      </c>
      <c r="D456">
        <f t="shared" si="56"/>
        <v>0.52611725752699035</v>
      </c>
      <c r="E456">
        <v>456</v>
      </c>
      <c r="F456">
        <f t="shared" si="57"/>
        <v>2.587564289830484</v>
      </c>
      <c r="G456">
        <f t="shared" si="58"/>
        <v>-0.60133211760734995</v>
      </c>
      <c r="H456">
        <f t="shared" si="59"/>
        <v>0.37202108049660432</v>
      </c>
    </row>
    <row r="457" spans="1:8" x14ac:dyDescent="0.35">
      <c r="A457">
        <v>457</v>
      </c>
      <c r="B457">
        <f t="shared" si="54"/>
        <v>2.6001558435522871</v>
      </c>
      <c r="C457">
        <f t="shared" si="55"/>
        <v>-0.85696908052789589</v>
      </c>
      <c r="D457">
        <f t="shared" si="56"/>
        <v>0.51536782497471911</v>
      </c>
      <c r="E457">
        <v>457</v>
      </c>
      <c r="F457">
        <f t="shared" si="57"/>
        <v>2.6001558435522871</v>
      </c>
      <c r="G457">
        <f t="shared" si="58"/>
        <v>-0.60596864810847617</v>
      </c>
      <c r="H457">
        <f t="shared" si="59"/>
        <v>0.36442008384498586</v>
      </c>
    </row>
    <row r="458" spans="1:8" x14ac:dyDescent="0.35">
      <c r="A458">
        <v>458</v>
      </c>
      <c r="B458">
        <f t="shared" si="54"/>
        <v>2.6127473972740893</v>
      </c>
      <c r="C458">
        <f t="shared" si="55"/>
        <v>-0.86339025657034785</v>
      </c>
      <c r="D458">
        <f t="shared" si="56"/>
        <v>0.50453668336344881</v>
      </c>
      <c r="E458">
        <v>458</v>
      </c>
      <c r="F458">
        <f t="shared" si="57"/>
        <v>2.6127473972740893</v>
      </c>
      <c r="G458">
        <f t="shared" si="58"/>
        <v>-0.61050910523128654</v>
      </c>
      <c r="H458">
        <f t="shared" si="59"/>
        <v>0.35676131016366486</v>
      </c>
    </row>
    <row r="459" spans="1:8" x14ac:dyDescent="0.35">
      <c r="A459">
        <v>459</v>
      </c>
      <c r="B459">
        <f t="shared" si="54"/>
        <v>2.6253389509958924</v>
      </c>
      <c r="C459">
        <f t="shared" si="55"/>
        <v>-0.8696745462920108</v>
      </c>
      <c r="D459">
        <f t="shared" si="56"/>
        <v>0.4936255499179365</v>
      </c>
      <c r="E459">
        <v>459</v>
      </c>
      <c r="F459">
        <f t="shared" si="57"/>
        <v>2.6253389509958924</v>
      </c>
      <c r="G459">
        <f t="shared" si="58"/>
        <v>-0.61495276910841534</v>
      </c>
      <c r="H459">
        <f t="shared" si="59"/>
        <v>0.34904597371391177</v>
      </c>
    </row>
    <row r="460" spans="1:8" x14ac:dyDescent="0.35">
      <c r="A460">
        <v>460</v>
      </c>
      <c r="B460">
        <f t="shared" si="54"/>
        <v>2.6379305047176955</v>
      </c>
      <c r="C460">
        <f t="shared" si="55"/>
        <v>-0.87582095334935095</v>
      </c>
      <c r="D460">
        <f t="shared" si="56"/>
        <v>0.48263615454525777</v>
      </c>
      <c r="E460">
        <v>460</v>
      </c>
      <c r="F460">
        <f t="shared" si="57"/>
        <v>2.6379305047176955</v>
      </c>
      <c r="G460">
        <f t="shared" si="58"/>
        <v>-0.61929893521859336</v>
      </c>
      <c r="H460">
        <f t="shared" si="59"/>
        <v>0.34127529772475057</v>
      </c>
    </row>
    <row r="461" spans="1:8" x14ac:dyDescent="0.35">
      <c r="A461">
        <v>461</v>
      </c>
      <c r="B461">
        <f t="shared" si="54"/>
        <v>2.6505220584394977</v>
      </c>
      <c r="C461">
        <f t="shared" si="55"/>
        <v>-0.88182850325945983</v>
      </c>
      <c r="D461">
        <f t="shared" si="56"/>
        <v>0.47157023956053545</v>
      </c>
      <c r="E461">
        <v>461</v>
      </c>
      <c r="F461">
        <f t="shared" si="57"/>
        <v>2.6505220584394977</v>
      </c>
      <c r="G461">
        <f t="shared" si="58"/>
        <v>-0.62354691449834798</v>
      </c>
      <c r="H461">
        <f t="shared" si="59"/>
        <v>0.33345051419901955</v>
      </c>
    </row>
    <row r="462" spans="1:8" x14ac:dyDescent="0.35">
      <c r="A462">
        <v>462</v>
      </c>
      <c r="B462">
        <f t="shared" si="54"/>
        <v>2.6631136121613008</v>
      </c>
      <c r="C462">
        <f t="shared" si="55"/>
        <v>-0.88769624355455456</v>
      </c>
      <c r="D462">
        <f t="shared" si="56"/>
        <v>0.46042955941070179</v>
      </c>
      <c r="E462">
        <v>462</v>
      </c>
      <c r="F462">
        <f t="shared" si="57"/>
        <v>2.6631136121613008</v>
      </c>
      <c r="G462">
        <f t="shared" si="58"/>
        <v>-0.62769603345125102</v>
      </c>
      <c r="H462">
        <f t="shared" si="59"/>
        <v>0.32557286371804184</v>
      </c>
    </row>
    <row r="463" spans="1:8" x14ac:dyDescent="0.35">
      <c r="A463">
        <v>463</v>
      </c>
      <c r="B463">
        <f t="shared" si="54"/>
        <v>2.6757051658831039</v>
      </c>
      <c r="C463">
        <f t="shared" si="55"/>
        <v>-0.89342324393298445</v>
      </c>
      <c r="D463">
        <f t="shared" si="56"/>
        <v>0.44921588039634452</v>
      </c>
      <c r="E463">
        <v>463</v>
      </c>
      <c r="F463">
        <f t="shared" si="57"/>
        <v>2.6757051658831039</v>
      </c>
      <c r="G463">
        <f t="shared" si="58"/>
        <v>-0.63174563425469676</v>
      </c>
      <c r="H463">
        <f t="shared" si="59"/>
        <v>0.31764359524494051</v>
      </c>
    </row>
    <row r="464" spans="1:8" x14ac:dyDescent="0.35">
      <c r="A464">
        <v>464</v>
      </c>
      <c r="B464">
        <f t="shared" si="54"/>
        <v>2.6882967196049061</v>
      </c>
      <c r="C464">
        <f t="shared" si="55"/>
        <v>-0.8990085964067277</v>
      </c>
      <c r="D464">
        <f t="shared" si="56"/>
        <v>0.43793098039166556</v>
      </c>
      <c r="E464">
        <v>464</v>
      </c>
      <c r="F464">
        <f t="shared" si="57"/>
        <v>2.6882967196049061</v>
      </c>
      <c r="G464">
        <f t="shared" si="58"/>
        <v>-0.63569507486419763</v>
      </c>
      <c r="H464">
        <f t="shared" si="59"/>
        <v>0.30966396592661993</v>
      </c>
    </row>
    <row r="465" spans="1:8" x14ac:dyDescent="0.35">
      <c r="A465">
        <v>465</v>
      </c>
      <c r="B465">
        <f t="shared" si="54"/>
        <v>2.7008882733267092</v>
      </c>
      <c r="C465">
        <f t="shared" si="55"/>
        <v>-0.90445141544534879</v>
      </c>
      <c r="D465">
        <f t="shared" si="56"/>
        <v>0.42657664856260591</v>
      </c>
      <c r="E465">
        <v>465</v>
      </c>
      <c r="F465">
        <f t="shared" si="57"/>
        <v>2.7008882733267092</v>
      </c>
      <c r="G465">
        <f t="shared" si="58"/>
        <v>-0.63954372911517787</v>
      </c>
      <c r="H465">
        <f t="shared" si="59"/>
        <v>0.3016352408944496</v>
      </c>
    </row>
    <row r="466" spans="1:8" x14ac:dyDescent="0.35">
      <c r="A466">
        <v>466</v>
      </c>
      <c r="B466">
        <f t="shared" si="54"/>
        <v>2.7134798270485123</v>
      </c>
      <c r="C466">
        <f t="shared" si="55"/>
        <v>-0.90975083811639346</v>
      </c>
      <c r="D466">
        <f t="shared" si="56"/>
        <v>0.41515468508318643</v>
      </c>
      <c r="E466">
        <v>466</v>
      </c>
      <c r="F466">
        <f t="shared" si="57"/>
        <v>2.7134798270485123</v>
      </c>
      <c r="G466">
        <f t="shared" si="58"/>
        <v>-0.64329098682224728</v>
      </c>
      <c r="H466">
        <f t="shared" si="59"/>
        <v>0.29355869306368693</v>
      </c>
    </row>
    <row r="467" spans="1:8" x14ac:dyDescent="0.35">
      <c r="A467">
        <v>467</v>
      </c>
      <c r="B467">
        <f t="shared" si="54"/>
        <v>2.7260713807703145</v>
      </c>
      <c r="C467">
        <f t="shared" si="55"/>
        <v>-0.91490602422220291</v>
      </c>
      <c r="D467">
        <f t="shared" si="56"/>
        <v>0.40366690085009682</v>
      </c>
      <c r="E467">
        <v>467</v>
      </c>
      <c r="F467">
        <f t="shared" si="57"/>
        <v>2.7260713807703145</v>
      </c>
      <c r="G467">
        <f t="shared" si="58"/>
        <v>-0.64693625387594378</v>
      </c>
      <c r="H467">
        <f t="shared" si="59"/>
        <v>0.28543560293166137</v>
      </c>
    </row>
    <row r="468" spans="1:8" x14ac:dyDescent="0.35">
      <c r="A468">
        <v>468</v>
      </c>
      <c r="B468">
        <f t="shared" si="54"/>
        <v>2.7386629344921176</v>
      </c>
      <c r="C468">
        <f t="shared" si="55"/>
        <v>-0.91991615643312463</v>
      </c>
      <c r="D468">
        <f t="shared" si="56"/>
        <v>0.39211511719558451</v>
      </c>
      <c r="E468">
        <v>468</v>
      </c>
      <c r="F468">
        <f t="shared" si="57"/>
        <v>2.7386629344921176</v>
      </c>
      <c r="G468">
        <f t="shared" si="58"/>
        <v>-0.65047895233692776</v>
      </c>
      <c r="H468">
        <f t="shared" si="59"/>
        <v>0.2772672583747558</v>
      </c>
    </row>
    <row r="469" spans="1:8" x14ac:dyDescent="0.35">
      <c r="A469">
        <v>469</v>
      </c>
      <c r="B469">
        <f t="shared" si="54"/>
        <v>2.7512544882139207</v>
      </c>
      <c r="C469">
        <f t="shared" si="55"/>
        <v>-0.92478044041709373</v>
      </c>
      <c r="D469">
        <f t="shared" si="56"/>
        <v>0.38050116559869573</v>
      </c>
      <c r="E469">
        <v>469</v>
      </c>
      <c r="F469">
        <f t="shared" si="57"/>
        <v>2.7512544882139207</v>
      </c>
      <c r="G469">
        <f t="shared" si="58"/>
        <v>-0.65391852052760935</v>
      </c>
      <c r="H469">
        <f t="shared" si="59"/>
        <v>0.26905495444422339</v>
      </c>
    </row>
    <row r="470" spans="1:8" x14ac:dyDescent="0.35">
      <c r="A470">
        <v>470</v>
      </c>
      <c r="B470">
        <f t="shared" si="54"/>
        <v>2.7638460419357229</v>
      </c>
      <c r="C470">
        <f t="shared" si="55"/>
        <v>-0.92949810496557161</v>
      </c>
      <c r="D470">
        <f t="shared" si="56"/>
        <v>0.36882688739490138</v>
      </c>
      <c r="E470">
        <v>470</v>
      </c>
      <c r="F470">
        <f t="shared" si="57"/>
        <v>2.7638460419357229</v>
      </c>
      <c r="G470">
        <f t="shared" si="58"/>
        <v>-0.65725441312120148</v>
      </c>
      <c r="H470">
        <f t="shared" si="59"/>
        <v>0.26079999316086211</v>
      </c>
    </row>
    <row r="471" spans="1:8" x14ac:dyDescent="0.35">
      <c r="A471">
        <v>471</v>
      </c>
      <c r="B471">
        <f t="shared" si="54"/>
        <v>2.776437595657526</v>
      </c>
      <c r="C471">
        <f t="shared" si="55"/>
        <v>-0.93406840211581788</v>
      </c>
      <c r="D471">
        <f t="shared" si="56"/>
        <v>0.35709413348415964</v>
      </c>
      <c r="E471">
        <v>471</v>
      </c>
      <c r="F471">
        <f t="shared" si="57"/>
        <v>2.776437595657526</v>
      </c>
      <c r="G471">
        <f t="shared" si="58"/>
        <v>-0.66048610122817819</v>
      </c>
      <c r="H471">
        <f t="shared" si="59"/>
        <v>0.25250368330858364</v>
      </c>
    </row>
    <row r="472" spans="1:8" x14ac:dyDescent="0.35">
      <c r="A472">
        <v>472</v>
      </c>
      <c r="B472">
        <f t="shared" si="54"/>
        <v>2.7890291493793291</v>
      </c>
      <c r="C472">
        <f t="shared" si="55"/>
        <v>-0.93849060726947464</v>
      </c>
      <c r="D472">
        <f t="shared" si="56"/>
        <v>0.34530476403746974</v>
      </c>
      <c r="E472">
        <v>472</v>
      </c>
      <c r="F472">
        <f t="shared" si="57"/>
        <v>2.7890291493793291</v>
      </c>
      <c r="G472">
        <f t="shared" si="58"/>
        <v>-0.66361307248012702</v>
      </c>
      <c r="H472">
        <f t="shared" si="59"/>
        <v>0.24416734022691572</v>
      </c>
    </row>
    <row r="473" spans="1:8" x14ac:dyDescent="0.35">
      <c r="A473">
        <v>473</v>
      </c>
      <c r="B473">
        <f t="shared" si="54"/>
        <v>2.8016207031011313</v>
      </c>
      <c r="C473">
        <f t="shared" si="55"/>
        <v>-0.94276401930744913</v>
      </c>
      <c r="D473">
        <f t="shared" si="56"/>
        <v>0.33346064820194843</v>
      </c>
      <c r="E473">
        <v>473</v>
      </c>
      <c r="F473">
        <f t="shared" si="57"/>
        <v>2.8016207031011313</v>
      </c>
      <c r="G473">
        <f t="shared" si="58"/>
        <v>-0.66663483111098298</v>
      </c>
      <c r="H473">
        <f t="shared" si="59"/>
        <v>0.2357922856024596</v>
      </c>
    </row>
    <row r="474" spans="1:8" x14ac:dyDescent="0.35">
      <c r="A474">
        <v>474</v>
      </c>
      <c r="B474">
        <f t="shared" si="54"/>
        <v>2.8142122568229344</v>
      </c>
      <c r="C474">
        <f t="shared" si="55"/>
        <v>-0.94688796070107328</v>
      </c>
      <c r="D474">
        <f t="shared" si="56"/>
        <v>0.32156366380448331</v>
      </c>
      <c r="E474">
        <v>474</v>
      </c>
      <c r="F474">
        <f t="shared" si="57"/>
        <v>2.8142122568229344</v>
      </c>
      <c r="G474">
        <f t="shared" si="58"/>
        <v>-0.6695508980356305</v>
      </c>
      <c r="H474">
        <f t="shared" si="59"/>
        <v>0.22737984725934146</v>
      </c>
    </row>
    <row r="475" spans="1:8" x14ac:dyDescent="0.35">
      <c r="A475">
        <v>475</v>
      </c>
      <c r="B475">
        <f t="shared" si="54"/>
        <v>2.8268038105447375</v>
      </c>
      <c r="C475">
        <f t="shared" si="55"/>
        <v>-0.95086177761952073</v>
      </c>
      <c r="D475">
        <f t="shared" si="56"/>
        <v>0.30961569705401759</v>
      </c>
      <c r="E475">
        <v>475</v>
      </c>
      <c r="F475">
        <f t="shared" si="57"/>
        <v>2.8268038105447375</v>
      </c>
      <c r="G475">
        <f t="shared" si="58"/>
        <v>-0.67236081092585853</v>
      </c>
      <c r="H475">
        <f t="shared" si="59"/>
        <v>0.21893135894869575</v>
      </c>
    </row>
    <row r="476" spans="1:8" x14ac:dyDescent="0.35">
      <c r="A476">
        <v>476</v>
      </c>
      <c r="B476">
        <f t="shared" si="54"/>
        <v>2.8393953642665397</v>
      </c>
      <c r="C476">
        <f t="shared" si="55"/>
        <v>-0.95468484003346987</v>
      </c>
      <c r="D476">
        <f t="shared" si="56"/>
        <v>0.29761864224249818</v>
      </c>
      <c r="E476">
        <v>476</v>
      </c>
      <c r="F476">
        <f t="shared" si="57"/>
        <v>2.8393953642665397</v>
      </c>
      <c r="G476">
        <f t="shared" si="58"/>
        <v>-0.67506412428366136</v>
      </c>
      <c r="H476">
        <f t="shared" si="59"/>
        <v>0.21044816013720369</v>
      </c>
    </row>
    <row r="477" spans="1:8" x14ac:dyDescent="0.35">
      <c r="A477">
        <v>477</v>
      </c>
      <c r="B477">
        <f t="shared" si="54"/>
        <v>2.8519869179883428</v>
      </c>
      <c r="C477">
        <f t="shared" si="55"/>
        <v>-0.95835654181499241</v>
      </c>
      <c r="D477">
        <f t="shared" si="56"/>
        <v>0.28557440144454255</v>
      </c>
      <c r="E477">
        <v>477</v>
      </c>
      <c r="F477">
        <f t="shared" si="57"/>
        <v>2.8519869179883428</v>
      </c>
      <c r="G477">
        <f t="shared" si="58"/>
        <v>-0.67766040951187068</v>
      </c>
      <c r="H477">
        <f t="shared" si="59"/>
        <v>0.20193159579472558</v>
      </c>
    </row>
    <row r="478" spans="1:8" x14ac:dyDescent="0.35">
      <c r="A478">
        <v>478</v>
      </c>
      <c r="B478">
        <f t="shared" si="54"/>
        <v>2.8645784717101459</v>
      </c>
      <c r="C478">
        <f t="shared" si="55"/>
        <v>-0.96187630083365039</v>
      </c>
      <c r="D478">
        <f t="shared" si="56"/>
        <v>0.27348488421587913</v>
      </c>
      <c r="E478">
        <v>478</v>
      </c>
      <c r="F478">
        <f t="shared" si="57"/>
        <v>2.8645784717101459</v>
      </c>
      <c r="G478">
        <f t="shared" si="58"/>
        <v>-0.68014925498210621</v>
      </c>
      <c r="H478">
        <f t="shared" si="59"/>
        <v>0.19338301618106607</v>
      </c>
    </row>
    <row r="479" spans="1:8" x14ac:dyDescent="0.35">
      <c r="A479">
        <v>479</v>
      </c>
      <c r="B479">
        <f t="shared" si="54"/>
        <v>2.8771700254319481</v>
      </c>
      <c r="C479">
        <f t="shared" si="55"/>
        <v>-0.96524355904879122</v>
      </c>
      <c r="D479">
        <f t="shared" si="56"/>
        <v>0.26135200729059388</v>
      </c>
      <c r="E479">
        <v>479</v>
      </c>
      <c r="F479">
        <f t="shared" si="57"/>
        <v>2.8771700254319481</v>
      </c>
      <c r="G479">
        <f t="shared" si="58"/>
        <v>-0.68253026610003842</v>
      </c>
      <c r="H479">
        <f t="shared" si="59"/>
        <v>0.18480377663189507</v>
      </c>
    </row>
    <row r="480" spans="1:8" x14ac:dyDescent="0.35">
      <c r="A480">
        <v>480</v>
      </c>
      <c r="B480">
        <f t="shared" si="54"/>
        <v>2.8897615791537512</v>
      </c>
      <c r="C480">
        <f t="shared" si="55"/>
        <v>-0.96845778259802262</v>
      </c>
      <c r="D480">
        <f t="shared" si="56"/>
        <v>0.24917769427723904</v>
      </c>
      <c r="E480">
        <v>480</v>
      </c>
      <c r="F480">
        <f t="shared" si="57"/>
        <v>2.8897615791537512</v>
      </c>
      <c r="G480">
        <f t="shared" si="58"/>
        <v>-0.68480306536794944</v>
      </c>
      <c r="H480">
        <f t="shared" si="59"/>
        <v>0.17619523734386422</v>
      </c>
    </row>
    <row r="481" spans="1:8" x14ac:dyDescent="0.35">
      <c r="A481">
        <v>481</v>
      </c>
      <c r="B481">
        <f t="shared" si="54"/>
        <v>2.9023531328755543</v>
      </c>
      <c r="C481">
        <f t="shared" si="55"/>
        <v>-0.97151846188185254</v>
      </c>
      <c r="D481">
        <f t="shared" si="56"/>
        <v>0.23696387535385935</v>
      </c>
      <c r="E481">
        <v>481</v>
      </c>
      <c r="F481">
        <f t="shared" si="57"/>
        <v>2.9023531328755543</v>
      </c>
      <c r="G481">
        <f t="shared" si="58"/>
        <v>-0.68696729244458277</v>
      </c>
      <c r="H481">
        <f t="shared" si="59"/>
        <v>0.16755876315895787</v>
      </c>
    </row>
    <row r="482" spans="1:8" x14ac:dyDescent="0.35">
      <c r="A482">
        <v>482</v>
      </c>
      <c r="B482">
        <f t="shared" si="54"/>
        <v>2.9149446865973565</v>
      </c>
      <c r="C482">
        <f t="shared" si="55"/>
        <v>-0.97442511164448486</v>
      </c>
      <c r="D482">
        <f t="shared" si="56"/>
        <v>0.22471248696196916</v>
      </c>
      <c r="E482">
        <v>482</v>
      </c>
      <c r="F482">
        <f t="shared" si="57"/>
        <v>2.9149446865973565</v>
      </c>
      <c r="G482">
        <f t="shared" si="58"/>
        <v>-0.68902260420227435</v>
      </c>
      <c r="H482">
        <f t="shared" si="59"/>
        <v>0.15889572334810215</v>
      </c>
    </row>
    <row r="483" spans="1:8" x14ac:dyDescent="0.35">
      <c r="A483">
        <v>483</v>
      </c>
      <c r="B483">
        <f t="shared" si="54"/>
        <v>2.9275362403191596</v>
      </c>
      <c r="C483">
        <f t="shared" si="55"/>
        <v>-0.97717727105075436</v>
      </c>
      <c r="D483">
        <f t="shared" si="56"/>
        <v>0.21242547149953661</v>
      </c>
      <c r="E483">
        <v>483</v>
      </c>
      <c r="F483">
        <f t="shared" si="57"/>
        <v>2.9275362403191596</v>
      </c>
      <c r="G483">
        <f t="shared" si="58"/>
        <v>-0.69096867478135393</v>
      </c>
      <c r="H483">
        <f t="shared" si="59"/>
        <v>0.15020749139407213</v>
      </c>
    </row>
    <row r="484" spans="1:8" x14ac:dyDescent="0.35">
      <c r="A484">
        <v>484</v>
      </c>
      <c r="B484">
        <f t="shared" si="54"/>
        <v>2.9401277940409627</v>
      </c>
      <c r="C484">
        <f t="shared" si="55"/>
        <v>-0.97977450375918906</v>
      </c>
      <c r="D484">
        <f t="shared" si="56"/>
        <v>0.20010477701303092</v>
      </c>
      <c r="E484">
        <v>484</v>
      </c>
      <c r="F484">
        <f t="shared" si="57"/>
        <v>2.9401277940409627</v>
      </c>
      <c r="G484">
        <f t="shared" si="58"/>
        <v>-0.69280519564180754</v>
      </c>
      <c r="H484">
        <f t="shared" si="59"/>
        <v>0.14149544477373624</v>
      </c>
    </row>
    <row r="485" spans="1:8" x14ac:dyDescent="0.35">
      <c r="A485">
        <v>485</v>
      </c>
      <c r="B485">
        <f t="shared" si="54"/>
        <v>2.9527193477627649</v>
      </c>
      <c r="C485">
        <f t="shared" si="55"/>
        <v>-0.98221639799119032</v>
      </c>
      <c r="D485">
        <f t="shared" si="56"/>
        <v>0.18775235688856662</v>
      </c>
      <c r="E485">
        <v>485</v>
      </c>
      <c r="F485">
        <f t="shared" si="57"/>
        <v>2.9527193477627649</v>
      </c>
      <c r="G485">
        <f t="shared" si="58"/>
        <v>-0.69453187561219598</v>
      </c>
      <c r="H485">
        <f t="shared" si="59"/>
        <v>0.13276096473966234</v>
      </c>
    </row>
    <row r="486" spans="1:8" x14ac:dyDescent="0.35">
      <c r="A486">
        <v>486</v>
      </c>
      <c r="B486">
        <f t="shared" si="54"/>
        <v>2.965310901484568</v>
      </c>
      <c r="C486">
        <f t="shared" si="55"/>
        <v>-0.98450256659631907</v>
      </c>
      <c r="D486">
        <f t="shared" si="56"/>
        <v>0.17537016954220097</v>
      </c>
      <c r="E486">
        <v>486</v>
      </c>
      <c r="F486">
        <f t="shared" si="57"/>
        <v>2.965310901484568</v>
      </c>
      <c r="G486">
        <f t="shared" si="58"/>
        <v>-0.69614844093581829</v>
      </c>
      <c r="H486">
        <f t="shared" si="59"/>
        <v>0.12400543610112492</v>
      </c>
    </row>
    <row r="487" spans="1:8" x14ac:dyDescent="0.35">
      <c r="A487">
        <v>487</v>
      </c>
      <c r="B487">
        <f t="shared" si="54"/>
        <v>2.9779024552063711</v>
      </c>
      <c r="C487">
        <f t="shared" si="55"/>
        <v>-0.98663264711367571</v>
      </c>
      <c r="D487">
        <f t="shared" si="56"/>
        <v>0.16296017810944194</v>
      </c>
      <c r="E487">
        <v>487</v>
      </c>
      <c r="F487">
        <f t="shared" si="57"/>
        <v>2.9779024552063711</v>
      </c>
      <c r="G487">
        <f t="shared" si="58"/>
        <v>-0.69765463531411454</v>
      </c>
      <c r="H487">
        <f t="shared" si="59"/>
        <v>0.11523024700455406</v>
      </c>
    </row>
    <row r="488" spans="1:8" x14ac:dyDescent="0.35">
      <c r="A488">
        <v>488</v>
      </c>
      <c r="B488">
        <f t="shared" si="54"/>
        <v>2.9904940089281733</v>
      </c>
      <c r="C488">
        <f t="shared" si="55"/>
        <v>-0.98860630182936671</v>
      </c>
      <c r="D488">
        <f t="shared" si="56"/>
        <v>0.15052435013400009</v>
      </c>
      <c r="E488">
        <v>488</v>
      </c>
      <c r="F488">
        <f t="shared" si="57"/>
        <v>2.9904940089281733</v>
      </c>
      <c r="G488">
        <f t="shared" si="58"/>
        <v>-0.69905021994730043</v>
      </c>
      <c r="H488">
        <f t="shared" si="59"/>
        <v>0.10643678871344975</v>
      </c>
    </row>
    <row r="489" spans="1:8" x14ac:dyDescent="0.35">
      <c r="A489">
        <v>489</v>
      </c>
      <c r="B489">
        <f t="shared" si="54"/>
        <v>3.0030855626499764</v>
      </c>
      <c r="C489">
        <f t="shared" si="55"/>
        <v>-0.99042321783004816</v>
      </c>
      <c r="D489">
        <f t="shared" si="56"/>
        <v>0.13806465725584124</v>
      </c>
      <c r="E489">
        <v>489</v>
      </c>
      <c r="F489">
        <f t="shared" si="57"/>
        <v>3.0030855626499764</v>
      </c>
      <c r="G489">
        <f t="shared" si="58"/>
        <v>-0.70033497357222863</v>
      </c>
      <c r="H489">
        <f t="shared" si="59"/>
        <v>9.7626455387801889E-2</v>
      </c>
    </row>
    <row r="490" spans="1:8" x14ac:dyDescent="0.35">
      <c r="A490">
        <v>490</v>
      </c>
      <c r="B490">
        <f t="shared" si="54"/>
        <v>3.0156771163717795</v>
      </c>
      <c r="C490">
        <f t="shared" si="55"/>
        <v>-0.99208310705253577</v>
      </c>
      <c r="D490">
        <f t="shared" si="56"/>
        <v>0.12558307489859807</v>
      </c>
      <c r="E490">
        <v>490</v>
      </c>
      <c r="F490">
        <f t="shared" si="57"/>
        <v>3.0156771163717795</v>
      </c>
      <c r="G490">
        <f t="shared" si="58"/>
        <v>-0.70150869249746806</v>
      </c>
      <c r="H490">
        <f t="shared" si="59"/>
        <v>8.8800643863056861E-2</v>
      </c>
    </row>
    <row r="491" spans="1:8" x14ac:dyDescent="0.35">
      <c r="A491">
        <v>491</v>
      </c>
      <c r="B491">
        <f t="shared" si="54"/>
        <v>3.0282686700935817</v>
      </c>
      <c r="C491">
        <f t="shared" si="55"/>
        <v>-0.99358570632947618</v>
      </c>
      <c r="D491">
        <f t="shared" si="56"/>
        <v>0.11308158195637352</v>
      </c>
      <c r="E491">
        <v>491</v>
      </c>
      <c r="F491">
        <f t="shared" si="57"/>
        <v>3.0282686700935817</v>
      </c>
      <c r="G491">
        <f t="shared" si="58"/>
        <v>-0.7025711906355987</v>
      </c>
      <c r="H491">
        <f t="shared" si="59"/>
        <v>7.9960753428654108E-2</v>
      </c>
    </row>
    <row r="492" spans="1:8" x14ac:dyDescent="0.35">
      <c r="A492">
        <v>492</v>
      </c>
      <c r="B492">
        <f t="shared" si="54"/>
        <v>3.0408602238153848</v>
      </c>
      <c r="C492">
        <f t="shared" si="55"/>
        <v>-0.99493077743107128</v>
      </c>
      <c r="D492">
        <f t="shared" si="56"/>
        <v>0.10056216047999419</v>
      </c>
      <c r="E492">
        <v>492</v>
      </c>
      <c r="F492">
        <f t="shared" si="57"/>
        <v>3.0408602238153848</v>
      </c>
      <c r="G492">
        <f t="shared" si="58"/>
        <v>-0.70352229953271461</v>
      </c>
      <c r="H492">
        <f t="shared" si="59"/>
        <v>7.1108185606173782E-2</v>
      </c>
    </row>
    <row r="493" spans="1:8" x14ac:dyDescent="0.35">
      <c r="A493">
        <v>493</v>
      </c>
      <c r="B493">
        <f t="shared" si="54"/>
        <v>3.0534517775371879</v>
      </c>
      <c r="C493">
        <f t="shared" si="55"/>
        <v>-0.99611810710284798</v>
      </c>
      <c r="D493">
        <f t="shared" si="56"/>
        <v>8.8026795362771124E-2</v>
      </c>
      <c r="E493">
        <v>493</v>
      </c>
      <c r="F493">
        <f t="shared" si="57"/>
        <v>3.0534517775371879</v>
      </c>
      <c r="G493">
        <f t="shared" si="58"/>
        <v>-0.70436186839513193</v>
      </c>
      <c r="H493">
        <f t="shared" si="59"/>
        <v>6.2244343927136042E-2</v>
      </c>
    </row>
    <row r="494" spans="1:8" x14ac:dyDescent="0.35">
      <c r="A494">
        <v>494</v>
      </c>
      <c r="B494">
        <f t="shared" si="54"/>
        <v>3.0660433312589901</v>
      </c>
      <c r="C494">
        <f t="shared" si="55"/>
        <v>-0.99714750709946842</v>
      </c>
      <c r="D494">
        <f t="shared" si="56"/>
        <v>7.5477474025801961E-2</v>
      </c>
      <c r="E494">
        <v>494</v>
      </c>
      <c r="F494">
        <f t="shared" si="57"/>
        <v>3.0660433312589901</v>
      </c>
      <c r="G494">
        <f t="shared" si="58"/>
        <v>-0.7050897641132956</v>
      </c>
      <c r="H494">
        <f t="shared" si="59"/>
        <v>5.3370633710476109E-2</v>
      </c>
    </row>
    <row r="495" spans="1:8" x14ac:dyDescent="0.35">
      <c r="A495">
        <v>495</v>
      </c>
      <c r="B495">
        <f t="shared" si="54"/>
        <v>3.0786348849807932</v>
      </c>
      <c r="C495">
        <f t="shared" si="55"/>
        <v>-0.99801881421457617</v>
      </c>
      <c r="D495">
        <f t="shared" si="56"/>
        <v>6.2916186102872362E-2</v>
      </c>
      <c r="E495">
        <v>495</v>
      </c>
      <c r="F495">
        <f t="shared" si="57"/>
        <v>3.0786348849807932</v>
      </c>
      <c r="G495">
        <f t="shared" si="58"/>
        <v>-0.70570587128288442</v>
      </c>
      <c r="H495">
        <f t="shared" si="59"/>
        <v>4.4488461839735899E-2</v>
      </c>
    </row>
    <row r="496" spans="1:8" x14ac:dyDescent="0.35">
      <c r="A496">
        <v>496</v>
      </c>
      <c r="B496">
        <f t="shared" si="54"/>
        <v>3.0912264387025963</v>
      </c>
      <c r="C496">
        <f t="shared" si="55"/>
        <v>-0.99873189030667098</v>
      </c>
      <c r="D496">
        <f t="shared" si="56"/>
        <v>5.0344923125014603E-2</v>
      </c>
      <c r="E496">
        <v>496</v>
      </c>
      <c r="F496">
        <f t="shared" si="57"/>
        <v>3.0912264387025963</v>
      </c>
      <c r="G496">
        <f t="shared" si="58"/>
        <v>-0.70621009222310671</v>
      </c>
      <c r="H496">
        <f t="shared" si="59"/>
        <v>3.5599236540013283E-2</v>
      </c>
    </row>
    <row r="497" spans="1:8" x14ac:dyDescent="0.35">
      <c r="A497">
        <v>497</v>
      </c>
      <c r="B497">
        <f t="shared" si="54"/>
        <v>3.1038179924243985</v>
      </c>
      <c r="C497">
        <f t="shared" si="55"/>
        <v>-0.99928662232101095</v>
      </c>
      <c r="D497">
        <f t="shared" si="56"/>
        <v>3.7765678204757333E-2</v>
      </c>
      <c r="E497">
        <v>497</v>
      </c>
      <c r="F497">
        <f t="shared" si="57"/>
        <v>3.1038179924243985</v>
      </c>
      <c r="G497">
        <f t="shared" si="58"/>
        <v>-0.70660234699218771</v>
      </c>
      <c r="H497">
        <f t="shared" si="59"/>
        <v>2.6704367154692928E-2</v>
      </c>
    </row>
    <row r="498" spans="1:8" x14ac:dyDescent="0.35">
      <c r="A498">
        <v>498</v>
      </c>
      <c r="B498">
        <f t="shared" si="54"/>
        <v>3.1164095461462016</v>
      </c>
      <c r="C498">
        <f t="shared" si="55"/>
        <v>-0.99968292230753641</v>
      </c>
      <c r="D498">
        <f t="shared" si="56"/>
        <v>2.5180445720124629E-2</v>
      </c>
      <c r="E498">
        <v>498</v>
      </c>
      <c r="F498">
        <f t="shared" si="57"/>
        <v>3.1164095461462016</v>
      </c>
      <c r="G498">
        <f t="shared" si="58"/>
        <v>-0.70688257340004401</v>
      </c>
      <c r="H498">
        <f t="shared" si="59"/>
        <v>1.7805263921999916E-2</v>
      </c>
    </row>
    <row r="499" spans="1:8" x14ac:dyDescent="0.35">
      <c r="A499">
        <v>499</v>
      </c>
      <c r="B499">
        <f t="shared" si="54"/>
        <v>3.1290010998680047</v>
      </c>
      <c r="C499">
        <f t="shared" si="55"/>
        <v>-0.99992072743481442</v>
      </c>
      <c r="D499">
        <f t="shared" si="56"/>
        <v>1.2591220998442417E-2</v>
      </c>
      <c r="E499">
        <v>499</v>
      </c>
      <c r="F499">
        <f t="shared" si="57"/>
        <v>3.1290010998680047</v>
      </c>
      <c r="G499">
        <f t="shared" si="58"/>
        <v>-0.7070507270181432</v>
      </c>
      <c r="H499">
        <f t="shared" si="59"/>
        <v>8.9033377514170908E-3</v>
      </c>
    </row>
    <row r="500" spans="1:8" x14ac:dyDescent="0.35">
      <c r="A500">
        <v>500</v>
      </c>
      <c r="B500">
        <f t="shared" si="54"/>
        <v>3.1415926535898069</v>
      </c>
      <c r="C500">
        <f t="shared" si="55"/>
        <v>-1</v>
      </c>
      <c r="D500">
        <f t="shared" si="56"/>
        <v>-1.3644250659861079E-14</v>
      </c>
      <c r="E500">
        <v>500</v>
      </c>
      <c r="F500">
        <f t="shared" si="57"/>
        <v>3.1415926535898069</v>
      </c>
      <c r="G500">
        <f t="shared" si="58"/>
        <v>-0.70710678118654802</v>
      </c>
      <c r="H500">
        <f t="shared" si="59"/>
        <v>-9.6479421657968007E-15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PLS-R</vt:lpstr>
      <vt:lpstr>XLSTAT_20210923_105258_1_HID3</vt:lpstr>
      <vt:lpstr>XLSTAT_20210923_105258_1_HID2</vt:lpstr>
      <vt:lpstr>XLSTAT_20210923_105258_1_HID1</vt:lpstr>
      <vt:lpstr>XLSTAT_20210923_105258_1_HID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Анатолий Цыпленков</dc:creator>
  <cp:lastModifiedBy>Анатолий Цыпленков</cp:lastModifiedBy>
  <dcterms:created xsi:type="dcterms:W3CDTF">2021-09-23T07:50:59Z</dcterms:created>
  <dcterms:modified xsi:type="dcterms:W3CDTF">2021-09-23T07:56:25Z</dcterms:modified>
</cp:coreProperties>
</file>