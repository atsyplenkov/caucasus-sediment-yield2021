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tsyp\YandexDisk\papers\2021\caucasus-sediment-yield2021\analysis\"/>
    </mc:Choice>
  </mc:AlternateContent>
  <xr:revisionPtr revIDLastSave="0" documentId="13_ncr:1_{85730A30-90B6-4A27-97DB-3B0BEB81E7F8}" xr6:coauthVersionLast="47" xr6:coauthVersionMax="47" xr10:uidLastSave="{00000000-0000-0000-0000-000000000000}"/>
  <bookViews>
    <workbookView xWindow="-110" yWindow="-110" windowWidth="19420" windowHeight="10560" activeTab="1" xr2:uid="{E9919A8F-F753-46ED-9C9C-3FAF1243E071}"/>
  </bookViews>
  <sheets>
    <sheet name="Лист1" sheetId="1" r:id="rId1"/>
    <sheet name="PLS-R" sheetId="2" r:id="rId2"/>
    <sheet name="XLSTAT_20211004_124611_1_HID3" sheetId="6" state="hidden" r:id="rId3"/>
    <sheet name="XLSTAT_20211004_124611_1_HID2" sheetId="5" state="hidden" r:id="rId4"/>
    <sheet name="XLSTAT_20211004_124611_1_HID1" sheetId="4" state="hidden" r:id="rId5"/>
    <sheet name="XLSTAT_20211004_124611_1_HID" sheetId="3" state="hidden" r:id="rId6"/>
  </sheets>
  <definedNames>
    <definedName name="xcircle126696521" localSheetId="5" hidden="1">XLSTAT_20211004_124611_1_HID!$G$1:$G$500</definedName>
    <definedName name="xcirclez1" localSheetId="5" hidden="1">XLSTAT_20211004_124611_1_HID!$C$1:$C$500</definedName>
    <definedName name="xdata1" localSheetId="5" hidden="1">XLSTAT_20211004_124611_1_HID!$K$1:$K$70</definedName>
    <definedName name="xdata2" localSheetId="5" hidden="1">XLSTAT_20211004_124611_1_HID!$O$1:$O$70</definedName>
    <definedName name="ycircle126696521" localSheetId="5" hidden="1">XLSTAT_20211004_124611_1_HID!$H$1:$H$500</definedName>
    <definedName name="ycirclez1" localSheetId="5" hidden="1">XLSTAT_20211004_124611_1_HID!$D$1:$D$500</definedName>
    <definedName name="ydata1" localSheetId="5" hidden="1">XLSTAT_20211004_124611_1_HID!$L$1:$L$70</definedName>
    <definedName name="ydata2" localSheetId="5" hidden="1">XLSTAT_20211004_124611_1_HID!$P$1:$P$70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3" l="1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O1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L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K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H1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G1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F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B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</calcChain>
</file>

<file path=xl/sharedStrings.xml><?xml version="1.0" encoding="utf-8"?>
<sst xmlns="http://schemas.openxmlformats.org/spreadsheetml/2006/main" count="2619" uniqueCount="424">
  <si>
    <t>sy</t>
  </si>
  <si>
    <t>A</t>
  </si>
  <si>
    <t>H_station</t>
  </si>
  <si>
    <t>dem</t>
  </si>
  <si>
    <t>area_barren</t>
  </si>
  <si>
    <t>area_cropland</t>
  </si>
  <si>
    <t>area_forest</t>
  </si>
  <si>
    <t>ksn</t>
  </si>
  <si>
    <t>pop</t>
  </si>
  <si>
    <t>glacier</t>
  </si>
  <si>
    <t>glored</t>
  </si>
  <si>
    <t>q</t>
  </si>
  <si>
    <t>p</t>
  </si>
  <si>
    <t>srad</t>
  </si>
  <si>
    <t>aet</t>
  </si>
  <si>
    <t>canopy</t>
  </si>
  <si>
    <t>sand</t>
  </si>
  <si>
    <t>hand</t>
  </si>
  <si>
    <t>pga</t>
  </si>
  <si>
    <t>cwr</t>
  </si>
  <si>
    <t>SHDI</t>
  </si>
  <si>
    <t>KG</t>
  </si>
  <si>
    <t>LZ</t>
  </si>
  <si>
    <t>Dfb</t>
  </si>
  <si>
    <t>2e</t>
  </si>
  <si>
    <t>Cfa</t>
  </si>
  <si>
    <t>2b</t>
  </si>
  <si>
    <t>Dfa</t>
  </si>
  <si>
    <t>ET</t>
  </si>
  <si>
    <t>Dfc</t>
  </si>
  <si>
    <t>2c</t>
  </si>
  <si>
    <t>1b</t>
  </si>
  <si>
    <t>Csa</t>
  </si>
  <si>
    <t>6f</t>
  </si>
  <si>
    <t>Dsb</t>
  </si>
  <si>
    <t>6d</t>
  </si>
  <si>
    <t>5e</t>
  </si>
  <si>
    <t>5d</t>
  </si>
  <si>
    <t>2f</t>
  </si>
  <si>
    <t>2a</t>
  </si>
  <si>
    <t>5f</t>
  </si>
  <si>
    <t>Cfb</t>
  </si>
  <si>
    <t>Dsa</t>
  </si>
  <si>
    <t>3f</t>
  </si>
  <si>
    <t>2g</t>
  </si>
  <si>
    <t>You are using the XLSTAT trial version. Number of days remaining until the trial expires: 3</t>
  </si>
  <si>
    <t>Y / Dependent variables: Workbook = Книга1 / Sheet = Лист1 / Range = Лист1!$A:$A / 234 rows and 1 column</t>
  </si>
  <si>
    <t>X / Quantitative: Workbook = Книга1 / Sheet = Лист1 / Range = Лист1!$B:$U / 234 rows and 20 columns</t>
  </si>
  <si>
    <t>X / Qualitative: Workbook = Книга1 / Sheet = Лист1 / Range = Лист1!$V:$W / 234 rows and 2 columns</t>
  </si>
  <si>
    <t>Method: PLS-R</t>
  </si>
  <si>
    <t>Algorithm: Fast</t>
  </si>
  <si>
    <t>Stop conditions: Fixed number = 4</t>
  </si>
  <si>
    <t>Cross-validation: Jackknife(LOO) / Number of groups = 10</t>
  </si>
  <si>
    <t>Variables: Center: Yes / Reduce: Yes</t>
  </si>
  <si>
    <t>Confidence interval (%): 95</t>
  </si>
  <si>
    <t>Summary statistics (Quantitative data):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</si>
  <si>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</si>
  <si>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</si>
  <si>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</si>
  <si>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</si>
  <si>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</si>
  <si>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</si>
  <si>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</si>
  <si>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</si>
  <si>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Summary statistics (Qualitative data):</t>
  </si>
  <si>
    <t/>
  </si>
  <si>
    <t>Categories</t>
  </si>
  <si>
    <t>Counts</t>
  </si>
  <si>
    <t>Frequencies</t>
  </si>
  <si>
    <t>%</t>
  </si>
  <si>
    <t>Correlation matrix:</t>
  </si>
  <si>
    <t>Variables</t>
  </si>
  <si>
    <t>KG-Cfa</t>
  </si>
  <si>
    <t>KG-Cfb</t>
  </si>
  <si>
    <t>KG-Csa</t>
  </si>
  <si>
    <t>KG-Dfa</t>
  </si>
  <si>
    <t>KG-Dfb</t>
  </si>
  <si>
    <t>KG-Dfc</t>
  </si>
  <si>
    <t>KG-Dsa</t>
  </si>
  <si>
    <t>KG-Dsb</t>
  </si>
  <si>
    <t>KG-ET</t>
  </si>
  <si>
    <t>LZ-1b</t>
  </si>
  <si>
    <t>LZ-2e</t>
  </si>
  <si>
    <t>LZ-2b</t>
  </si>
  <si>
    <t>LZ-2c</t>
  </si>
  <si>
    <t>LZ-2f</t>
  </si>
  <si>
    <t>LZ-2a</t>
  </si>
  <si>
    <t>LZ-2g</t>
  </si>
  <si>
    <t>LZ-3f</t>
  </si>
  <si>
    <t>LZ-5e</t>
  </si>
  <si>
    <t>LZ-5d</t>
  </si>
  <si>
    <t>LZ-5f</t>
  </si>
  <si>
    <t>LZ-6f</t>
  </si>
  <si>
    <t>LZ-6d</t>
  </si>
  <si>
    <t>Model quality:</t>
  </si>
  <si>
    <t>Statistic</t>
  </si>
  <si>
    <t>Comp1</t>
  </si>
  <si>
    <t>Comp2</t>
  </si>
  <si>
    <t>Comp3</t>
  </si>
  <si>
    <t>Comp4</t>
  </si>
  <si>
    <t>Q² cum</t>
  </si>
  <si>
    <t>R²Y cum</t>
  </si>
  <si>
    <t>R²X cum</t>
  </si>
  <si>
    <t xml:space="preserve"> </t>
  </si>
  <si>
    <t>Correlation matrix of the variables with the t and u~ components:</t>
  </si>
  <si>
    <t>t1</t>
  </si>
  <si>
    <t>t2</t>
  </si>
  <si>
    <t>t3</t>
  </si>
  <si>
    <t>t4</t>
  </si>
  <si>
    <t>u~1</t>
  </si>
  <si>
    <t>u~2</t>
  </si>
  <si>
    <t>u~3</t>
  </si>
  <si>
    <t>u~4</t>
  </si>
  <si>
    <t>w vectors:</t>
  </si>
  <si>
    <t>w1</t>
  </si>
  <si>
    <t>w2</t>
  </si>
  <si>
    <t>w3</t>
  </si>
  <si>
    <t>w4</t>
  </si>
  <si>
    <t>w* vectors:</t>
  </si>
  <si>
    <t>w*1</t>
  </si>
  <si>
    <t>w*2</t>
  </si>
  <si>
    <t>w*3</t>
  </si>
  <si>
    <t>w*4</t>
  </si>
  <si>
    <t>c vectors:</t>
  </si>
  <si>
    <t>c1</t>
  </si>
  <si>
    <t>c2</t>
  </si>
  <si>
    <t>c3</t>
  </si>
  <si>
    <t>c4</t>
  </si>
  <si>
    <t>p vectors:</t>
  </si>
  <si>
    <t>p1</t>
  </si>
  <si>
    <t>p2</t>
  </si>
  <si>
    <t>p3</t>
  </si>
  <si>
    <t>p4</t>
  </si>
  <si>
    <t>Scores on t:</t>
  </si>
  <si>
    <t>Observation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</si>
  <si>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</si>
  <si>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</si>
  <si>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</si>
  <si>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</si>
  <si>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</si>
  <si>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</si>
  <si>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</si>
  <si>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</si>
  <si>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</si>
  <si>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</si>
  <si>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</si>
  <si>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</si>
  <si>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</si>
  <si>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</si>
  <si>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</si>
  <si>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</si>
  <si>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</si>
  <si>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</si>
  <si>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</si>
  <si>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</si>
  <si>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</si>
  <si>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</si>
  <si>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</si>
  <si>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</si>
  <si>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</si>
  <si>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</si>
  <si>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</si>
  <si>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</si>
  <si>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</si>
  <si>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</si>
  <si>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</si>
  <si>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</si>
  <si>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</si>
  <si>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</si>
  <si>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</si>
  <si>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</si>
  <si>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</si>
  <si>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</si>
  <si>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</si>
  <si>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</si>
  <si>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</si>
  <si>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</si>
  <si>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</si>
  <si>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</si>
  <si>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</si>
  <si>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</si>
  <si>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</si>
  <si>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</si>
  <si>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</si>
  <si>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</si>
  <si>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</si>
  <si>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</si>
  <si>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</si>
  <si>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</si>
  <si>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</si>
  <si>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</si>
  <si>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</si>
  <si>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</si>
  <si>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</si>
  <si>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</si>
  <si>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</si>
  <si>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</si>
  <si>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</si>
  <si>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</si>
  <si>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</si>
  <si>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</si>
  <si>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</si>
  <si>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</si>
  <si>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</si>
  <si>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</si>
  <si>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</si>
  <si>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</si>
  <si>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</si>
  <si>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</si>
  <si>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</si>
  <si>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</si>
  <si>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</si>
  <si>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</si>
  <si>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</si>
  <si>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</si>
  <si>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</si>
  <si>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</si>
  <si>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</si>
  <si>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</si>
  <si>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</si>
  <si>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</si>
  <si>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</si>
  <si>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</si>
  <si>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</si>
  <si>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</si>
  <si>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</si>
  <si>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</si>
  <si>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</si>
  <si>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</si>
  <si>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</si>
  <si>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</si>
  <si>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</si>
  <si>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</si>
  <si>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</si>
  <si>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</si>
  <si>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</si>
  <si>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</si>
  <si>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</si>
  <si>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</si>
  <si>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</si>
  <si>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</si>
  <si>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</si>
  <si>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</si>
  <si>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</si>
  <si>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</si>
  <si>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</si>
  <si>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</si>
  <si>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</si>
  <si>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</si>
  <si>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</si>
  <si>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</si>
  <si>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</si>
  <si>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</si>
  <si>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</si>
  <si>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</si>
  <si>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</si>
  <si>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</si>
  <si>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</si>
  <si>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</si>
  <si>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</si>
  <si>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</si>
  <si>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</si>
  <si>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</si>
  <si>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</si>
  <si>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</si>
  <si>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</si>
  <si>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</si>
  <si>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</si>
  <si>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</si>
  <si>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</si>
  <si>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</si>
  <si>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</si>
  <si>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</si>
  <si>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</si>
  <si>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</si>
  <si>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</si>
  <si>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</si>
  <si>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</si>
  <si>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</si>
  <si>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</si>
  <si>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</si>
  <si>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</si>
  <si>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</si>
  <si>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</si>
  <si>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</si>
  <si>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</si>
  <si>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</si>
  <si>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</si>
  <si>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</si>
  <si>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</si>
  <si>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</si>
  <si>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</si>
  <si>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</si>
  <si>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</si>
  <si>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</si>
  <si>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</si>
  <si>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</si>
  <si>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</si>
  <si>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</si>
  <si>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</si>
  <si>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</si>
  <si>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</si>
  <si>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</si>
  <si>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</si>
  <si>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</si>
  <si>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</si>
  <si>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</si>
  <si>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</si>
  <si>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</si>
  <si>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</si>
  <si>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</si>
  <si>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</si>
  <si>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</si>
  <si>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</si>
  <si>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</si>
  <si>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</si>
  <si>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</si>
  <si>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</si>
  <si>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</si>
  <si>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</si>
  <si>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</si>
  <si>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</si>
  <si>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</si>
  <si>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</si>
  <si>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</si>
  <si>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</si>
  <si>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</si>
  <si>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</si>
  <si>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</si>
  <si>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</si>
  <si>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</si>
  <si>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</si>
  <si>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</si>
  <si>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</si>
  <si>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</si>
  <si>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</si>
  <si>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</si>
  <si>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</si>
  <si>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</si>
  <si>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</si>
  <si>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</si>
  <si>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</si>
  <si>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</si>
  <si>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</si>
  <si>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</si>
  <si>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</si>
  <si>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</si>
  <si>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</si>
  <si>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</si>
  <si>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</si>
  <si>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</si>
  <si>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</si>
  <si>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</si>
  <si>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</si>
  <si>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</si>
  <si>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</si>
  <si>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</si>
  <si>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</si>
  <si>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</si>
  <si>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</si>
  <si>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</si>
  <si>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</si>
  <si>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</si>
  <si>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</si>
  <si>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</si>
  <si>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</si>
  <si>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</si>
  <si>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</si>
  <si>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</si>
  <si>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Standardized scores on t:</t>
  </si>
  <si>
    <t>Scores on u:</t>
  </si>
  <si>
    <t>u1</t>
  </si>
  <si>
    <t>u2</t>
  </si>
  <si>
    <t>u3</t>
  </si>
  <si>
    <t>u4</t>
  </si>
  <si>
    <t>Scores on u~:</t>
  </si>
  <si>
    <t>Q² quality index:</t>
  </si>
  <si>
    <t>Component</t>
  </si>
  <si>
    <t>Total</t>
  </si>
  <si>
    <t>Cumulative Q² quality index:</t>
  </si>
  <si>
    <t>Variable Importance in the Projection (VIP):</t>
  </si>
  <si>
    <t>VIP(1)</t>
  </si>
  <si>
    <t>Standard deviation</t>
  </si>
  <si>
    <t>Lower bound(95%)</t>
  </si>
  <si>
    <t>Upper bound(95%)</t>
  </si>
  <si>
    <t>VIP(2)</t>
  </si>
  <si>
    <t>VIP(3)</t>
  </si>
  <si>
    <t>VIP(4)</t>
  </si>
  <si>
    <t>Model parameters:</t>
  </si>
  <si>
    <t>Intercept</t>
  </si>
  <si>
    <t>Equation of the model:</t>
  </si>
  <si>
    <t>sy = 1.7202768056819+9.48540551147898E-08*A-1.50418566822892E-04*H_station+0.226335424704481*dem+6.20934521651788E-03*area_barren-4.05027534072638E-03*area_cropland+9.37508795987919E-04*area_forest+2.12413674679673E-02*ksn+2.56621103332755E-04*pop-8.50050890627385E-05*glacier-1.46888357206723E-05*glored-1.88914343746721E-03*q-9.25175690371103E-05*p-2.94446484683478E-03*srad+4.20819686826765E-03*aet+2.80119267840787E-03*canopy+9.91584617301507E-03*sand+7.38455073603714E-04*hand+0.170674923327723*pga-8.82759815145594E-03*cwr+4.11873095235231E-02*SHDI+2.62984385612675E-02*KG-Cfa+6.74827829870953E-02*KG-Cfb-0.164225969994992*KG-Csa+0.432116903215736*KG-Dfa-1.42781315944091E-02*KG-Dfb+9.23141509171253E-03*KG-Dfc+2.11181533570415E-02*KG-Dsa-0.173335770683365*KG-Dsb-5.27219119907735E-02*KG-ET-0.186223191150712*LZ-1b+0.477458008902641*LZ-2e+9.42453394345593E-02*LZ-2b+0.345627433882493*LZ-2c+5.97531366048951E-02*LZ-2f-8.57078128064541E-02*LZ-2a-9.03604349828055E-02*LZ-2g+0.160634310319838*LZ-3f-0.447231981570985*LZ-5e-0.256770733658484*LZ-5d-2.60889170878366E-02*LZ-5f-0.296228945423362*LZ-6f+1.03873628010701E-02*LZ-6d</t>
  </si>
  <si>
    <t>Results for variable sy:</t>
  </si>
  <si>
    <t>Goodness of fit statistics (Variable sy):</t>
  </si>
  <si>
    <t>Sum of weights</t>
  </si>
  <si>
    <t>DF</t>
  </si>
  <si>
    <t>R²</t>
  </si>
  <si>
    <t>MSE</t>
  </si>
  <si>
    <t>RMSE</t>
  </si>
  <si>
    <t>VIDs (Variable sy):</t>
  </si>
  <si>
    <t>VID</t>
  </si>
  <si>
    <t>Lower bound (95%)</t>
  </si>
  <si>
    <t>Upper bound (95%)</t>
  </si>
  <si>
    <t>Coefficients (Variable sy):</t>
  </si>
  <si>
    <t>Coefficient</t>
  </si>
  <si>
    <t>Standardized coefficients (Variable sy):</t>
  </si>
  <si>
    <t>Predictions and residuals (Variable sy):</t>
  </si>
  <si>
    <t>Weight</t>
  </si>
  <si>
    <t>Pred(sy)</t>
  </si>
  <si>
    <t>Residual</t>
  </si>
  <si>
    <t>Std. residual</t>
  </si>
  <si>
    <t>Std. dev. on pred. (Mean)</t>
  </si>
  <si>
    <t>Lower bound 95%(Mean)</t>
  </si>
  <si>
    <t>Upper bound 95%(Mean)</t>
  </si>
  <si>
    <t>Std. dev. on pred. (Observation)</t>
  </si>
  <si>
    <t>Lower bound 95% (Observation)</t>
  </si>
  <si>
    <t>Upper bound 95% (Observation)</t>
  </si>
  <si>
    <t>Outliers analysis:</t>
  </si>
  <si>
    <t>DModX</t>
  </si>
  <si>
    <t>DModY</t>
  </si>
  <si>
    <t>Standardized dModX</t>
  </si>
  <si>
    <t>Standardized dModY</t>
  </si>
  <si>
    <t>Values of DModX and DModY that are greater than their respective critical values are displayed in bold (DCrit(X)=1.240 / DCrit(Y)=1.509)</t>
  </si>
  <si>
    <r>
      <t>XLSTAT 2021.3.1.1190 - PLS Regression - Start time: 04/10/2021 at 12:46:29 / End time: 04/10/2021 at 12:46:34</t>
    </r>
    <r>
      <rPr>
        <sz val="11"/>
        <color rgb="FFFFFFFF"/>
        <rFont val="Calibri"/>
        <family val="2"/>
        <charset val="204"/>
        <scheme val="minor"/>
      </rPr>
      <t xml:space="preserve"> / Microsoft Excel 16.014326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</si>
</sst>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11"/>
      <color rgb="FFFFFFFF"/>
      <name val="Calibri"/>
      <family val="2"/>
      <charset val="204"/>
      <scheme val="minor"/>
    </font>
    <font>
      <sz val="11"/>
      <color rgb="FF008941"/>
      <name val="Calibri"/>
      <family val="2"/>
      <charset val="204"/>
      <scheme val="minor"/>
    </font>
    <font>
      <sz val="11"/>
      <color rgb="FF007800"/>
      <name val="Calibri"/>
      <family val="2"/>
      <charset val="204"/>
      <scheme val="minor"/>
    </font>
    <font>
      <b/>
      <sz val="11"/>
      <color rgb="FF0078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D7532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/>
    <xf numFmtId="0" fontId="2" fillId="2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0" borderId="0" xfId="0" applyFont="1"/>
    <xf numFmtId="0" fontId="0" fillId="0" borderId="0" xfId="0" applyFont="1"/>
    <xf numFmtId="49" fontId="0" fillId="0" borderId="0" xfId="0" applyNumberFormat="1" applyAlignment="1"/>
    <xf numFmtId="0" fontId="0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49" fontId="4" fillId="0" borderId="2" xfId="0" applyNumberFormat="1" applyFont="1" applyBorder="1" applyAlignment="1"/>
    <xf numFmtId="49" fontId="0" fillId="0" borderId="3" xfId="0" applyNumberFormat="1" applyBorder="1" applyAlignment="1"/>
    <xf numFmtId="0" fontId="4" fillId="0" borderId="2" xfId="0" applyNumberFormat="1" applyFont="1" applyBorder="1" applyAlignment="1"/>
    <xf numFmtId="0" fontId="0" fillId="0" borderId="0" xfId="0" applyNumberFormat="1" applyAlignment="1"/>
    <xf numFmtId="0" fontId="0" fillId="0" borderId="3" xfId="0" applyNumberFormat="1" applyBorder="1" applyAlignment="1"/>
    <xf numFmtId="164" fontId="4" fillId="0" borderId="2" xfId="0" applyNumberFormat="1" applyFon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0" fontId="0" fillId="0" borderId="2" xfId="0" applyNumberFormat="1" applyBorder="1" applyAlignment="1"/>
    <xf numFmtId="0" fontId="0" fillId="0" borderId="2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3" xfId="0" applyNumberFormat="1" applyBorder="1" applyAlignment="1">
      <alignment horizontal="left"/>
    </xf>
    <xf numFmtId="49" fontId="0" fillId="0" borderId="2" xfId="0" applyNumberFormat="1" applyBorder="1" applyAlignment="1"/>
    <xf numFmtId="164" fontId="0" fillId="0" borderId="2" xfId="0" applyNumberFormat="1" applyBorder="1" applyAlignment="1"/>
    <xf numFmtId="0" fontId="0" fillId="0" borderId="1" xfId="0" applyBorder="1"/>
    <xf numFmtId="49" fontId="5" fillId="0" borderId="1" xfId="0" applyNumberFormat="1" applyFont="1" applyBorder="1" applyAlignment="1">
      <alignment horizontal="center" vertical="center" wrapText="1"/>
    </xf>
    <xf numFmtId="49" fontId="5" fillId="0" borderId="3" xfId="0" applyNumberFormat="1" applyFont="1" applyBorder="1" applyAlignment="1"/>
    <xf numFmtId="164" fontId="5" fillId="0" borderId="2" xfId="0" applyNumberFormat="1" applyFont="1" applyBorder="1" applyAlignment="1"/>
    <xf numFmtId="164" fontId="5" fillId="0" borderId="0" xfId="0" applyNumberFormat="1" applyFont="1" applyAlignment="1"/>
    <xf numFmtId="164" fontId="5" fillId="0" borderId="3" xfId="0" applyNumberFormat="1" applyFont="1" applyBorder="1" applyAlignment="1"/>
    <xf numFmtId="0" fontId="1" fillId="0" borderId="2" xfId="0" applyNumberFormat="1" applyFont="1" applyBorder="1" applyAlignment="1"/>
    <xf numFmtId="164" fontId="1" fillId="0" borderId="0" xfId="0" applyNumberFormat="1" applyFont="1" applyAlignment="1"/>
    <xf numFmtId="0" fontId="1" fillId="0" borderId="0" xfId="0" applyNumberFormat="1" applyFont="1" applyAlignment="1"/>
    <xf numFmtId="0" fontId="6" fillId="0" borderId="3" xfId="0" applyNumberFormat="1" applyFont="1" applyBorder="1" applyAlignment="1"/>
    <xf numFmtId="49" fontId="0" fillId="0" borderId="4" xfId="0" applyNumberFormat="1" applyBorder="1" applyAlignment="1"/>
    <xf numFmtId="164" fontId="0" fillId="0" borderId="4" xfId="0" applyNumberFormat="1" applyBorder="1" applyAlignment="1"/>
    <xf numFmtId="49" fontId="0" fillId="0" borderId="5" xfId="0" applyNumberFormat="1" applyFont="1" applyBorder="1" applyAlignment="1">
      <alignment horizontal="center" vertical="center" wrapText="1"/>
    </xf>
    <xf numFmtId="164" fontId="0" fillId="0" borderId="6" xfId="0" applyNumberFormat="1" applyBorder="1" applyAlignment="1"/>
    <xf numFmtId="164" fontId="0" fillId="0" borderId="7" xfId="0" applyNumberFormat="1" applyBorder="1" applyAlignment="1"/>
    <xf numFmtId="164" fontId="0" fillId="0" borderId="8" xfId="0" applyNumberFormat="1" applyBorder="1" applyAlignment="1"/>
    <xf numFmtId="0" fontId="0" fillId="0" borderId="7" xfId="0" applyBorder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" xfId="0" applyBorder="1" applyAlignment="1"/>
    <xf numFmtId="164" fontId="0" fillId="0" borderId="1" xfId="0" applyNumberFormat="1" applyBorder="1" applyAlignment="1"/>
    <xf numFmtId="164" fontId="1" fillId="0" borderId="3" xfId="0" applyNumberFormat="1" applyFont="1" applyBorder="1" applyAlignment="1"/>
    <xf numFmtId="0" fontId="7" fillId="0" borderId="0" xfId="0" applyFont="1"/>
    <xf numFmtId="0" fontId="8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Model quality by number of components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Q² cum</c:v>
          </c:tx>
          <c:spPr>
            <a:solidFill>
              <a:srgbClr val="FF6600"/>
            </a:solidFill>
            <a:ln>
              <a:solidFill>
                <a:srgbClr val="FF6600"/>
              </a:solidFill>
              <a:prstDash val="solid"/>
            </a:ln>
          </c:spPr>
          <c:invertIfNegative val="0"/>
          <c:cat>
            <c:strRef>
              <c:f>'PLS-R'!$C$120:$F$120</c:f>
              <c:strCache>
                <c:ptCount val="4"/>
                <c:pt idx="0">
                  <c:v>Comp1</c:v>
                </c:pt>
                <c:pt idx="1">
                  <c:v>Comp2</c:v>
                </c:pt>
                <c:pt idx="2">
                  <c:v>Comp3</c:v>
                </c:pt>
                <c:pt idx="3">
                  <c:v>Comp4</c:v>
                </c:pt>
              </c:strCache>
            </c:strRef>
          </c:cat>
          <c:val>
            <c:numRef>
              <c:f>'PLS-R'!$C$121:$F$121</c:f>
              <c:numCache>
                <c:formatCode>0.000</c:formatCode>
                <c:ptCount val="4"/>
                <c:pt idx="0">
                  <c:v>0.40732147287652853</c:v>
                </c:pt>
                <c:pt idx="1">
                  <c:v>0.49326358650014257</c:v>
                </c:pt>
                <c:pt idx="2">
                  <c:v>0.5142490722994868</c:v>
                </c:pt>
                <c:pt idx="3">
                  <c:v>0.50593881255629825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07-4EE0-AC82-25C19B3545DD}"/>
            </c:ext>
          </c:extLst>
        </c:ser>
        <c:ser>
          <c:idx val="1"/>
          <c:order val="1"/>
          <c:tx>
            <c:v>R²Y cum</c:v>
          </c:tx>
          <c:spPr>
            <a:solidFill>
              <a:srgbClr val="007800"/>
            </a:solidFill>
            <a:ln>
              <a:solidFill>
                <a:srgbClr val="007800"/>
              </a:solidFill>
              <a:prstDash val="solid"/>
            </a:ln>
          </c:spPr>
          <c:invertIfNegative val="0"/>
          <c:cat>
            <c:strRef>
              <c:f>'PLS-R'!$C$120:$F$120</c:f>
              <c:strCache>
                <c:ptCount val="4"/>
                <c:pt idx="0">
                  <c:v>Comp1</c:v>
                </c:pt>
                <c:pt idx="1">
                  <c:v>Comp2</c:v>
                </c:pt>
                <c:pt idx="2">
                  <c:v>Comp3</c:v>
                </c:pt>
                <c:pt idx="3">
                  <c:v>Comp4</c:v>
                </c:pt>
              </c:strCache>
            </c:strRef>
          </c:cat>
          <c:val>
            <c:numRef>
              <c:f>'PLS-R'!$C$122:$F$122</c:f>
              <c:numCache>
                <c:formatCode>0.000</c:formatCode>
                <c:ptCount val="4"/>
                <c:pt idx="0">
                  <c:v>0.43835145925905222</c:v>
                </c:pt>
                <c:pt idx="1">
                  <c:v>0.57717986963692303</c:v>
                </c:pt>
                <c:pt idx="2">
                  <c:v>0.62380868192634564</c:v>
                </c:pt>
                <c:pt idx="3">
                  <c:v>0.64027721801542714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07-4EE0-AC82-25C19B3545DD}"/>
            </c:ext>
          </c:extLst>
        </c:ser>
        <c:ser>
          <c:idx val="2"/>
          <c:order val="2"/>
          <c:tx>
            <c:v>R²X cum</c:v>
          </c:tx>
          <c:spPr>
            <a:solidFill>
              <a:srgbClr val="989898"/>
            </a:solidFill>
            <a:ln>
              <a:solidFill>
                <a:srgbClr val="989898"/>
              </a:solidFill>
              <a:prstDash val="solid"/>
            </a:ln>
          </c:spPr>
          <c:invertIfNegative val="0"/>
          <c:cat>
            <c:strRef>
              <c:f>'PLS-R'!$C$120:$F$120</c:f>
              <c:strCache>
                <c:ptCount val="4"/>
                <c:pt idx="0">
                  <c:v>Comp1</c:v>
                </c:pt>
                <c:pt idx="1">
                  <c:v>Comp2</c:v>
                </c:pt>
                <c:pt idx="2">
                  <c:v>Comp3</c:v>
                </c:pt>
                <c:pt idx="3">
                  <c:v>Comp4</c:v>
                </c:pt>
              </c:strCache>
            </c:strRef>
          </c:cat>
          <c:val>
            <c:numRef>
              <c:f>'PLS-R'!$C$123:$F$123</c:f>
              <c:numCache>
                <c:formatCode>0.000</c:formatCode>
                <c:ptCount val="4"/>
                <c:pt idx="0">
                  <c:v>0.15024486392792721</c:v>
                </c:pt>
                <c:pt idx="1">
                  <c:v>0.23084738525622925</c:v>
                </c:pt>
                <c:pt idx="2">
                  <c:v>0.33579754634706754</c:v>
                </c:pt>
                <c:pt idx="3">
                  <c:v>0.43938933011187636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07-4EE0-AC82-25C19B354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77022911"/>
        <c:axId val="277023327"/>
      </c:barChart>
      <c:catAx>
        <c:axId val="277022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Components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77023327"/>
        <c:crosses val="autoZero"/>
        <c:auto val="1"/>
        <c:lblAlgn val="ctr"/>
        <c:lblOffset val="100"/>
        <c:noMultiLvlLbl val="0"/>
      </c:catAx>
      <c:valAx>
        <c:axId val="277023327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77022911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Correlations with t on axes t1 and t2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5266001269566862E-2"/>
          <c:y val="7.7950342414094792E-2"/>
          <c:w val="0.84304777082967541"/>
          <c:h val="0.85233686306453071"/>
        </c:manualLayout>
      </c:layout>
      <c:scatterChart>
        <c:scatterStyle val="lineMarker"/>
        <c:varyColors val="0"/>
        <c:ser>
          <c:idx val="0"/>
          <c:order val="0"/>
          <c:tx>
            <c:v>X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8198970840480276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D23-49D9-B4A5-D1A6F1AC15FB}"/>
                </c:ext>
              </c:extLst>
            </c:dLbl>
            <c:dLbl>
              <c:idx val="1"/>
              <c:layout>
                <c:manualLayout>
                  <c:x val="-1.715265866209268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H_station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D23-49D9-B4A5-D1A6F1AC15FB}"/>
                </c:ext>
              </c:extLst>
            </c:dLbl>
            <c:dLbl>
              <c:idx val="2"/>
              <c:layout>
                <c:manualLayout>
                  <c:x val="-7.8061884631487957E-2"/>
                  <c:y val="-3.06513409961686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D23-49D9-B4A5-D1A6F1AC15FB}"/>
                </c:ext>
              </c:extLst>
            </c:dLbl>
            <c:dLbl>
              <c:idx val="3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area_barren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D23-49D9-B4A5-D1A6F1AC15FB}"/>
                </c:ext>
              </c:extLst>
            </c:dLbl>
            <c:dLbl>
              <c:idx val="4"/>
              <c:layout>
                <c:manualLayout>
                  <c:x val="-0.17567753001715267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area_cropland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D23-49D9-B4A5-D1A6F1AC15FB}"/>
                </c:ext>
              </c:extLst>
            </c:dLbl>
            <c:dLbl>
              <c:idx val="5"/>
              <c:layout>
                <c:manualLayout>
                  <c:x val="-1.715265866209268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area_forest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D23-49D9-B4A5-D1A6F1AC15FB}"/>
                </c:ext>
              </c:extLst>
            </c:dLbl>
            <c:dLbl>
              <c:idx val="6"/>
              <c:layout>
                <c:manualLayout>
                  <c:x val="-1.71526586620927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ksn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D23-49D9-B4A5-D1A6F1AC15FB}"/>
                </c:ext>
              </c:extLst>
            </c:dLbl>
            <c:dLbl>
              <c:idx val="7"/>
              <c:layout>
                <c:manualLayout>
                  <c:x val="-7.2212692967409953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0D23-49D9-B4A5-D1A6F1AC15FB}"/>
                </c:ext>
              </c:extLst>
            </c:dLbl>
            <c:dLbl>
              <c:idx val="8"/>
              <c:layout>
                <c:manualLayout>
                  <c:x val="-1.7152658662092687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glacier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D23-49D9-B4A5-D1A6F1AC15FB}"/>
                </c:ext>
              </c:extLst>
            </c:dLbl>
            <c:dLbl>
              <c:idx val="9"/>
              <c:layout>
                <c:manualLayout>
                  <c:x val="-1.7152658662092625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glored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0D23-49D9-B4A5-D1A6F1AC15FB}"/>
                </c:ext>
              </c:extLst>
            </c:dLbl>
            <c:dLbl>
              <c:idx val="10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0D23-49D9-B4A5-D1A6F1AC15FB}"/>
                </c:ext>
              </c:extLst>
            </c:dLbl>
            <c:dLbl>
              <c:idx val="11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0D23-49D9-B4A5-D1A6F1AC15FB}"/>
                </c:ext>
              </c:extLst>
            </c:dLbl>
            <c:dLbl>
              <c:idx val="12"/>
              <c:layout>
                <c:manualLayout>
                  <c:x val="-7.6209397495981962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srad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0D23-49D9-B4A5-D1A6F1AC15FB}"/>
                </c:ext>
              </c:extLst>
            </c:dLbl>
            <c:dLbl>
              <c:idx val="13"/>
              <c:layout>
                <c:manualLayout>
                  <c:x val="-6.581461622614497E-2"/>
                  <c:y val="-3.065134099616854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0D23-49D9-B4A5-D1A6F1AC15FB}"/>
                </c:ext>
              </c:extLst>
            </c:dLbl>
            <c:dLbl>
              <c:idx val="14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canopy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0D23-49D9-B4A5-D1A6F1AC15FB}"/>
                </c:ext>
              </c:extLst>
            </c:dLbl>
            <c:dLbl>
              <c:idx val="15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D23-49D9-B4A5-D1A6F1AC15FB}"/>
                </c:ext>
              </c:extLst>
            </c:dLbl>
            <c:dLbl>
              <c:idx val="16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D23-49D9-B4A5-D1A6F1AC15FB}"/>
                </c:ext>
              </c:extLst>
            </c:dLbl>
            <c:dLbl>
              <c:idx val="17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pga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0D23-49D9-B4A5-D1A6F1AC15FB}"/>
                </c:ext>
              </c:extLst>
            </c:dLbl>
            <c:dLbl>
              <c:idx val="18"/>
              <c:layout>
                <c:manualLayout>
                  <c:x val="-6.999986493969558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cwr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0D23-49D9-B4A5-D1A6F1AC15FB}"/>
                </c:ext>
              </c:extLst>
            </c:dLbl>
            <c:dLbl>
              <c:idx val="19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SHDI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0D23-49D9-B4A5-D1A6F1AC15FB}"/>
                </c:ext>
              </c:extLst>
            </c:dLbl>
            <c:dLbl>
              <c:idx val="20"/>
              <c:layout>
                <c:manualLayout>
                  <c:x val="-0.10090922596939533"/>
                  <c:y val="-3.06513409961686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KG-Cfa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0D23-49D9-B4A5-D1A6F1AC15FB}"/>
                </c:ext>
              </c:extLst>
            </c:dLbl>
            <c:dLbl>
              <c:idx val="21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KG-Cfb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0D23-49D9-B4A5-D1A6F1AC15FB}"/>
                </c:ext>
              </c:extLst>
            </c:dLbl>
            <c:dLbl>
              <c:idx val="22"/>
              <c:layout>
                <c:manualLayout>
                  <c:x val="-0.1029845626072041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KG-Csa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0D23-49D9-B4A5-D1A6F1AC15FB}"/>
                </c:ext>
              </c:extLst>
            </c:dLbl>
            <c:dLbl>
              <c:idx val="23"/>
              <c:layout>
                <c:manualLayout>
                  <c:x val="-0.10288164665523156"/>
                  <c:y val="-3.06513409961685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0D23-49D9-B4A5-D1A6F1AC15FB}"/>
                </c:ext>
              </c:extLst>
            </c:dLbl>
            <c:dLbl>
              <c:idx val="24"/>
              <c:layout>
                <c:manualLayout>
                  <c:x val="-0.10399670452857204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0D23-49D9-B4A5-D1A6F1AC15FB}"/>
                </c:ext>
              </c:extLst>
            </c:dLbl>
            <c:dLbl>
              <c:idx val="25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0D23-49D9-B4A5-D1A6F1AC15FB}"/>
                </c:ext>
              </c:extLst>
            </c:dLbl>
            <c:dLbl>
              <c:idx val="26"/>
              <c:layout>
                <c:manualLayout>
                  <c:x val="-0.104957253413649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KG-Dsa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0D23-49D9-B4A5-D1A6F1AC15FB}"/>
                </c:ext>
              </c:extLst>
            </c:dLbl>
            <c:dLbl>
              <c:idx val="27"/>
              <c:layout>
                <c:manualLayout>
                  <c:x val="-0.10607204116638076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KG-Dsb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0D23-49D9-B4A5-D1A6F1AC15FB}"/>
                </c:ext>
              </c:extLst>
            </c:dLbl>
            <c:dLbl>
              <c:idx val="28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0D23-49D9-B4A5-D1A6F1AC15FB}"/>
                </c:ext>
              </c:extLst>
            </c:dLbl>
            <c:dLbl>
              <c:idx val="29"/>
              <c:layout>
                <c:manualLayout>
                  <c:x val="-8.782161234991423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LZ-1b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0D23-49D9-B4A5-D1A6F1AC15FB}"/>
                </c:ext>
              </c:extLst>
            </c:dLbl>
            <c:dLbl>
              <c:idx val="30"/>
              <c:layout>
                <c:manualLayout>
                  <c:x val="-1.715265866209268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0D23-49D9-B4A5-D1A6F1AC15FB}"/>
                </c:ext>
              </c:extLst>
            </c:dLbl>
            <c:dLbl>
              <c:idx val="31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0D23-49D9-B4A5-D1A6F1AC15FB}"/>
                </c:ext>
              </c:extLst>
            </c:dLbl>
            <c:dLbl>
              <c:idx val="32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0D23-49D9-B4A5-D1A6F1AC15FB}"/>
                </c:ext>
              </c:extLst>
            </c:dLbl>
            <c:dLbl>
              <c:idx val="33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0D23-49D9-B4A5-D1A6F1AC15FB}"/>
                </c:ext>
              </c:extLst>
            </c:dLbl>
            <c:dLbl>
              <c:idx val="34"/>
              <c:layout>
                <c:manualLayout>
                  <c:x val="-1.7152658662092687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0D23-49D9-B4A5-D1A6F1AC15FB}"/>
                </c:ext>
              </c:extLst>
            </c:dLbl>
            <c:dLbl>
              <c:idx val="35"/>
              <c:layout>
                <c:manualLayout>
                  <c:x val="-8.650099269323753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0D23-49D9-B4A5-D1A6F1AC15FB}"/>
                </c:ext>
              </c:extLst>
            </c:dLbl>
            <c:dLbl>
              <c:idx val="36"/>
              <c:layout>
                <c:manualLayout>
                  <c:x val="-8.2521575883632098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LZ-3f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0D23-49D9-B4A5-D1A6F1AC15FB}"/>
                </c:ext>
              </c:extLst>
            </c:dLbl>
            <c:dLbl>
              <c:idx val="37"/>
              <c:layout>
                <c:manualLayout>
                  <c:x val="-8.7152523601788198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0D23-49D9-B4A5-D1A6F1AC15FB}"/>
                </c:ext>
              </c:extLst>
            </c:dLbl>
            <c:dLbl>
              <c:idx val="38"/>
              <c:layout>
                <c:manualLayout>
                  <c:x val="-8.782161234991423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0D23-49D9-B4A5-D1A6F1AC15FB}"/>
                </c:ext>
              </c:extLst>
            </c:dLbl>
            <c:dLbl>
              <c:idx val="39"/>
              <c:layout>
                <c:manualLayout>
                  <c:x val="-8.2521575883632042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D23-49D9-B4A5-D1A6F1AC15FB}"/>
                </c:ext>
              </c:extLst>
            </c:dLbl>
            <c:dLbl>
              <c:idx val="40"/>
              <c:layout>
                <c:manualLayout>
                  <c:x val="-8.2521575883632098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LZ-6f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0D23-49D9-B4A5-D1A6F1AC15FB}"/>
                </c:ext>
              </c:extLst>
            </c:dLbl>
            <c:dLbl>
              <c:idx val="41"/>
              <c:layout>
                <c:manualLayout>
                  <c:x val="-8.782161234991423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LZ-6d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0D23-49D9-B4A5-D1A6F1AC15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'PLS-R'!$C$149:$C$190</c:f>
              <c:numCache>
                <c:formatCode>0.000</c:formatCode>
                <c:ptCount val="42"/>
                <c:pt idx="0">
                  <c:v>-0.15146404008940359</c:v>
                </c:pt>
                <c:pt idx="1">
                  <c:v>0.30095885885426427</c:v>
                </c:pt>
                <c:pt idx="2">
                  <c:v>-0.20104177532404574</c:v>
                </c:pt>
                <c:pt idx="3">
                  <c:v>0.74035675812549229</c:v>
                </c:pt>
                <c:pt idx="4">
                  <c:v>-0.60204410506336725</c:v>
                </c:pt>
                <c:pt idx="5">
                  <c:v>8.3382908026546881E-2</c:v>
                </c:pt>
                <c:pt idx="6">
                  <c:v>0.81911870425394162</c:v>
                </c:pt>
                <c:pt idx="7">
                  <c:v>-0.31123637335143989</c:v>
                </c:pt>
                <c:pt idx="8">
                  <c:v>0.18215982788131624</c:v>
                </c:pt>
                <c:pt idx="9">
                  <c:v>0.10203796012567712</c:v>
                </c:pt>
                <c:pt idx="10">
                  <c:v>0.61171090925550708</c:v>
                </c:pt>
                <c:pt idx="11">
                  <c:v>0.49233429595660738</c:v>
                </c:pt>
                <c:pt idx="12">
                  <c:v>-4.873840991990074E-4</c:v>
                </c:pt>
                <c:pt idx="13">
                  <c:v>-0.13485737852436711</c:v>
                </c:pt>
                <c:pt idx="14">
                  <c:v>0.29885959886594204</c:v>
                </c:pt>
                <c:pt idx="15">
                  <c:v>0.60997403719708465</c:v>
                </c:pt>
                <c:pt idx="16">
                  <c:v>0.88879283933075526</c:v>
                </c:pt>
                <c:pt idx="17">
                  <c:v>0.62836434308370648</c:v>
                </c:pt>
                <c:pt idx="18">
                  <c:v>-0.54450557899128527</c:v>
                </c:pt>
                <c:pt idx="19">
                  <c:v>0.55937174576495019</c:v>
                </c:pt>
                <c:pt idx="20">
                  <c:v>-0.49008024661475696</c:v>
                </c:pt>
                <c:pt idx="21">
                  <c:v>4.034593523044179E-2</c:v>
                </c:pt>
                <c:pt idx="22">
                  <c:v>-0.12914341753823128</c:v>
                </c:pt>
                <c:pt idx="23">
                  <c:v>-4.560003326150211E-2</c:v>
                </c:pt>
                <c:pt idx="24">
                  <c:v>-0.17487080661404736</c:v>
                </c:pt>
                <c:pt idx="25">
                  <c:v>0.60259796823445588</c:v>
                </c:pt>
                <c:pt idx="26">
                  <c:v>-4.3415828034864448E-2</c:v>
                </c:pt>
                <c:pt idx="27">
                  <c:v>-0.1859840925418981</c:v>
                </c:pt>
                <c:pt idx="28">
                  <c:v>0.30510194157843384</c:v>
                </c:pt>
                <c:pt idx="29">
                  <c:v>-0.47023071014512652</c:v>
                </c:pt>
                <c:pt idx="30">
                  <c:v>0.26937059822081288</c:v>
                </c:pt>
                <c:pt idx="31">
                  <c:v>0.29789977067485252</c:v>
                </c:pt>
                <c:pt idx="32">
                  <c:v>0.18121239061639338</c:v>
                </c:pt>
                <c:pt idx="33">
                  <c:v>0.33404389066616047</c:v>
                </c:pt>
                <c:pt idx="34">
                  <c:v>1.8055867693163537E-2</c:v>
                </c:pt>
                <c:pt idx="35">
                  <c:v>-0.16653971987092145</c:v>
                </c:pt>
                <c:pt idx="36">
                  <c:v>-3.3578617288849678E-2</c:v>
                </c:pt>
                <c:pt idx="37">
                  <c:v>-0.19196281240818361</c:v>
                </c:pt>
                <c:pt idx="38">
                  <c:v>-0.35764637731121396</c:v>
                </c:pt>
                <c:pt idx="39">
                  <c:v>-2.3085549985548751E-2</c:v>
                </c:pt>
                <c:pt idx="40">
                  <c:v>-0.10735257743436566</c:v>
                </c:pt>
                <c:pt idx="41">
                  <c:v>-0.14275226330009783</c:v>
                </c:pt>
              </c:numCache>
            </c:numRef>
          </c:xVal>
          <c:yVal>
            <c:numRef>
              <c:f>'PLS-R'!$D$149:$D$190</c:f>
              <c:numCache>
                <c:formatCode>0.000</c:formatCode>
                <c:ptCount val="42"/>
                <c:pt idx="0">
                  <c:v>0.32450042646800409</c:v>
                </c:pt>
                <c:pt idx="1">
                  <c:v>-0.60588691613522094</c:v>
                </c:pt>
                <c:pt idx="2">
                  <c:v>0.6327394648514334</c:v>
                </c:pt>
                <c:pt idx="3">
                  <c:v>1.7045039591863445E-2</c:v>
                </c:pt>
                <c:pt idx="4">
                  <c:v>0.32405639436562089</c:v>
                </c:pt>
                <c:pt idx="5">
                  <c:v>0.14076958335972564</c:v>
                </c:pt>
                <c:pt idx="6">
                  <c:v>-0.31709773518156825</c:v>
                </c:pt>
                <c:pt idx="7">
                  <c:v>0.37404452521920423</c:v>
                </c:pt>
                <c:pt idx="8">
                  <c:v>0.15149890623526771</c:v>
                </c:pt>
                <c:pt idx="9">
                  <c:v>0.23391474927117037</c:v>
                </c:pt>
                <c:pt idx="10">
                  <c:v>-0.13194285668788808</c:v>
                </c:pt>
                <c:pt idx="11">
                  <c:v>-4.7244033994978049E-2</c:v>
                </c:pt>
                <c:pt idx="12">
                  <c:v>-0.58994623012265002</c:v>
                </c:pt>
                <c:pt idx="13">
                  <c:v>0.24804202111736193</c:v>
                </c:pt>
                <c:pt idx="14">
                  <c:v>6.2264484438761196E-2</c:v>
                </c:pt>
                <c:pt idx="15">
                  <c:v>-0.43062292286391129</c:v>
                </c:pt>
                <c:pt idx="16">
                  <c:v>-0.2494506685626916</c:v>
                </c:pt>
                <c:pt idx="17">
                  <c:v>-1.6022810252817377E-4</c:v>
                </c:pt>
                <c:pt idx="18">
                  <c:v>-0.17446510279899391</c:v>
                </c:pt>
                <c:pt idx="19">
                  <c:v>0.16153668852320402</c:v>
                </c:pt>
                <c:pt idx="20">
                  <c:v>0.57389932882633632</c:v>
                </c:pt>
                <c:pt idx="21">
                  <c:v>-1.560874165346827E-2</c:v>
                </c:pt>
                <c:pt idx="22">
                  <c:v>1.0485944776393022E-2</c:v>
                </c:pt>
                <c:pt idx="23">
                  <c:v>0.2132074888809678</c:v>
                </c:pt>
                <c:pt idx="24">
                  <c:v>-0.35517139298110978</c:v>
                </c:pt>
                <c:pt idx="25">
                  <c:v>-7.5832404281244332E-3</c:v>
                </c:pt>
                <c:pt idx="26">
                  <c:v>-0.12920517843590504</c:v>
                </c:pt>
                <c:pt idx="27">
                  <c:v>-0.19916263739776274</c:v>
                </c:pt>
                <c:pt idx="28">
                  <c:v>-0.13700285851792721</c:v>
                </c:pt>
                <c:pt idx="29">
                  <c:v>0.32785540391033502</c:v>
                </c:pt>
                <c:pt idx="30">
                  <c:v>0.327678446922054</c:v>
                </c:pt>
                <c:pt idx="31">
                  <c:v>0.17351078805501702</c:v>
                </c:pt>
                <c:pt idx="32">
                  <c:v>0.11531590866387084</c:v>
                </c:pt>
                <c:pt idx="33">
                  <c:v>-8.4955162202418791E-2</c:v>
                </c:pt>
                <c:pt idx="34">
                  <c:v>-0.13532742763750583</c:v>
                </c:pt>
                <c:pt idx="35">
                  <c:v>0.19804128667722226</c:v>
                </c:pt>
                <c:pt idx="36">
                  <c:v>0.14219053258145517</c:v>
                </c:pt>
                <c:pt idx="37">
                  <c:v>-0.32280387832143598</c:v>
                </c:pt>
                <c:pt idx="38">
                  <c:v>-0.55170189939655079</c:v>
                </c:pt>
                <c:pt idx="39">
                  <c:v>-3.2903731620011617E-2</c:v>
                </c:pt>
                <c:pt idx="40">
                  <c:v>7.8311333124592084E-3</c:v>
                </c:pt>
                <c:pt idx="41">
                  <c:v>-5.0642005158902062E-2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23-49D9-B4A5-D1A6F1AC15FB}"/>
            </c:ext>
          </c:extLst>
        </c:ser>
        <c:ser>
          <c:idx val="1"/>
          <c:order val="1"/>
          <c:tx>
            <c:v>Y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152658662092625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0D23-49D9-B4A5-D1A6F1AC15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'PLS-R'!$C$191</c:f>
              <c:numCache>
                <c:formatCode>0.000</c:formatCode>
                <c:ptCount val="1"/>
                <c:pt idx="0">
                  <c:v>0.66208115760762454</c:v>
                </c:pt>
              </c:numCache>
            </c:numRef>
          </c:xVal>
          <c:yVal>
            <c:numRef>
              <c:f>'PLS-R'!$D$191</c:f>
              <c:numCache>
                <c:formatCode>0.000</c:formatCode>
                <c:ptCount val="1"/>
                <c:pt idx="0">
                  <c:v>0.37259684697789747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23-49D9-B4A5-D1A6F1AC15FB}"/>
            </c:ext>
          </c:extLst>
        </c:ser>
        <c:ser>
          <c:idx val="2"/>
          <c:order val="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XLSTAT_20211004_124611_1_HID!xcirclez1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XLSTAT_20211004_124611_1_HID!ycirclez1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23-49D9-B4A5-D1A6F1AC15FB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XLSTAT_20211004_124611_1_HID!xcircle126696521</c:f>
              <c:numCache>
                <c:formatCode>General</c:formatCode>
                <c:ptCount val="500"/>
                <c:pt idx="0">
                  <c:v>-0.70710678118654802</c:v>
                </c:pt>
                <c:pt idx="1">
                  <c:v>-0.70705072701814309</c:v>
                </c:pt>
                <c:pt idx="2">
                  <c:v>-0.70688257340004368</c:v>
                </c:pt>
                <c:pt idx="3">
                  <c:v>-0.70660234699218727</c:v>
                </c:pt>
                <c:pt idx="4">
                  <c:v>-0.70621009222310616</c:v>
                </c:pt>
                <c:pt idx="5">
                  <c:v>-0.70570587128288365</c:v>
                </c:pt>
                <c:pt idx="6">
                  <c:v>-0.70508976411329471</c:v>
                </c:pt>
                <c:pt idx="7">
                  <c:v>-0.70436186839513082</c:v>
                </c:pt>
                <c:pt idx="8">
                  <c:v>-0.70352229953271339</c:v>
                </c:pt>
                <c:pt idx="9">
                  <c:v>-0.70257119063559725</c:v>
                </c:pt>
                <c:pt idx="10">
                  <c:v>-0.7015086924974665</c:v>
                </c:pt>
                <c:pt idx="11">
                  <c:v>-0.70033497357222696</c:v>
                </c:pt>
                <c:pt idx="12">
                  <c:v>-0.69905021994729866</c:v>
                </c:pt>
                <c:pt idx="13">
                  <c:v>-0.69765463531411254</c:v>
                </c:pt>
                <c:pt idx="14">
                  <c:v>-0.69614844093581618</c:v>
                </c:pt>
                <c:pt idx="15">
                  <c:v>-0.69453187561219365</c:v>
                </c:pt>
                <c:pt idx="16">
                  <c:v>-0.69280519564180509</c:v>
                </c:pt>
                <c:pt idx="17">
                  <c:v>-0.69096867478135127</c:v>
                </c:pt>
                <c:pt idx="18">
                  <c:v>-0.68902260420227168</c:v>
                </c:pt>
                <c:pt idx="19">
                  <c:v>-0.68696729244457988</c:v>
                </c:pt>
                <c:pt idx="20">
                  <c:v>-0.68480306536794644</c:v>
                </c:pt>
                <c:pt idx="21">
                  <c:v>-0.68253026610003542</c:v>
                </c:pt>
                <c:pt idx="22">
                  <c:v>-0.68014925498210299</c:v>
                </c:pt>
                <c:pt idx="23">
                  <c:v>-0.67766040951186712</c:v>
                </c:pt>
                <c:pt idx="24">
                  <c:v>-0.67506412428365781</c:v>
                </c:pt>
                <c:pt idx="25">
                  <c:v>-0.67236081092585465</c:v>
                </c:pt>
                <c:pt idx="26">
                  <c:v>-0.66955089803562651</c:v>
                </c:pt>
                <c:pt idx="27">
                  <c:v>-0.66663483111097899</c:v>
                </c:pt>
                <c:pt idx="28">
                  <c:v>-0.66361307248012269</c:v>
                </c:pt>
                <c:pt idx="29">
                  <c:v>-0.66048610122817375</c:v>
                </c:pt>
                <c:pt idx="30">
                  <c:v>-0.65725441312119715</c:v>
                </c:pt>
                <c:pt idx="31">
                  <c:v>-0.6539185205276048</c:v>
                </c:pt>
                <c:pt idx="32">
                  <c:v>-0.65047895233692299</c:v>
                </c:pt>
                <c:pt idx="33">
                  <c:v>-0.646936253875939</c:v>
                </c:pt>
                <c:pt idx="34">
                  <c:v>-0.64329098682224217</c:v>
                </c:pt>
                <c:pt idx="35">
                  <c:v>-0.63954372911517265</c:v>
                </c:pt>
                <c:pt idx="36">
                  <c:v>-0.63569507486419241</c:v>
                </c:pt>
                <c:pt idx="37">
                  <c:v>-0.63174563425469121</c:v>
                </c:pt>
                <c:pt idx="38">
                  <c:v>-0.62769603345124536</c:v>
                </c:pt>
                <c:pt idx="39">
                  <c:v>-0.62354691449834243</c:v>
                </c:pt>
                <c:pt idx="40">
                  <c:v>-0.61929893521858748</c:v>
                </c:pt>
                <c:pt idx="41">
                  <c:v>-0.61495276910840924</c:v>
                </c:pt>
                <c:pt idx="42">
                  <c:v>-0.61050910523128044</c:v>
                </c:pt>
                <c:pt idx="43">
                  <c:v>-0.60596864810846973</c:v>
                </c:pt>
                <c:pt idx="44">
                  <c:v>-0.60133211760734351</c:v>
                </c:pt>
                <c:pt idx="45">
                  <c:v>-0.59660024882723472</c:v>
                </c:pt>
                <c:pt idx="46">
                  <c:v>-0.59177379198289592</c:v>
                </c:pt>
                <c:pt idx="47">
                  <c:v>-0.5868535122855566</c:v>
                </c:pt>
                <c:pt idx="48">
                  <c:v>-0.58184018982160302</c:v>
                </c:pt>
                <c:pt idx="49">
                  <c:v>-0.57673461942889881</c:v>
                </c:pt>
                <c:pt idx="50">
                  <c:v>-0.57153761057076724</c:v>
                </c:pt>
                <c:pt idx="51">
                  <c:v>-0.56624998720765563</c:v>
                </c:pt>
                <c:pt idx="52">
                  <c:v>-0.56087258766649939</c:v>
                </c:pt>
                <c:pt idx="53">
                  <c:v>-0.5554062645078095</c:v>
                </c:pt>
                <c:pt idx="54">
                  <c:v>-0.54985188439050414</c:v>
                </c:pt>
                <c:pt idx="55">
                  <c:v>-0.54421032793450319</c:v>
                </c:pt>
                <c:pt idx="56">
                  <c:v>-0.53848248958111</c:v>
                </c:pt>
                <c:pt idx="57">
                  <c:v>-0.53266927745120352</c:v>
                </c:pt>
                <c:pt idx="58">
                  <c:v>-0.52677161320125876</c:v>
                </c:pt>
                <c:pt idx="59">
                  <c:v>-0.52079043187722263</c:v>
                </c:pt>
                <c:pt idx="60">
                  <c:v>-0.51472668176626857</c:v>
                </c:pt>
                <c:pt idx="61">
                  <c:v>-0.50858132424644809</c:v>
                </c:pt>
                <c:pt idx="62">
                  <c:v>-0.50235533363427021</c:v>
                </c:pt>
                <c:pt idx="63">
                  <c:v>-0.49604969703022866</c:v>
                </c:pt>
                <c:pt idx="64">
                  <c:v>-0.48966541416230064</c:v>
                </c:pt>
                <c:pt idx="65">
                  <c:v>-0.48320349722744566</c:v>
                </c:pt>
                <c:pt idx="66">
                  <c:v>-0.47666497073112696</c:v>
                </c:pt>
                <c:pt idx="67">
                  <c:v>-0.47005087132488005</c:v>
                </c:pt>
                <c:pt idx="68">
                  <c:v>-0.46336224764195755</c:v>
                </c:pt>
                <c:pt idx="69">
                  <c:v>-0.45660016013107352</c:v>
                </c:pt>
                <c:pt idx="70">
                  <c:v>-0.44976568088827396</c:v>
                </c:pt>
                <c:pt idx="71">
                  <c:v>-0.44285989348696098</c:v>
                </c:pt>
                <c:pt idx="72">
                  <c:v>-0.43588389280609907</c:v>
                </c:pt>
                <c:pt idx="73">
                  <c:v>-0.4288387848566253</c:v>
                </c:pt>
                <c:pt idx="74">
                  <c:v>-0.42172568660609777</c:v>
                </c:pt>
                <c:pt idx="75">
                  <c:v>-0.41454572580160659</c:v>
                </c:pt>
                <c:pt idx="76">
                  <c:v>-0.40730004079097321</c:v>
                </c:pt>
                <c:pt idx="77">
                  <c:v>-0.39998978034227189</c:v>
                </c:pt>
                <c:pt idx="78">
                  <c:v>-0.39261610346169928</c:v>
                </c:pt>
                <c:pt idx="79">
                  <c:v>-0.3851801792098174</c:v>
                </c:pt>
                <c:pt idx="80">
                  <c:v>-0.37768318651620586</c:v>
                </c:pt>
                <c:pt idx="81">
                  <c:v>-0.37012631399254919</c:v>
                </c:pt>
                <c:pt idx="82">
                  <c:v>-0.36251075974418662</c:v>
                </c:pt>
                <c:pt idx="83">
                  <c:v>-0.35483773118015904</c:v>
                </c:pt>
                <c:pt idx="84">
                  <c:v>-0.34710844482178105</c:v>
                </c:pt>
                <c:pt idx="85">
                  <c:v>-0.3393241261097657</c:v>
                </c:pt>
                <c:pt idx="86">
                  <c:v>-0.33148600920993782</c:v>
                </c:pt>
                <c:pt idx="87">
                  <c:v>-0.32359533681756358</c:v>
                </c:pt>
                <c:pt idx="88">
                  <c:v>-0.31565335996032606</c:v>
                </c:pt>
                <c:pt idx="89">
                  <c:v>-0.30766133779998112</c:v>
                </c:pt>
                <c:pt idx="90">
                  <c:v>-0.29962053743272465</c:v>
                </c:pt>
                <c:pt idx="91">
                  <c:v>-0.29153223368829873</c:v>
                </c:pt>
                <c:pt idx="92">
                  <c:v>-0.28339770892787525</c:v>
                </c:pt>
                <c:pt idx="93">
                  <c:v>-0.27521825284074292</c:v>
                </c:pt>
                <c:pt idx="94">
                  <c:v>-0.26699516223983316</c:v>
                </c:pt>
                <c:pt idx="95">
                  <c:v>-0.25872974085611755</c:v>
                </c:pt>
                <c:pt idx="96">
                  <c:v>-0.25042329913190703</c:v>
                </c:pt>
                <c:pt idx="97">
                  <c:v>-0.24207715401308741</c:v>
                </c:pt>
                <c:pt idx="98">
                  <c:v>-0.23369262874032479</c:v>
                </c:pt>
                <c:pt idx="99">
                  <c:v>-0.22527105263927169</c:v>
                </c:pt>
                <c:pt idx="100">
                  <c:v>-0.21681376090980908</c:v>
                </c:pt>
                <c:pt idx="101">
                  <c:v>-0.20832209441435653</c:v>
                </c:pt>
                <c:pt idx="102">
                  <c:v>-0.1997973994652858</c:v>
                </c:pt>
                <c:pt idx="103">
                  <c:v>-0.19124102761146908</c:v>
                </c:pt>
                <c:pt idx="104">
                  <c:v>-0.18265433542399714</c:v>
                </c:pt>
                <c:pt idx="105">
                  <c:v>-0.17403868428110253</c:v>
                </c:pt>
                <c:pt idx="106">
                  <c:v>-0.16539544015231897</c:v>
                </c:pt>
                <c:pt idx="107">
                  <c:v>-0.15672597338191346</c:v>
                </c:pt>
                <c:pt idx="108">
                  <c:v>-0.1480316584716255</c:v>
                </c:pt>
                <c:pt idx="109">
                  <c:v>-0.13931387386274621</c:v>
                </c:pt>
                <c:pt idx="110">
                  <c:v>-0.13057400171757261</c:v>
                </c:pt>
                <c:pt idx="111">
                  <c:v>-0.12181342770027358</c:v>
                </c:pt>
                <c:pt idx="112">
                  <c:v>-0.11303354075719894</c:v>
                </c:pt>
                <c:pt idx="113">
                  <c:v>-0.10423573289666845</c:v>
                </c:pt>
                <c:pt idx="114">
                  <c:v>-9.542139896827645E-2</c:v>
                </c:pt>
                <c:pt idx="115">
                  <c:v>-8.6591936441744968E-2</c:v>
                </c:pt>
                <c:pt idx="116">
                  <c:v>-7.7748745185361054E-2</c:v>
                </c:pt>
                <c:pt idx="117">
                  <c:v>-6.8893227244035488E-2</c:v>
                </c:pt>
                <c:pt idx="118">
                  <c:v>-6.0026786617014959E-2</c:v>
                </c:pt>
                <c:pt idx="119">
                  <c:v>-5.1150829035284284E-2</c:v>
                </c:pt>
                <c:pt idx="120">
                  <c:v>-4.2266761738695612E-2</c:v>
                </c:pt>
                <c:pt idx="121">
                  <c:v>-3.3375993252856839E-2</c:v>
                </c:pt>
                <c:pt idx="122">
                  <c:v>-2.4479933165816356E-2</c:v>
                </c:pt>
                <c:pt idx="123">
                  <c:v>-1.5579991904580613E-2</c:v>
                </c:pt>
                <c:pt idx="124">
                  <c:v>-6.6775805114973269E-3</c:v>
                </c:pt>
                <c:pt idx="125">
                  <c:v>2.2258895794588776E-3</c:v>
                </c:pt>
                <c:pt idx="126">
                  <c:v>1.1129006766461514E-2</c:v>
                </c:pt>
                <c:pt idx="127">
                  <c:v>2.0030359503635298E-2</c:v>
                </c:pt>
                <c:pt idx="128">
                  <c:v>2.8928536524850348E-2</c:v>
                </c:pt>
                <c:pt idx="129">
                  <c:v>3.7822127067470603E-2</c:v>
                </c:pt>
                <c:pt idx="130">
                  <c:v>4.6709721096023865E-2</c:v>
                </c:pt>
                <c:pt idx="131">
                  <c:v>5.5589909525756487E-2</c:v>
                </c:pt>
                <c:pt idx="132">
                  <c:v>6.4461284446036007E-2</c:v>
                </c:pt>
                <c:pt idx="133">
                  <c:v>7.3322439343568954E-2</c:v>
                </c:pt>
                <c:pt idx="134">
                  <c:v>8.2171969325397179E-2</c:v>
                </c:pt>
                <c:pt idx="135">
                  <c:v>9.100847134163581E-2</c:v>
                </c:pt>
                <c:pt idx="136">
                  <c:v>9.983054440792051E-2</c:v>
                </c:pt>
                <c:pt idx="137">
                  <c:v>0.10863678982752717</c:v>
                </c:pt>
                <c:pt idx="138">
                  <c:v>0.11742581141312744</c:v>
                </c:pt>
                <c:pt idx="139">
                  <c:v>0.1261962157081481</c:v>
                </c:pt>
                <c:pt idx="140">
                  <c:v>0.13494661220769705</c:v>
                </c:pt>
                <c:pt idx="141">
                  <c:v>0.14367561357902034</c:v>
                </c:pt>
                <c:pt idx="142">
                  <c:v>0.15238183588145737</c:v>
                </c:pt>
                <c:pt idx="143">
                  <c:v>0.16106389878585847</c:v>
                </c:pt>
                <c:pt idx="144">
                  <c:v>0.16972042579342841</c:v>
                </c:pt>
                <c:pt idx="145">
                  <c:v>0.17835004445396407</c:v>
                </c:pt>
                <c:pt idx="146">
                  <c:v>0.18695138658345017</c:v>
                </c:pt>
                <c:pt idx="147">
                  <c:v>0.19552308848097721</c:v>
                </c:pt>
                <c:pt idx="148">
                  <c:v>0.20406379114495027</c:v>
                </c:pt>
                <c:pt idx="149">
                  <c:v>0.21257214048855225</c:v>
                </c:pt>
                <c:pt idx="150">
                  <c:v>0.22104678755442714</c:v>
                </c:pt>
                <c:pt idx="151">
                  <c:v>0.22948638872855084</c:v>
                </c:pt>
                <c:pt idx="152">
                  <c:v>0.2378896059532552</c:v>
                </c:pt>
                <c:pt idx="153">
                  <c:v>0.24625510693936969</c:v>
                </c:pt>
                <c:pt idx="154">
                  <c:v>0.25458156537744969</c:v>
                </c:pt>
                <c:pt idx="155">
                  <c:v>0.26286766114805682</c:v>
                </c:pt>
                <c:pt idx="156">
                  <c:v>0.27111208053105673</c:v>
                </c:pt>
                <c:pt idx="157">
                  <c:v>0.27931351641390345</c:v>
                </c:pt>
                <c:pt idx="158">
                  <c:v>0.28747066849887593</c:v>
                </c:pt>
                <c:pt idx="159">
                  <c:v>0.29558224350923312</c:v>
                </c:pt>
                <c:pt idx="160">
                  <c:v>0.3036469553942579</c:v>
                </c:pt>
                <c:pt idx="161">
                  <c:v>0.31166352553315246</c:v>
                </c:pt>
                <c:pt idx="162">
                  <c:v>0.31963068293775931</c:v>
                </c:pt>
                <c:pt idx="163">
                  <c:v>0.32754716445406934</c:v>
                </c:pt>
                <c:pt idx="164">
                  <c:v>0.33541171496248784</c:v>
                </c:pt>
                <c:pt idx="165">
                  <c:v>0.34322308757682951</c:v>
                </c:pt>
                <c:pt idx="166">
                  <c:v>0.35098004384200504</c:v>
                </c:pt>
                <c:pt idx="167">
                  <c:v>0.35868135393037154</c:v>
                </c:pt>
                <c:pt idx="168">
                  <c:v>0.36632579683671729</c:v>
                </c:pt>
                <c:pt idx="169">
                  <c:v>0.3739121605718454</c:v>
                </c:pt>
                <c:pt idx="170">
                  <c:v>0.38143924235472781</c:v>
                </c:pt>
                <c:pt idx="171">
                  <c:v>0.38890584880320228</c:v>
                </c:pt>
                <c:pt idx="172">
                  <c:v>0.39631079612317627</c:v>
                </c:pt>
                <c:pt idx="173">
                  <c:v>0.40365291029631101</c:v>
                </c:pt>
                <c:pt idx="174">
                  <c:v>0.41093102726615788</c:v>
                </c:pt>
                <c:pt idx="175">
                  <c:v>0.41814399312271339</c:v>
                </c:pt>
                <c:pt idx="176">
                  <c:v>0.42529066428536499</c:v>
                </c:pt>
                <c:pt idx="177">
                  <c:v>0.43236990768420158</c:v>
                </c:pt>
                <c:pt idx="178">
                  <c:v>0.43938060093965592</c:v>
                </c:pt>
                <c:pt idx="179">
                  <c:v>0.44632163254045126</c:v>
                </c:pt>
                <c:pt idx="180">
                  <c:v>0.4531919020198279</c:v>
                </c:pt>
                <c:pt idx="181">
                  <c:v>0.45999032013001567</c:v>
                </c:pt>
                <c:pt idx="182">
                  <c:v>0.46671580901492854</c:v>
                </c:pt>
                <c:pt idx="183">
                  <c:v>0.47336730238105462</c:v>
                </c:pt>
                <c:pt idx="184">
                  <c:v>0.47994374566651132</c:v>
                </c:pt>
                <c:pt idx="185">
                  <c:v>0.48644409620824008</c:v>
                </c:pt>
                <c:pt idx="186">
                  <c:v>0.49286732340731709</c:v>
                </c:pt>
                <c:pt idx="187">
                  <c:v>0.49921240889234869</c:v>
                </c:pt>
                <c:pt idx="188">
                  <c:v>0.50547834668092928</c:v>
                </c:pt>
                <c:pt idx="189">
                  <c:v>0.51166414333913524</c:v>
                </c:pt>
                <c:pt idx="190">
                  <c:v>0.5177688181390292</c:v>
                </c:pt>
                <c:pt idx="191">
                  <c:v>0.52379140321414885</c:v>
                </c:pt>
                <c:pt idx="192">
                  <c:v>0.52973094371295837</c:v>
                </c:pt>
                <c:pt idx="193">
                  <c:v>0.53558649795023527</c:v>
                </c:pt>
                <c:pt idx="194">
                  <c:v>0.54135713755636927</c:v>
                </c:pt>
                <c:pt idx="195">
                  <c:v>0.54704194762455194</c:v>
                </c:pt>
                <c:pt idx="196">
                  <c:v>0.55264002685582958</c:v>
                </c:pt>
                <c:pt idx="197">
                  <c:v>0.55815048770200082</c:v>
                </c:pt>
                <c:pt idx="198">
                  <c:v>0.56357245650633259</c:v>
                </c:pt>
                <c:pt idx="199">
                  <c:v>0.56890507364207354</c:v>
                </c:pt>
                <c:pt idx="200">
                  <c:v>0.57414749364874484</c:v>
                </c:pt>
                <c:pt idx="201">
                  <c:v>0.57929888536618335</c:v>
                </c:pt>
                <c:pt idx="202">
                  <c:v>0.58435843206631721</c:v>
                </c:pt>
                <c:pt idx="203">
                  <c:v>0.58932533158265532</c:v>
                </c:pt>
                <c:pt idx="204">
                  <c:v>0.59419879643746654</c:v>
                </c:pt>
                <c:pt idx="205">
                  <c:v>0.59897805396662984</c:v>
                </c:pt>
                <c:pt idx="206">
                  <c:v>0.60366234644213723</c:v>
                </c:pt>
                <c:pt idx="207">
                  <c:v>0.60825093119222773</c:v>
                </c:pt>
                <c:pt idx="208">
                  <c:v>0.61274308071913364</c:v>
                </c:pt>
                <c:pt idx="209">
                  <c:v>0.61713808281442262</c:v>
                </c:pt>
                <c:pt idx="210">
                  <c:v>0.62143524067191469</c:v>
                </c:pt>
                <c:pt idx="211">
                  <c:v>0.62563387299815676</c:v>
                </c:pt>
                <c:pt idx="212">
                  <c:v>0.62973331412043954</c:v>
                </c:pt>
                <c:pt idx="213">
                  <c:v>0.63373291409233579</c:v>
                </c:pt>
                <c:pt idx="214">
                  <c:v>0.63763203879674646</c:v>
                </c:pt>
                <c:pt idx="215">
                  <c:v>0.64143007004643704</c:v>
                </c:pt>
                <c:pt idx="216">
                  <c:v>0.64512640568204793</c:v>
                </c:pt>
                <c:pt idx="217">
                  <c:v>0.64872045966756375</c:v>
                </c:pt>
                <c:pt idx="218">
                  <c:v>0.65221166218322679</c:v>
                </c:pt>
                <c:pt idx="219">
                  <c:v>0.65559945971587941</c:v>
                </c:pt>
                <c:pt idx="220">
                  <c:v>0.65888331514671961</c:v>
                </c:pt>
                <c:pt idx="221">
                  <c:v>0.66206270783646026</c:v>
                </c:pt>
                <c:pt idx="222">
                  <c:v>0.66513713370787286</c:v>
                </c:pt>
                <c:pt idx="223">
                  <c:v>0.66810610532570669</c:v>
                </c:pt>
                <c:pt idx="224">
                  <c:v>0.67096915197396967</c:v>
                </c:pt>
                <c:pt idx="225">
                  <c:v>0.67372581973055778</c:v>
                </c:pt>
                <c:pt idx="226">
                  <c:v>0.67637567153922185</c:v>
                </c:pt>
                <c:pt idx="227">
                  <c:v>0.67891828727886161</c:v>
                </c:pt>
                <c:pt idx="228">
                  <c:v>0.68135326383013317</c:v>
                </c:pt>
                <c:pt idx="229">
                  <c:v>0.68368021513936161</c:v>
                </c:pt>
                <c:pt idx="230">
                  <c:v>0.68589877227974827</c:v>
                </c:pt>
                <c:pt idx="231">
                  <c:v>0.68800858350986227</c:v>
                </c:pt>
                <c:pt idx="232">
                  <c:v>0.69000931432940693</c:v>
                </c:pt>
                <c:pt idx="233">
                  <c:v>0.69190064753225344</c:v>
                </c:pt>
                <c:pt idx="234">
                  <c:v>0.69368228325673309</c:v>
                </c:pt>
                <c:pt idx="235">
                  <c:v>0.69535393903317722</c:v>
                </c:pt>
                <c:pt idx="236">
                  <c:v>0.69691534982870285</c:v>
                </c:pt>
                <c:pt idx="237">
                  <c:v>0.69836626808923197</c:v>
                </c:pt>
                <c:pt idx="238">
                  <c:v>0.69970646377873991</c:v>
                </c:pt>
                <c:pt idx="239">
                  <c:v>0.70093572441572605</c:v>
                </c:pt>
                <c:pt idx="240">
                  <c:v>0.70205385510690277</c:v>
                </c:pt>
                <c:pt idx="241">
                  <c:v>0.70306067857809362</c:v>
                </c:pt>
                <c:pt idx="242">
                  <c:v>0.70395603520234018</c:v>
                </c:pt>
                <c:pt idx="243">
                  <c:v>0.70473978302520979</c:v>
                </c:pt>
                <c:pt idx="244">
                  <c:v>0.70541179778730156</c:v>
                </c:pt>
                <c:pt idx="245">
                  <c:v>0.70597197294394753</c:v>
                </c:pt>
                <c:pt idx="246">
                  <c:v>0.70642021968210444</c:v>
                </c:pt>
                <c:pt idx="247">
                  <c:v>0.70675646693443472</c:v>
                </c:pt>
                <c:pt idx="248">
                  <c:v>0.70698066139057403</c:v>
                </c:pt>
                <c:pt idx="249">
                  <c:v>0.70709276750558292</c:v>
                </c:pt>
                <c:pt idx="250">
                  <c:v>0.70709276750558281</c:v>
                </c:pt>
                <c:pt idx="251">
                  <c:v>0.70698066139057381</c:v>
                </c:pt>
                <c:pt idx="252">
                  <c:v>0.70675646693443439</c:v>
                </c:pt>
                <c:pt idx="253">
                  <c:v>0.70642021968210389</c:v>
                </c:pt>
                <c:pt idx="254">
                  <c:v>0.70597197294394687</c:v>
                </c:pt>
                <c:pt idx="255">
                  <c:v>0.70541179778730068</c:v>
                </c:pt>
                <c:pt idx="256">
                  <c:v>0.70473978302520879</c:v>
                </c:pt>
                <c:pt idx="257">
                  <c:v>0.70395603520233907</c:v>
                </c:pt>
                <c:pt idx="258">
                  <c:v>0.70306067857809229</c:v>
                </c:pt>
                <c:pt idx="259">
                  <c:v>0.70205385510690133</c:v>
                </c:pt>
                <c:pt idx="260">
                  <c:v>0.70093572441572449</c:v>
                </c:pt>
                <c:pt idx="261">
                  <c:v>0.69970646377873802</c:v>
                </c:pt>
                <c:pt idx="262">
                  <c:v>0.69836626808923008</c:v>
                </c:pt>
                <c:pt idx="263">
                  <c:v>0.69691534982870074</c:v>
                </c:pt>
                <c:pt idx="264">
                  <c:v>0.69535393903317488</c:v>
                </c:pt>
                <c:pt idx="265">
                  <c:v>0.69368228325673065</c:v>
                </c:pt>
                <c:pt idx="266">
                  <c:v>0.691900647532251</c:v>
                </c:pt>
                <c:pt idx="267">
                  <c:v>0.69000931432940427</c:v>
                </c:pt>
                <c:pt idx="268">
                  <c:v>0.68800858350985949</c:v>
                </c:pt>
                <c:pt idx="269">
                  <c:v>0.68589877227974538</c:v>
                </c:pt>
                <c:pt idx="270">
                  <c:v>0.6836802151393585</c:v>
                </c:pt>
                <c:pt idx="271">
                  <c:v>0.68135326383012984</c:v>
                </c:pt>
                <c:pt idx="272">
                  <c:v>0.67891828727885828</c:v>
                </c:pt>
                <c:pt idx="273">
                  <c:v>0.67637567153921829</c:v>
                </c:pt>
                <c:pt idx="274">
                  <c:v>0.67372581973055401</c:v>
                </c:pt>
                <c:pt idx="275">
                  <c:v>0.67096915197396589</c:v>
                </c:pt>
                <c:pt idx="276">
                  <c:v>0.66810610532570269</c:v>
                </c:pt>
                <c:pt idx="277">
                  <c:v>0.66513713370786864</c:v>
                </c:pt>
                <c:pt idx="278">
                  <c:v>0.66206270783645604</c:v>
                </c:pt>
                <c:pt idx="279">
                  <c:v>0.65888331514671516</c:v>
                </c:pt>
                <c:pt idx="280">
                  <c:v>0.65559945971587474</c:v>
                </c:pt>
                <c:pt idx="281">
                  <c:v>0.65221166218322224</c:v>
                </c:pt>
                <c:pt idx="282">
                  <c:v>0.64872045966755887</c:v>
                </c:pt>
                <c:pt idx="283">
                  <c:v>0.64512640568204294</c:v>
                </c:pt>
                <c:pt idx="284">
                  <c:v>0.64143007004643204</c:v>
                </c:pt>
                <c:pt idx="285">
                  <c:v>0.63763203879674124</c:v>
                </c:pt>
                <c:pt idx="286">
                  <c:v>0.63373291409233035</c:v>
                </c:pt>
                <c:pt idx="287">
                  <c:v>0.6297333141204341</c:v>
                </c:pt>
                <c:pt idx="288">
                  <c:v>0.6256338729981511</c:v>
                </c:pt>
                <c:pt idx="289">
                  <c:v>0.62143524067190881</c:v>
                </c:pt>
                <c:pt idx="290">
                  <c:v>0.61713808281441673</c:v>
                </c:pt>
                <c:pt idx="291">
                  <c:v>0.61274308071912753</c:v>
                </c:pt>
                <c:pt idx="292">
                  <c:v>0.60825093119222151</c:v>
                </c:pt>
                <c:pt idx="293">
                  <c:v>0.60366234644213101</c:v>
                </c:pt>
                <c:pt idx="294">
                  <c:v>0.59897805396662329</c:v>
                </c:pt>
                <c:pt idx="295">
                  <c:v>0.59419879643745988</c:v>
                </c:pt>
                <c:pt idx="296">
                  <c:v>0.58932533158264866</c:v>
                </c:pt>
                <c:pt idx="297">
                  <c:v>0.58435843206631033</c:v>
                </c:pt>
                <c:pt idx="298">
                  <c:v>0.57929888536617635</c:v>
                </c:pt>
                <c:pt idx="299">
                  <c:v>0.57414749364873796</c:v>
                </c:pt>
                <c:pt idx="300">
                  <c:v>0.56890507364206633</c:v>
                </c:pt>
                <c:pt idx="301">
                  <c:v>0.56357245650632526</c:v>
                </c:pt>
                <c:pt idx="302">
                  <c:v>0.55815048770199349</c:v>
                </c:pt>
                <c:pt idx="303">
                  <c:v>0.55264002685582203</c:v>
                </c:pt>
                <c:pt idx="304">
                  <c:v>0.54704194762454417</c:v>
                </c:pt>
                <c:pt idx="305">
                  <c:v>0.54135713755636161</c:v>
                </c:pt>
                <c:pt idx="306">
                  <c:v>0.53558649795022728</c:v>
                </c:pt>
                <c:pt idx="307">
                  <c:v>0.52973094371295049</c:v>
                </c:pt>
                <c:pt idx="308">
                  <c:v>0.52379140321414086</c:v>
                </c:pt>
                <c:pt idx="309">
                  <c:v>0.51776881813902087</c:v>
                </c:pt>
                <c:pt idx="310">
                  <c:v>0.51166414333912702</c:v>
                </c:pt>
                <c:pt idx="311">
                  <c:v>0.50547834668092084</c:v>
                </c:pt>
                <c:pt idx="312">
                  <c:v>0.49921240889234003</c:v>
                </c:pt>
                <c:pt idx="313">
                  <c:v>0.49286732340730854</c:v>
                </c:pt>
                <c:pt idx="314">
                  <c:v>0.48644409620823142</c:v>
                </c:pt>
                <c:pt idx="315">
                  <c:v>0.47994374566650233</c:v>
                </c:pt>
                <c:pt idx="316">
                  <c:v>0.47336730238104574</c:v>
                </c:pt>
                <c:pt idx="317">
                  <c:v>0.4667158090149196</c:v>
                </c:pt>
                <c:pt idx="318">
                  <c:v>0.45999032013000657</c:v>
                </c:pt>
                <c:pt idx="319">
                  <c:v>0.45319190201981874</c:v>
                </c:pt>
                <c:pt idx="320">
                  <c:v>0.44632163254044177</c:v>
                </c:pt>
                <c:pt idx="321">
                  <c:v>0.43938060093964654</c:v>
                </c:pt>
                <c:pt idx="322">
                  <c:v>0.43236990768419215</c:v>
                </c:pt>
                <c:pt idx="323">
                  <c:v>0.42529066428535522</c:v>
                </c:pt>
                <c:pt idx="324">
                  <c:v>0.41814399312270384</c:v>
                </c:pt>
                <c:pt idx="325">
                  <c:v>0.41093102726614816</c:v>
                </c:pt>
                <c:pt idx="326">
                  <c:v>0.4036529102963009</c:v>
                </c:pt>
                <c:pt idx="327">
                  <c:v>0.39631079612316639</c:v>
                </c:pt>
                <c:pt idx="328">
                  <c:v>0.38890584880319229</c:v>
                </c:pt>
                <c:pt idx="329">
                  <c:v>0.38143924235471754</c:v>
                </c:pt>
                <c:pt idx="330">
                  <c:v>0.37391216057183529</c:v>
                </c:pt>
                <c:pt idx="331">
                  <c:v>0.36632579683670707</c:v>
                </c:pt>
                <c:pt idx="332">
                  <c:v>0.35868135393036099</c:v>
                </c:pt>
                <c:pt idx="333">
                  <c:v>0.35098004384199466</c:v>
                </c:pt>
                <c:pt idx="334">
                  <c:v>0.34322308757681907</c:v>
                </c:pt>
                <c:pt idx="335">
                  <c:v>0.33541171496247707</c:v>
                </c:pt>
                <c:pt idx="336">
                  <c:v>0.32754716445405874</c:v>
                </c:pt>
                <c:pt idx="337">
                  <c:v>0.31963068293774866</c:v>
                </c:pt>
                <c:pt idx="338">
                  <c:v>0.31166352553314147</c:v>
                </c:pt>
                <c:pt idx="339">
                  <c:v>0.30364695539424708</c:v>
                </c:pt>
                <c:pt idx="340">
                  <c:v>0.2955822435092223</c:v>
                </c:pt>
                <c:pt idx="341">
                  <c:v>0.28747066849886477</c:v>
                </c:pt>
                <c:pt idx="342">
                  <c:v>0.27931351641389263</c:v>
                </c:pt>
                <c:pt idx="343">
                  <c:v>0.27111208053104563</c:v>
                </c:pt>
                <c:pt idx="344">
                  <c:v>0.26286766114804544</c:v>
                </c:pt>
                <c:pt idx="345">
                  <c:v>0.2545815653774387</c:v>
                </c:pt>
                <c:pt idx="346">
                  <c:v>0.24625510693935837</c:v>
                </c:pt>
                <c:pt idx="347">
                  <c:v>0.23788960595324365</c:v>
                </c:pt>
                <c:pt idx="348">
                  <c:v>0.22948638872853969</c:v>
                </c:pt>
                <c:pt idx="349">
                  <c:v>0.22104678755441567</c:v>
                </c:pt>
                <c:pt idx="350">
                  <c:v>0.21257214048854059</c:v>
                </c:pt>
                <c:pt idx="351">
                  <c:v>0.204063791144939</c:v>
                </c:pt>
                <c:pt idx="352">
                  <c:v>0.19552308848096561</c:v>
                </c:pt>
                <c:pt idx="353">
                  <c:v>0.18695138658343835</c:v>
                </c:pt>
                <c:pt idx="354">
                  <c:v>0.17835004445395269</c:v>
                </c:pt>
                <c:pt idx="355">
                  <c:v>0.16972042579341667</c:v>
                </c:pt>
                <c:pt idx="356">
                  <c:v>0.16106389878584654</c:v>
                </c:pt>
                <c:pt idx="357">
                  <c:v>0.15238183588144588</c:v>
                </c:pt>
                <c:pt idx="358">
                  <c:v>0.14367561357900852</c:v>
                </c:pt>
                <c:pt idx="359">
                  <c:v>0.13494661220768503</c:v>
                </c:pt>
                <c:pt idx="360">
                  <c:v>0.12619621570813652</c:v>
                </c:pt>
                <c:pt idx="361">
                  <c:v>0.11742581141311553</c:v>
                </c:pt>
                <c:pt idx="362">
                  <c:v>0.10863678982751505</c:v>
                </c:pt>
                <c:pt idx="363">
                  <c:v>9.9830544407908853E-2</c:v>
                </c:pt>
                <c:pt idx="364">
                  <c:v>9.100847134162382E-2</c:v>
                </c:pt>
                <c:pt idx="365">
                  <c:v>8.2171969325385022E-2</c:v>
                </c:pt>
                <c:pt idx="366">
                  <c:v>7.3322439343557255E-2</c:v>
                </c:pt>
                <c:pt idx="367">
                  <c:v>6.4461284446023975E-2</c:v>
                </c:pt>
                <c:pt idx="368">
                  <c:v>5.5589909525744281E-2</c:v>
                </c:pt>
                <c:pt idx="369">
                  <c:v>4.6709721096012118E-2</c:v>
                </c:pt>
                <c:pt idx="370">
                  <c:v>3.7822127067458529E-2</c:v>
                </c:pt>
                <c:pt idx="371">
                  <c:v>2.8928536524838112E-2</c:v>
                </c:pt>
                <c:pt idx="372">
                  <c:v>2.0030359503623529E-2</c:v>
                </c:pt>
                <c:pt idx="373">
                  <c:v>1.1129006766449427E-2</c:v>
                </c:pt>
                <c:pt idx="374">
                  <c:v>2.2258895794466309E-3</c:v>
                </c:pt>
                <c:pt idx="375">
                  <c:v>-6.6775805115091022E-3</c:v>
                </c:pt>
                <c:pt idx="376">
                  <c:v>-1.5579991904592699E-2</c:v>
                </c:pt>
                <c:pt idx="377">
                  <c:v>-2.4479933165828593E-2</c:v>
                </c:pt>
                <c:pt idx="378">
                  <c:v>-3.3375993252868601E-2</c:v>
                </c:pt>
                <c:pt idx="379">
                  <c:v>-4.2266761738707671E-2</c:v>
                </c:pt>
                <c:pt idx="380">
                  <c:v>-5.1150829035296504E-2</c:v>
                </c:pt>
                <c:pt idx="381">
                  <c:v>-6.0026786617026692E-2</c:v>
                </c:pt>
                <c:pt idx="382">
                  <c:v>-6.889322724404752E-2</c:v>
                </c:pt>
                <c:pt idx="383">
                  <c:v>-7.7748745185373225E-2</c:v>
                </c:pt>
                <c:pt idx="384">
                  <c:v>-8.6591936441756653E-2</c:v>
                </c:pt>
                <c:pt idx="385">
                  <c:v>-9.542139896828844E-2</c:v>
                </c:pt>
                <c:pt idx="386">
                  <c:v>-0.10423573289668055</c:v>
                </c:pt>
                <c:pt idx="387">
                  <c:v>-0.11303354075721118</c:v>
                </c:pt>
                <c:pt idx="388">
                  <c:v>-0.12181342770028548</c:v>
                </c:pt>
                <c:pt idx="389">
                  <c:v>-0.13057400171758465</c:v>
                </c:pt>
                <c:pt idx="390">
                  <c:v>-0.13931387386275837</c:v>
                </c:pt>
                <c:pt idx="391">
                  <c:v>-0.14803165847163732</c:v>
                </c:pt>
                <c:pt idx="392">
                  <c:v>-0.1567259733819254</c:v>
                </c:pt>
                <c:pt idx="393">
                  <c:v>-0.16539544015233101</c:v>
                </c:pt>
                <c:pt idx="394">
                  <c:v>-0.17403868428111424</c:v>
                </c:pt>
                <c:pt idx="395">
                  <c:v>-0.18265433542400902</c:v>
                </c:pt>
                <c:pt idx="396">
                  <c:v>-0.19124102761148101</c:v>
                </c:pt>
                <c:pt idx="397">
                  <c:v>-0.19979739946529743</c:v>
                </c:pt>
                <c:pt idx="398">
                  <c:v>-0.20832209441436825</c:v>
                </c:pt>
                <c:pt idx="399">
                  <c:v>-0.21681376090982088</c:v>
                </c:pt>
                <c:pt idx="400">
                  <c:v>-0.22527105263928315</c:v>
                </c:pt>
                <c:pt idx="401">
                  <c:v>-0.23369262874033636</c:v>
                </c:pt>
                <c:pt idx="402">
                  <c:v>-0.24207715401309907</c:v>
                </c:pt>
                <c:pt idx="403">
                  <c:v>-0.25042329913191819</c:v>
                </c:pt>
                <c:pt idx="404">
                  <c:v>-0.25872974085612899</c:v>
                </c:pt>
                <c:pt idx="405">
                  <c:v>-0.26699516223984465</c:v>
                </c:pt>
                <c:pt idx="406">
                  <c:v>-0.27521825284075391</c:v>
                </c:pt>
                <c:pt idx="407">
                  <c:v>-0.28339770892788652</c:v>
                </c:pt>
                <c:pt idx="408">
                  <c:v>-0.29153223368831005</c:v>
                </c:pt>
                <c:pt idx="409">
                  <c:v>-0.29962053743273548</c:v>
                </c:pt>
                <c:pt idx="410">
                  <c:v>-0.30766133779999216</c:v>
                </c:pt>
                <c:pt idx="411">
                  <c:v>-0.315653359960337</c:v>
                </c:pt>
                <c:pt idx="412">
                  <c:v>-0.32359533681757419</c:v>
                </c:pt>
                <c:pt idx="413">
                  <c:v>-0.33148600920994858</c:v>
                </c:pt>
                <c:pt idx="414">
                  <c:v>-0.33932412610977641</c:v>
                </c:pt>
                <c:pt idx="415">
                  <c:v>-0.34710844482179143</c:v>
                </c:pt>
                <c:pt idx="416">
                  <c:v>-0.35483773118016965</c:v>
                </c:pt>
                <c:pt idx="417">
                  <c:v>-0.36251075974419711</c:v>
                </c:pt>
                <c:pt idx="418">
                  <c:v>-0.3701263139925593</c:v>
                </c:pt>
                <c:pt idx="419">
                  <c:v>-0.37768318651621613</c:v>
                </c:pt>
                <c:pt idx="420">
                  <c:v>-0.38518017920982767</c:v>
                </c:pt>
                <c:pt idx="421">
                  <c:v>-0.39261610346170928</c:v>
                </c:pt>
                <c:pt idx="422">
                  <c:v>-0.39998978034228205</c:v>
                </c:pt>
                <c:pt idx="423">
                  <c:v>-0.4073000407909832</c:v>
                </c:pt>
                <c:pt idx="424">
                  <c:v>-0.41454572580161625</c:v>
                </c:pt>
                <c:pt idx="425">
                  <c:v>-0.42172568660610765</c:v>
                </c:pt>
                <c:pt idx="426">
                  <c:v>-0.42883878485663507</c:v>
                </c:pt>
                <c:pt idx="427">
                  <c:v>-0.43588389280610845</c:v>
                </c:pt>
                <c:pt idx="428">
                  <c:v>-0.44285989348697052</c:v>
                </c:pt>
                <c:pt idx="429">
                  <c:v>-0.44976568088828345</c:v>
                </c:pt>
                <c:pt idx="430">
                  <c:v>-0.45660016013108262</c:v>
                </c:pt>
                <c:pt idx="431">
                  <c:v>-0.46336224764196676</c:v>
                </c:pt>
                <c:pt idx="432">
                  <c:v>-0.47005087132488926</c:v>
                </c:pt>
                <c:pt idx="433">
                  <c:v>-0.47666497073113573</c:v>
                </c:pt>
                <c:pt idx="434">
                  <c:v>-0.48320349722745459</c:v>
                </c:pt>
                <c:pt idx="435">
                  <c:v>-0.48966541416230952</c:v>
                </c:pt>
                <c:pt idx="436">
                  <c:v>-0.49604969703023716</c:v>
                </c:pt>
                <c:pt idx="437">
                  <c:v>-0.50235533363427887</c:v>
                </c:pt>
                <c:pt idx="438">
                  <c:v>-0.50858132424645663</c:v>
                </c:pt>
                <c:pt idx="439">
                  <c:v>-0.51472668176627667</c:v>
                </c:pt>
                <c:pt idx="440">
                  <c:v>-0.52079043187723095</c:v>
                </c:pt>
                <c:pt idx="441">
                  <c:v>-0.52677161320126686</c:v>
                </c:pt>
                <c:pt idx="442">
                  <c:v>-0.5326692774512114</c:v>
                </c:pt>
                <c:pt idx="443">
                  <c:v>-0.53848248958111788</c:v>
                </c:pt>
                <c:pt idx="444">
                  <c:v>-0.54421032793451096</c:v>
                </c:pt>
                <c:pt idx="445">
                  <c:v>-0.54985188439051169</c:v>
                </c:pt>
                <c:pt idx="446">
                  <c:v>-0.55540626450781705</c:v>
                </c:pt>
                <c:pt idx="447">
                  <c:v>-0.56087258766650683</c:v>
                </c:pt>
                <c:pt idx="448">
                  <c:v>-0.56624998720766284</c:v>
                </c:pt>
                <c:pt idx="449">
                  <c:v>-0.57153761057077446</c:v>
                </c:pt>
                <c:pt idx="450">
                  <c:v>-0.57673461942890591</c:v>
                </c:pt>
                <c:pt idx="451">
                  <c:v>-0.58184018982160979</c:v>
                </c:pt>
                <c:pt idx="452">
                  <c:v>-0.58685351228556337</c:v>
                </c:pt>
                <c:pt idx="453">
                  <c:v>-0.59177379198290259</c:v>
                </c:pt>
                <c:pt idx="454">
                  <c:v>-0.59660024882724116</c:v>
                </c:pt>
                <c:pt idx="455">
                  <c:v>-0.60133211760734995</c:v>
                </c:pt>
                <c:pt idx="456">
                  <c:v>-0.60596864810847617</c:v>
                </c:pt>
                <c:pt idx="457">
                  <c:v>-0.61050910523128654</c:v>
                </c:pt>
                <c:pt idx="458">
                  <c:v>-0.61495276910841534</c:v>
                </c:pt>
                <c:pt idx="459">
                  <c:v>-0.61929893521859336</c:v>
                </c:pt>
                <c:pt idx="460">
                  <c:v>-0.62354691449834798</c:v>
                </c:pt>
                <c:pt idx="461">
                  <c:v>-0.62769603345125102</c:v>
                </c:pt>
                <c:pt idx="462">
                  <c:v>-0.63174563425469676</c:v>
                </c:pt>
                <c:pt idx="463">
                  <c:v>-0.63569507486419763</c:v>
                </c:pt>
                <c:pt idx="464">
                  <c:v>-0.63954372911517787</c:v>
                </c:pt>
                <c:pt idx="465">
                  <c:v>-0.64329098682224728</c:v>
                </c:pt>
                <c:pt idx="466">
                  <c:v>-0.64693625387594378</c:v>
                </c:pt>
                <c:pt idx="467">
                  <c:v>-0.65047895233692776</c:v>
                </c:pt>
                <c:pt idx="468">
                  <c:v>-0.65391852052760935</c:v>
                </c:pt>
                <c:pt idx="469">
                  <c:v>-0.65725441312120148</c:v>
                </c:pt>
                <c:pt idx="470">
                  <c:v>-0.66048610122817819</c:v>
                </c:pt>
                <c:pt idx="471">
                  <c:v>-0.66361307248012702</c:v>
                </c:pt>
                <c:pt idx="472">
                  <c:v>-0.66663483111098298</c:v>
                </c:pt>
                <c:pt idx="473">
                  <c:v>-0.6695508980356305</c:v>
                </c:pt>
                <c:pt idx="474">
                  <c:v>-0.67236081092585853</c:v>
                </c:pt>
                <c:pt idx="475">
                  <c:v>-0.67506412428366136</c:v>
                </c:pt>
                <c:pt idx="476">
                  <c:v>-0.67766040951187068</c:v>
                </c:pt>
                <c:pt idx="477">
                  <c:v>-0.68014925498210621</c:v>
                </c:pt>
                <c:pt idx="478">
                  <c:v>-0.68253026610003842</c:v>
                </c:pt>
                <c:pt idx="479">
                  <c:v>-0.68480306536794944</c:v>
                </c:pt>
                <c:pt idx="480">
                  <c:v>-0.68696729244458277</c:v>
                </c:pt>
                <c:pt idx="481">
                  <c:v>-0.68902260420227435</c:v>
                </c:pt>
                <c:pt idx="482">
                  <c:v>-0.69096867478135393</c:v>
                </c:pt>
                <c:pt idx="483">
                  <c:v>-0.69280519564180754</c:v>
                </c:pt>
                <c:pt idx="484">
                  <c:v>-0.69453187561219598</c:v>
                </c:pt>
                <c:pt idx="485">
                  <c:v>-0.69614844093581829</c:v>
                </c:pt>
                <c:pt idx="486">
                  <c:v>-0.69765463531411454</c:v>
                </c:pt>
                <c:pt idx="487">
                  <c:v>-0.69905021994730043</c:v>
                </c:pt>
                <c:pt idx="488">
                  <c:v>-0.70033497357222863</c:v>
                </c:pt>
                <c:pt idx="489">
                  <c:v>-0.70150869249746806</c:v>
                </c:pt>
                <c:pt idx="490">
                  <c:v>-0.7025711906355987</c:v>
                </c:pt>
                <c:pt idx="491">
                  <c:v>-0.70352229953271461</c:v>
                </c:pt>
                <c:pt idx="492">
                  <c:v>-0.70436186839513193</c:v>
                </c:pt>
                <c:pt idx="493">
                  <c:v>-0.7050897641132956</c:v>
                </c:pt>
                <c:pt idx="494">
                  <c:v>-0.70570587128288442</c:v>
                </c:pt>
                <c:pt idx="495">
                  <c:v>-0.70621009222310671</c:v>
                </c:pt>
                <c:pt idx="496">
                  <c:v>-0.70660234699218771</c:v>
                </c:pt>
                <c:pt idx="497">
                  <c:v>-0.70688257340004401</c:v>
                </c:pt>
                <c:pt idx="498">
                  <c:v>-0.7070507270181432</c:v>
                </c:pt>
                <c:pt idx="499">
                  <c:v>-0.70710678118654802</c:v>
                </c:pt>
              </c:numCache>
            </c:numRef>
          </c:xVal>
          <c:yVal>
            <c:numRef>
              <c:f>XLSTAT_20211004_124611_1_HID!ycircle126696521</c:f>
              <c:numCache>
                <c:formatCode>General</c:formatCode>
                <c:ptCount val="500"/>
                <c:pt idx="0">
                  <c:v>-2.2847605201998973E-15</c:v>
                </c:pt>
                <c:pt idx="1">
                  <c:v>-8.9033377514293362E-3</c:v>
                </c:pt>
                <c:pt idx="2">
                  <c:v>-1.7805263922012159E-2</c:v>
                </c:pt>
                <c:pt idx="3">
                  <c:v>-2.6704367154704853E-2</c:v>
                </c:pt>
                <c:pt idx="4">
                  <c:v>-3.5599236540025517E-2</c:v>
                </c:pt>
                <c:pt idx="5">
                  <c:v>-4.4488461839748118E-2</c:v>
                </c:pt>
                <c:pt idx="6">
                  <c:v>-5.3370633710488002E-2</c:v>
                </c:pt>
                <c:pt idx="7">
                  <c:v>-6.2244343927148241E-2</c:v>
                </c:pt>
                <c:pt idx="8">
                  <c:v>-7.1108185606185967E-2</c:v>
                </c:pt>
                <c:pt idx="9">
                  <c:v>-7.9960753428665973E-2</c:v>
                </c:pt>
                <c:pt idx="10">
                  <c:v>-8.8800643863069004E-2</c:v>
                </c:pt>
                <c:pt idx="11">
                  <c:v>-9.7626455387814018E-2</c:v>
                </c:pt>
                <c:pt idx="12">
                  <c:v>-0.10643678871346153</c:v>
                </c:pt>
                <c:pt idx="13">
                  <c:v>-0.11523024700456615</c:v>
                </c:pt>
                <c:pt idx="14">
                  <c:v>-0.12400543610113698</c:v>
                </c:pt>
                <c:pt idx="15">
                  <c:v>-0.13276096473967405</c:v>
                </c:pt>
                <c:pt idx="16">
                  <c:v>-0.14149544477374826</c:v>
                </c:pt>
                <c:pt idx="17">
                  <c:v>-0.1502074913940841</c:v>
                </c:pt>
                <c:pt idx="18">
                  <c:v>-0.15889572334811378</c:v>
                </c:pt>
                <c:pt idx="19">
                  <c:v>-0.16755876315896975</c:v>
                </c:pt>
                <c:pt idx="20">
                  <c:v>-0.1761952373438761</c:v>
                </c:pt>
                <c:pt idx="21">
                  <c:v>-0.18480377663190661</c:v>
                </c:pt>
                <c:pt idx="22">
                  <c:v>-0.19338301618107784</c:v>
                </c:pt>
                <c:pt idx="23">
                  <c:v>-0.2019315957947373</c:v>
                </c:pt>
                <c:pt idx="24">
                  <c:v>-0.21044816013721507</c:v>
                </c:pt>
                <c:pt idx="25">
                  <c:v>-0.21893135894870738</c:v>
                </c:pt>
                <c:pt idx="26">
                  <c:v>-0.22737984725935309</c:v>
                </c:pt>
                <c:pt idx="27">
                  <c:v>-0.23579228560247087</c:v>
                </c:pt>
                <c:pt idx="28">
                  <c:v>-0.24416734022692721</c:v>
                </c:pt>
                <c:pt idx="29">
                  <c:v>-0.25250368330859507</c:v>
                </c:pt>
                <c:pt idx="30">
                  <c:v>-0.26079999316087321</c:v>
                </c:pt>
                <c:pt idx="31">
                  <c:v>-0.26905495444423472</c:v>
                </c:pt>
                <c:pt idx="32">
                  <c:v>-0.27726725837476707</c:v>
                </c:pt>
                <c:pt idx="33">
                  <c:v>-0.28543560293167236</c:v>
                </c:pt>
                <c:pt idx="34">
                  <c:v>-0.29355869306369808</c:v>
                </c:pt>
                <c:pt idx="35">
                  <c:v>-0.30163524089446064</c:v>
                </c:pt>
                <c:pt idx="36">
                  <c:v>-0.30966396592663065</c:v>
                </c:pt>
                <c:pt idx="37">
                  <c:v>-0.31764359524495145</c:v>
                </c:pt>
                <c:pt idx="38">
                  <c:v>-0.32557286371805272</c:v>
                </c:pt>
                <c:pt idx="39">
                  <c:v>-0.3334505141990301</c:v>
                </c:pt>
                <c:pt idx="40">
                  <c:v>-0.34127529772476128</c:v>
                </c:pt>
                <c:pt idx="41">
                  <c:v>-0.34904597371392243</c:v>
                </c:pt>
                <c:pt idx="42">
                  <c:v>-0.35676131016367513</c:v>
                </c:pt>
                <c:pt idx="43">
                  <c:v>-0.36442008384499641</c:v>
                </c:pt>
                <c:pt idx="44">
                  <c:v>-0.37202108049661475</c:v>
                </c:pt>
                <c:pt idx="45">
                  <c:v>-0.3795630950175245</c:v>
                </c:pt>
                <c:pt idx="46">
                  <c:v>-0.38704493165805037</c:v>
                </c:pt>
                <c:pt idx="47">
                  <c:v>-0.39446540420942727</c:v>
                </c:pt>
                <c:pt idx="48">
                  <c:v>-0.40182333619186639</c:v>
                </c:pt>
                <c:pt idx="49">
                  <c:v>-0.40911756104108266</c:v>
                </c:pt>
                <c:pt idx="50">
                  <c:v>-0.41634692229324655</c:v>
                </c:pt>
                <c:pt idx="51">
                  <c:v>-0.4235102737683355</c:v>
                </c:pt>
                <c:pt idx="52">
                  <c:v>-0.43060647975185612</c:v>
                </c:pt>
                <c:pt idx="53">
                  <c:v>-0.43763441517490587</c:v>
                </c:pt>
                <c:pt idx="54">
                  <c:v>-0.44459296579254637</c:v>
                </c:pt>
                <c:pt idx="55">
                  <c:v>-0.45148102836046305</c:v>
                </c:pt>
                <c:pt idx="56">
                  <c:v>-0.45829751080987829</c:v>
                </c:pt>
                <c:pt idx="57">
                  <c:v>-0.4650413324206929</c:v>
                </c:pt>
                <c:pt idx="58">
                  <c:v>-0.47171142399283078</c:v>
                </c:pt>
                <c:pt idx="59">
                  <c:v>-0.47830672801575413</c:v>
                </c:pt>
                <c:pt idx="60">
                  <c:v>-0.48482619883612643</c:v>
                </c:pt>
                <c:pt idx="61">
                  <c:v>-0.4912688028235967</c:v>
                </c:pt>
                <c:pt idx="62">
                  <c:v>-0.49763351853467608</c:v>
                </c:pt>
                <c:pt idx="63">
                  <c:v>-0.50391933687468182</c:v>
                </c:pt>
                <c:pt idx="64">
                  <c:v>-0.51012526125772606</c:v>
                </c:pt>
                <c:pt idx="65">
                  <c:v>-0.51625030776471847</c:v>
                </c:pt>
                <c:pt idx="66">
                  <c:v>-0.52229350529936192</c:v>
                </c:pt>
                <c:pt idx="67">
                  <c:v>-0.52825389574211545</c:v>
                </c:pt>
                <c:pt idx="68">
                  <c:v>-0.53413053410209932</c:v>
                </c:pt>
                <c:pt idx="69">
                  <c:v>-0.5399224886669185</c:v>
                </c:pt>
                <c:pt idx="70">
                  <c:v>-0.54562884115038124</c:v>
                </c:pt>
                <c:pt idx="71">
                  <c:v>-0.5512486868380897</c:v>
                </c:pt>
                <c:pt idx="72">
                  <c:v>-0.55678113473087598</c:v>
                </c:pt>
                <c:pt idx="73">
                  <c:v>-0.56222530768606793</c:v>
                </c:pt>
                <c:pt idx="74">
                  <c:v>-0.56758034255655476</c:v>
                </c:pt>
                <c:pt idx="75">
                  <c:v>-0.57284539032763448</c:v>
                </c:pt>
                <c:pt idx="76">
                  <c:v>-0.5780196162516219</c:v>
                </c:pt>
                <c:pt idx="77">
                  <c:v>-0.58310219998019364</c:v>
                </c:pt>
                <c:pt idx="78">
                  <c:v>-0.5880923356944493</c:v>
                </c:pt>
                <c:pt idx="79">
                  <c:v>-0.59298923223267186</c:v>
                </c:pt>
                <c:pt idx="80">
                  <c:v>-0.59779211321576131</c:v>
                </c:pt>
                <c:pt idx="81">
                  <c:v>-0.60250021717032576</c:v>
                </c:pt>
                <c:pt idx="82">
                  <c:v>-0.60711279764940995</c:v>
                </c:pt>
                <c:pt idx="83">
                  <c:v>-0.61162912335084063</c:v>
                </c:pt>
                <c:pt idx="84">
                  <c:v>-0.61604847823317066</c:v>
                </c:pt>
                <c:pt idx="85">
                  <c:v>-0.62037016162920389</c:v>
                </c:pt>
                <c:pt idx="86">
                  <c:v>-0.62459348835708306</c:v>
                </c:pt>
                <c:pt idx="87">
                  <c:v>-0.62871778882892149</c:v>
                </c:pt>
                <c:pt idx="88">
                  <c:v>-0.632742409156963</c:v>
                </c:pt>
                <c:pt idx="89">
                  <c:v>-0.63666671125725327</c:v>
                </c:pt>
                <c:pt idx="90">
                  <c:v>-0.64049007295080373</c:v>
                </c:pt>
                <c:pt idx="91">
                  <c:v>-0.64421188806223673</c:v>
                </c:pt>
                <c:pt idx="92">
                  <c:v>-0.64783156651589002</c:v>
                </c:pt>
                <c:pt idx="93">
                  <c:v>-0.65134853442937102</c:v>
                </c:pt>
                <c:pt idx="94">
                  <c:v>-0.65476223420454382</c:v>
                </c:pt>
                <c:pt idx="95">
                  <c:v>-0.65807212461593212</c:v>
                </c:pt>
                <c:pt idx="96">
                  <c:v>-0.66127768089652939</c:v>
                </c:pt>
                <c:pt idx="97">
                  <c:v>-0.66437839482099703</c:v>
                </c:pt>
                <c:pt idx="98">
                  <c:v>-0.66737377478624182</c:v>
                </c:pt>
                <c:pt idx="99">
                  <c:v>-0.67026334588935654</c:v>
                </c:pt>
                <c:pt idx="100">
                  <c:v>-0.67304665000291386</c:v>
                </c:pt>
                <c:pt idx="101">
                  <c:v>-0.67572324584760035</c:v>
                </c:pt>
                <c:pt idx="102">
                  <c:v>-0.67829270906217898</c:v>
                </c:pt>
                <c:pt idx="103">
                  <c:v>-0.68075463227076904</c:v>
                </c:pt>
                <c:pt idx="104">
                  <c:v>-0.68310862514743487</c:v>
                </c:pt>
                <c:pt idx="105">
                  <c:v>-0.68535431447806872</c:v>
                </c:pt>
                <c:pt idx="106">
                  <c:v>-0.68749134421956282</c:v>
                </c:pt>
                <c:pt idx="107">
                  <c:v>-0.68951937555625831</c:v>
                </c:pt>
                <c:pt idx="108">
                  <c:v>-0.6914380869536626</c:v>
                </c:pt>
                <c:pt idx="109">
                  <c:v>-0.69324717420942694</c:v>
                </c:pt>
                <c:pt idx="110">
                  <c:v>-0.69494635050157649</c:v>
                </c:pt>
                <c:pt idx="111">
                  <c:v>-0.69653534643398463</c:v>
                </c:pt>
                <c:pt idx="112">
                  <c:v>-0.69801391007908387</c:v>
                </c:pt>
                <c:pt idx="113">
                  <c:v>-0.6993818070178085</c:v>
                </c:pt>
                <c:pt idx="114">
                  <c:v>-0.70063882037675995</c:v>
                </c:pt>
                <c:pt idx="115">
                  <c:v>-0.7017847508625914</c:v>
                </c:pt>
                <c:pt idx="116">
                  <c:v>-0.7028194167936046</c:v>
                </c:pt>
                <c:pt idx="117">
                  <c:v>-0.70374265412855452</c:v>
                </c:pt>
                <c:pt idx="118">
                  <c:v>-0.70455431649265776</c:v>
                </c:pt>
                <c:pt idx="119">
                  <c:v>-0.70525427520079864</c:v>
                </c:pt>
                <c:pt idx="120">
                  <c:v>-0.70584241927793279</c:v>
                </c:pt>
                <c:pt idx="121">
                  <c:v>-0.70631865547668071</c:v>
                </c:pt>
                <c:pt idx="122">
                  <c:v>-0.70668290829211211</c:v>
                </c:pt>
                <c:pt idx="123">
                  <c:v>-0.70693511997371716</c:v>
                </c:pt>
                <c:pt idx="124">
                  <c:v>-0.70707525053456166</c:v>
                </c:pt>
                <c:pt idx="125">
                  <c:v>-0.70710327775762771</c:v>
                </c:pt>
                <c:pt idx="126">
                  <c:v>-0.70701919719933537</c:v>
                </c:pt>
                <c:pt idx="127">
                  <c:v>-0.70682302219024795</c:v>
                </c:pt>
                <c:pt idx="128">
                  <c:v>-0.70651478383295785</c:v>
                </c:pt>
                <c:pt idx="129">
                  <c:v>-0.70609453099715536</c:v>
                </c:pt>
                <c:pt idx="130">
                  <c:v>-0.70556233031188131</c:v>
                </c:pt>
                <c:pt idx="131">
                  <c:v>-0.70491826615496278</c:v>
                </c:pt>
                <c:pt idx="132">
                  <c:v>-0.70416244063963529</c:v>
                </c:pt>
                <c:pt idx="133">
                  <c:v>-0.70329497359835391</c:v>
                </c:pt>
                <c:pt idx="134">
                  <c:v>-0.70231600256379367</c:v>
                </c:pt>
                <c:pt idx="135">
                  <c:v>-0.701225682747045</c:v>
                </c:pt>
                <c:pt idx="136">
                  <c:v>-0.70002418701300517</c:v>
                </c:pt>
                <c:pt idx="137">
                  <c:v>-0.69871170585297226</c:v>
                </c:pt>
                <c:pt idx="138">
                  <c:v>-0.69728844735444262</c:v>
                </c:pt>
                <c:pt idx="139">
                  <c:v>-0.69575463716812069</c:v>
                </c:pt>
                <c:pt idx="140">
                  <c:v>-0.69411051847214222</c:v>
                </c:pt>
                <c:pt idx="141">
                  <c:v>-0.69235635193352041</c:v>
                </c:pt>
                <c:pt idx="142">
                  <c:v>-0.69049241566681763</c:v>
                </c:pt>
                <c:pt idx="143">
                  <c:v>-0.68851900519005249</c:v>
                </c:pt>
                <c:pt idx="144">
                  <c:v>-0.6864364333778461</c:v>
                </c:pt>
                <c:pt idx="145">
                  <c:v>-0.68424503041181794</c:v>
                </c:pt>
                <c:pt idx="146">
                  <c:v>-0.68194514372823722</c:v>
                </c:pt>
                <c:pt idx="147">
                  <c:v>-0.67953713796293769</c:v>
                </c:pt>
                <c:pt idx="148">
                  <c:v>-0.67702139489350766</c:v>
                </c:pt>
                <c:pt idx="149">
                  <c:v>-0.67439831337875977</c:v>
                </c:pt>
                <c:pt idx="150">
                  <c:v>-0.67166830929549493</c:v>
                </c:pt>
                <c:pt idx="151">
                  <c:v>-0.66883181547256643</c:v>
                </c:pt>
                <c:pt idx="152">
                  <c:v>-0.66588928162225713</c:v>
                </c:pt>
                <c:pt idx="153">
                  <c:v>-0.66284117426897993</c:v>
                </c:pt>
                <c:pt idx="154">
                  <c:v>-0.65968797667531287</c:v>
                </c:pt>
                <c:pt idx="155">
                  <c:v>-0.65643018876537895</c:v>
                </c:pt>
                <c:pt idx="156">
                  <c:v>-0.65306832704558748</c:v>
                </c:pt>
                <c:pt idx="157">
                  <c:v>-0.64960292452274326</c:v>
                </c:pt>
                <c:pt idx="158">
                  <c:v>-0.64603453061954053</c:v>
                </c:pt>
                <c:pt idx="159">
                  <c:v>-0.64236371108745638</c:v>
                </c:pt>
                <c:pt idx="160">
                  <c:v>-0.63859104791705179</c:v>
                </c:pt>
                <c:pt idx="161">
                  <c:v>-0.63471713924570106</c:v>
                </c:pt>
                <c:pt idx="162">
                  <c:v>-0.63074259926275966</c:v>
                </c:pt>
                <c:pt idx="163">
                  <c:v>-0.62666805811218718</c:v>
                </c:pt>
                <c:pt idx="164">
                  <c:v>-0.62249416179264161</c:v>
                </c:pt>
                <c:pt idx="165">
                  <c:v>-0.61822157205505923</c:v>
                </c:pt>
                <c:pt idx="166">
                  <c:v>-0.61385096629773661</c:v>
                </c:pt>
                <c:pt idx="167">
                  <c:v>-0.60938303745893374</c:v>
                </c:pt>
                <c:pt idx="168">
                  <c:v>-0.60481849390701081</c:v>
                </c:pt>
                <c:pt idx="169">
                  <c:v>-0.60015805932812005</c:v>
                </c:pt>
                <c:pt idx="170">
                  <c:v>-0.59540247261146972</c:v>
                </c:pt>
                <c:pt idx="171">
                  <c:v>-0.59055248773217561</c:v>
                </c:pt>
                <c:pt idx="172">
                  <c:v>-0.58560887363172265</c:v>
                </c:pt>
                <c:pt idx="173">
                  <c:v>-0.58057241409605309</c:v>
                </c:pt>
                <c:pt idx="174">
                  <c:v>-0.5754439076313006</c:v>
                </c:pt>
                <c:pt idx="175">
                  <c:v>-0.57022416733719106</c:v>
                </c:pt>
                <c:pt idx="176">
                  <c:v>-0.56491402077813013</c:v>
                </c:pt>
                <c:pt idx="177">
                  <c:v>-0.55951430985199624</c:v>
                </c:pt>
                <c:pt idx="178">
                  <c:v>-0.55402589065666197</c:v>
                </c:pt>
                <c:pt idx="179">
                  <c:v>-0.54844963335426444</c:v>
                </c:pt>
                <c:pt idx="180">
                  <c:v>-0.54278642203324456</c:v>
                </c:pt>
                <c:pt idx="181">
                  <c:v>-0.53703715456817913</c:v>
                </c:pt>
                <c:pt idx="182">
                  <c:v>-0.53120274247742871</c:v>
                </c:pt>
                <c:pt idx="183">
                  <c:v>-0.52528411077861836</c:v>
                </c:pt>
                <c:pt idx="184">
                  <c:v>-0.51928219784198237</c:v>
                </c:pt>
                <c:pt idx="185">
                  <c:v>-0.51319795524159018</c:v>
                </c:pt>
                <c:pt idx="186">
                  <c:v>-0.50703234760447768</c:v>
                </c:pt>
                <c:pt idx="187">
                  <c:v>-0.50078635245771141</c:v>
                </c:pt>
                <c:pt idx="188">
                  <c:v>-0.49446096007340662</c:v>
                </c:pt>
                <c:pt idx="189">
                  <c:v>-0.48805717331172338</c:v>
                </c:pt>
                <c:pt idx="190">
                  <c:v>-0.48157600746186846</c:v>
                </c:pt>
                <c:pt idx="191">
                  <c:v>-0.47501849008112684</c:v>
                </c:pt>
                <c:pt idx="192">
                  <c:v>-0.46838566083194649</c:v>
                </c:pt>
                <c:pt idx="193">
                  <c:v>-0.46167857131710505</c:v>
                </c:pt>
                <c:pt idx="194">
                  <c:v>-0.45489828491298467</c:v>
                </c:pt>
                <c:pt idx="195">
                  <c:v>-0.44804587660097667</c:v>
                </c:pt>
                <c:pt idx="196">
                  <c:v>-0.44112243279705088</c:v>
                </c:pt>
                <c:pt idx="197">
                  <c:v>-0.43412905117950734</c:v>
                </c:pt>
                <c:pt idx="198">
                  <c:v>-0.42706684051494626</c:v>
                </c:pt>
                <c:pt idx="199">
                  <c:v>-0.41993692048247855</c:v>
                </c:pt>
                <c:pt idx="200">
                  <c:v>-0.41274042149620516</c:v>
                </c:pt>
                <c:pt idx="201">
                  <c:v>-0.40547848452599583</c:v>
                </c:pt>
                <c:pt idx="202">
                  <c:v>-0.39815226091659472</c:v>
                </c:pt>
                <c:pt idx="203">
                  <c:v>-0.39076291220507869</c:v>
                </c:pt>
                <c:pt idx="204">
                  <c:v>-0.38331160993670266</c:v>
                </c:pt>
                <c:pt idx="205">
                  <c:v>-0.37579953547915651</c:v>
                </c:pt>
                <c:pt idx="206">
                  <c:v>-0.36822787983526417</c:v>
                </c:pt>
                <c:pt idx="207">
                  <c:v>-0.36059784345415663</c:v>
                </c:pt>
                <c:pt idx="208">
                  <c:v>-0.3529106360409473</c:v>
                </c:pt>
                <c:pt idx="209">
                  <c:v>-0.34516747636493733</c:v>
                </c:pt>
                <c:pt idx="210">
                  <c:v>-0.33736959206638673</c:v>
                </c:pt>
                <c:pt idx="211">
                  <c:v>-0.32951821946187887</c:v>
                </c:pt>
                <c:pt idx="212">
                  <c:v>-0.3216146033483066</c:v>
                </c:pt>
                <c:pt idx="213">
                  <c:v>-0.31365999680551682</c:v>
                </c:pt>
                <c:pt idx="214">
                  <c:v>-0.30565566099764141</c:v>
                </c:pt>
                <c:pt idx="215">
                  <c:v>-0.29760286497314437</c:v>
                </c:pt>
                <c:pt idx="216">
                  <c:v>-0.28950288546362091</c:v>
                </c:pt>
                <c:pt idx="217">
                  <c:v>-0.28135700668137892</c:v>
                </c:pt>
                <c:pt idx="218">
                  <c:v>-0.27316652011583176</c:v>
                </c:pt>
                <c:pt idx="219">
                  <c:v>-0.26493272432873932</c:v>
                </c:pt>
                <c:pt idx="220">
                  <c:v>-0.2566569247483288</c:v>
                </c:pt>
                <c:pt idx="221">
                  <c:v>-0.24834043346232332</c:v>
                </c:pt>
                <c:pt idx="222">
                  <c:v>-0.23998456900991766</c:v>
                </c:pt>
                <c:pt idx="223">
                  <c:v>-0.2315906561727315</c:v>
                </c:pt>
                <c:pt idx="224">
                  <c:v>-0.22316002576476962</c:v>
                </c:pt>
                <c:pt idx="225">
                  <c:v>-0.2146940144214288</c:v>
                </c:pt>
                <c:pt idx="226">
                  <c:v>-0.20619396438758186</c:v>
                </c:pt>
                <c:pt idx="227">
                  <c:v>-0.19766122330476929</c:v>
                </c:pt>
                <c:pt idx="228">
                  <c:v>-0.18909714399753813</c:v>
                </c:pt>
                <c:pt idx="229">
                  <c:v>-0.18050308425895928</c:v>
                </c:pt>
                <c:pt idx="230">
                  <c:v>-0.17188040663535414</c:v>
                </c:pt>
                <c:pt idx="231">
                  <c:v>-0.16323047821027037</c:v>
                </c:pt>
                <c:pt idx="232">
                  <c:v>-0.15455467038773846</c:v>
                </c:pt>
                <c:pt idx="233">
                  <c:v>-0.14585435867484037</c:v>
                </c:pt>
                <c:pt idx="234">
                  <c:v>-0.13713092246363062</c:v>
                </c:pt>
                <c:pt idx="235">
                  <c:v>-0.12838574481244119</c:v>
                </c:pt>
                <c:pt idx="236">
                  <c:v>-0.11962021222660266</c:v>
                </c:pt>
                <c:pt idx="237">
                  <c:v>-0.11083571443862125</c:v>
                </c:pt>
                <c:pt idx="238">
                  <c:v>-0.10203364418784465</c:v>
                </c:pt>
                <c:pt idx="239">
                  <c:v>-9.3215396999648023E-2</c:v>
                </c:pt>
                <c:pt idx="240">
                  <c:v>-8.4382370964181122E-2</c:v>
                </c:pt>
                <c:pt idx="241">
                  <c:v>-7.5535966514708952E-2</c:v>
                </c:pt>
                <c:pt idx="242">
                  <c:v>-6.6677586205577982E-2</c:v>
                </c:pt>
                <c:pt idx="243">
                  <c:v>-5.780863448984886E-2</c:v>
                </c:pt>
                <c:pt idx="244">
                  <c:v>-4.8930517496628266E-2</c:v>
                </c:pt>
                <c:pt idx="245">
                  <c:v>-4.0044642808132018E-2</c:v>
                </c:pt>
                <c:pt idx="246">
                  <c:v>-3.1152419236520752E-2</c:v>
                </c:pt>
                <c:pt idx="247">
                  <c:v>-2.2255256600540559E-2</c:v>
                </c:pt>
                <c:pt idx="248">
                  <c:v>-1.3354565502001184E-2</c:v>
                </c:pt>
                <c:pt idx="249">
                  <c:v>-4.4517571021329208E-3</c:v>
                </c:pt>
                <c:pt idx="250">
                  <c:v>4.4517571021451671E-3</c:v>
                </c:pt>
                <c:pt idx="251">
                  <c:v>1.3354565502013114E-2</c:v>
                </c:pt>
                <c:pt idx="252">
                  <c:v>2.2255256600552803E-2</c:v>
                </c:pt>
                <c:pt idx="253">
                  <c:v>3.1152419236532988E-2</c:v>
                </c:pt>
                <c:pt idx="254">
                  <c:v>4.0044642808143932E-2</c:v>
                </c:pt>
                <c:pt idx="255">
                  <c:v>4.8930517496640485E-2</c:v>
                </c:pt>
                <c:pt idx="256">
                  <c:v>5.7808634489861066E-2</c:v>
                </c:pt>
                <c:pt idx="257">
                  <c:v>6.6677586205589862E-2</c:v>
                </c:pt>
                <c:pt idx="258">
                  <c:v>7.5535966514721137E-2</c:v>
                </c:pt>
                <c:pt idx="259">
                  <c:v>8.4382370964193293E-2</c:v>
                </c:pt>
                <c:pt idx="260">
                  <c:v>9.3215396999659847E-2</c:v>
                </c:pt>
                <c:pt idx="261">
                  <c:v>0.10203364418785678</c:v>
                </c:pt>
                <c:pt idx="262">
                  <c:v>0.11083571443863334</c:v>
                </c:pt>
                <c:pt idx="263">
                  <c:v>0.11962021222661441</c:v>
                </c:pt>
                <c:pt idx="264">
                  <c:v>0.12838574481245327</c:v>
                </c:pt>
                <c:pt idx="265">
                  <c:v>0.13713092246364264</c:v>
                </c:pt>
                <c:pt idx="266">
                  <c:v>0.14585435867485205</c:v>
                </c:pt>
                <c:pt idx="267">
                  <c:v>0.15455467038775039</c:v>
                </c:pt>
                <c:pt idx="268">
                  <c:v>0.1632304782102823</c:v>
                </c:pt>
                <c:pt idx="269">
                  <c:v>0.17188040663536572</c:v>
                </c:pt>
                <c:pt idx="270">
                  <c:v>0.18050308425897113</c:v>
                </c:pt>
                <c:pt idx="271">
                  <c:v>0.1890971439975499</c:v>
                </c:pt>
                <c:pt idx="272">
                  <c:v>0.19766122330478073</c:v>
                </c:pt>
                <c:pt idx="273">
                  <c:v>0.2061939643875936</c:v>
                </c:pt>
                <c:pt idx="274">
                  <c:v>0.21469401442144051</c:v>
                </c:pt>
                <c:pt idx="275">
                  <c:v>0.22316002576478094</c:v>
                </c:pt>
                <c:pt idx="276">
                  <c:v>0.2315906561727431</c:v>
                </c:pt>
                <c:pt idx="277">
                  <c:v>0.23998456900992921</c:v>
                </c:pt>
                <c:pt idx="278">
                  <c:v>0.24834043346233445</c:v>
                </c:pt>
                <c:pt idx="279">
                  <c:v>0.25665692474834023</c:v>
                </c:pt>
                <c:pt idx="280">
                  <c:v>0.2649327243287507</c:v>
                </c:pt>
                <c:pt idx="281">
                  <c:v>0.27316652011584275</c:v>
                </c:pt>
                <c:pt idx="282">
                  <c:v>0.28135700668139019</c:v>
                </c:pt>
                <c:pt idx="283">
                  <c:v>0.28950288546363206</c:v>
                </c:pt>
                <c:pt idx="284">
                  <c:v>0.29760286497315519</c:v>
                </c:pt>
                <c:pt idx="285">
                  <c:v>0.30565566099765251</c:v>
                </c:pt>
                <c:pt idx="286">
                  <c:v>0.31365999680552781</c:v>
                </c:pt>
                <c:pt idx="287">
                  <c:v>0.32161460334831726</c:v>
                </c:pt>
                <c:pt idx="288">
                  <c:v>0.32951821946188969</c:v>
                </c:pt>
                <c:pt idx="289">
                  <c:v>0.33736959206639749</c:v>
                </c:pt>
                <c:pt idx="290">
                  <c:v>0.34516747636494771</c:v>
                </c:pt>
                <c:pt idx="291">
                  <c:v>0.35291063604095796</c:v>
                </c:pt>
                <c:pt idx="292">
                  <c:v>0.36059784345416723</c:v>
                </c:pt>
                <c:pt idx="293">
                  <c:v>0.36822787983527433</c:v>
                </c:pt>
                <c:pt idx="294">
                  <c:v>0.37579953547916689</c:v>
                </c:pt>
                <c:pt idx="295">
                  <c:v>0.38331160993671298</c:v>
                </c:pt>
                <c:pt idx="296">
                  <c:v>0.39076291220508869</c:v>
                </c:pt>
                <c:pt idx="297">
                  <c:v>0.39815226091660477</c:v>
                </c:pt>
                <c:pt idx="298">
                  <c:v>0.40547848452600588</c:v>
                </c:pt>
                <c:pt idx="299">
                  <c:v>0.41274042149621487</c:v>
                </c:pt>
                <c:pt idx="300">
                  <c:v>0.41993692048248843</c:v>
                </c:pt>
                <c:pt idx="301">
                  <c:v>0.42706684051495603</c:v>
                </c:pt>
                <c:pt idx="302">
                  <c:v>0.43412905117951678</c:v>
                </c:pt>
                <c:pt idx="303">
                  <c:v>0.44112243279706043</c:v>
                </c:pt>
                <c:pt idx="304">
                  <c:v>0.44804587660098621</c:v>
                </c:pt>
                <c:pt idx="305">
                  <c:v>0.45489828491299378</c:v>
                </c:pt>
                <c:pt idx="306">
                  <c:v>0.46167857131711432</c:v>
                </c:pt>
                <c:pt idx="307">
                  <c:v>0.46838566083195543</c:v>
                </c:pt>
                <c:pt idx="308">
                  <c:v>0.47501849008113572</c:v>
                </c:pt>
                <c:pt idx="309">
                  <c:v>0.4815760074618774</c:v>
                </c:pt>
                <c:pt idx="310">
                  <c:v>0.48805717331173204</c:v>
                </c:pt>
                <c:pt idx="311">
                  <c:v>0.49446096007341517</c:v>
                </c:pt>
                <c:pt idx="312">
                  <c:v>0.50078635245772007</c:v>
                </c:pt>
                <c:pt idx="313">
                  <c:v>0.50703234760448601</c:v>
                </c:pt>
                <c:pt idx="314">
                  <c:v>0.51319795524159828</c:v>
                </c:pt>
                <c:pt idx="315">
                  <c:v>0.5192821978419907</c:v>
                </c:pt>
                <c:pt idx="316">
                  <c:v>0.52528411077862647</c:v>
                </c:pt>
                <c:pt idx="317">
                  <c:v>0.5312027424774366</c:v>
                </c:pt>
                <c:pt idx="318">
                  <c:v>0.5370371545681869</c:v>
                </c:pt>
                <c:pt idx="319">
                  <c:v>0.54278642203325211</c:v>
                </c:pt>
                <c:pt idx="320">
                  <c:v>0.5484496333542721</c:v>
                </c:pt>
                <c:pt idx="321">
                  <c:v>0.5540258906566693</c:v>
                </c:pt>
                <c:pt idx="322">
                  <c:v>0.55951430985200357</c:v>
                </c:pt>
                <c:pt idx="323">
                  <c:v>0.56491402077813757</c:v>
                </c:pt>
                <c:pt idx="324">
                  <c:v>0.57022416733719805</c:v>
                </c:pt>
                <c:pt idx="325">
                  <c:v>0.57544390763130759</c:v>
                </c:pt>
                <c:pt idx="326">
                  <c:v>0.58057241409606009</c:v>
                </c:pt>
                <c:pt idx="327">
                  <c:v>0.58560887363172931</c:v>
                </c:pt>
                <c:pt idx="328">
                  <c:v>0.59055248773218216</c:v>
                </c:pt>
                <c:pt idx="329">
                  <c:v>0.59540247261147627</c:v>
                </c:pt>
                <c:pt idx="330">
                  <c:v>0.60015805932812627</c:v>
                </c:pt>
                <c:pt idx="331">
                  <c:v>0.60481849390701692</c:v>
                </c:pt>
                <c:pt idx="332">
                  <c:v>0.60938303745893996</c:v>
                </c:pt>
                <c:pt idx="333">
                  <c:v>0.6138509662977425</c:v>
                </c:pt>
                <c:pt idx="334">
                  <c:v>0.61822157205506489</c:v>
                </c:pt>
                <c:pt idx="335">
                  <c:v>0.62249416179264749</c:v>
                </c:pt>
                <c:pt idx="336">
                  <c:v>0.62666805811219273</c:v>
                </c:pt>
                <c:pt idx="337">
                  <c:v>0.6307425992627651</c:v>
                </c:pt>
                <c:pt idx="338">
                  <c:v>0.6347171392457065</c:v>
                </c:pt>
                <c:pt idx="339">
                  <c:v>0.6385910479170569</c:v>
                </c:pt>
                <c:pt idx="340">
                  <c:v>0.64236371108746138</c:v>
                </c:pt>
                <c:pt idx="341">
                  <c:v>0.64603453061954552</c:v>
                </c:pt>
                <c:pt idx="342">
                  <c:v>0.64960292452274782</c:v>
                </c:pt>
                <c:pt idx="343">
                  <c:v>0.65306832704559215</c:v>
                </c:pt>
                <c:pt idx="344">
                  <c:v>0.6564301887653835</c:v>
                </c:pt>
                <c:pt idx="345">
                  <c:v>0.65968797667531709</c:v>
                </c:pt>
                <c:pt idx="346">
                  <c:v>0.66284117426898426</c:v>
                </c:pt>
                <c:pt idx="347">
                  <c:v>0.66588928162226124</c:v>
                </c:pt>
                <c:pt idx="348">
                  <c:v>0.6688318154725702</c:v>
                </c:pt>
                <c:pt idx="349">
                  <c:v>0.6716683092954987</c:v>
                </c:pt>
                <c:pt idx="350">
                  <c:v>0.67439831337876344</c:v>
                </c:pt>
                <c:pt idx="351">
                  <c:v>0.67702139489351099</c:v>
                </c:pt>
                <c:pt idx="352">
                  <c:v>0.67953713796294113</c:v>
                </c:pt>
                <c:pt idx="353">
                  <c:v>0.68194514372824044</c:v>
                </c:pt>
                <c:pt idx="354">
                  <c:v>0.68424503041182094</c:v>
                </c:pt>
                <c:pt idx="355">
                  <c:v>0.68643643337784899</c:v>
                </c:pt>
                <c:pt idx="356">
                  <c:v>0.68851900519005516</c:v>
                </c:pt>
                <c:pt idx="357">
                  <c:v>0.69049241566682018</c:v>
                </c:pt>
                <c:pt idx="358">
                  <c:v>0.69235635193352285</c:v>
                </c:pt>
                <c:pt idx="359">
                  <c:v>0.69411051847214456</c:v>
                </c:pt>
                <c:pt idx="360">
                  <c:v>0.6957546371681228</c:v>
                </c:pt>
                <c:pt idx="361">
                  <c:v>0.69728844735444462</c:v>
                </c:pt>
                <c:pt idx="362">
                  <c:v>0.69871170585297415</c:v>
                </c:pt>
                <c:pt idx="363">
                  <c:v>0.70002418701300684</c:v>
                </c:pt>
                <c:pt idx="364">
                  <c:v>0.70122568274704655</c:v>
                </c:pt>
                <c:pt idx="365">
                  <c:v>0.70231600256379512</c:v>
                </c:pt>
                <c:pt idx="366">
                  <c:v>0.70329497359835513</c:v>
                </c:pt>
                <c:pt idx="367">
                  <c:v>0.70416244063963651</c:v>
                </c:pt>
                <c:pt idx="368">
                  <c:v>0.70491826615496367</c:v>
                </c:pt>
                <c:pt idx="369">
                  <c:v>0.7055623303118822</c:v>
                </c:pt>
                <c:pt idx="370">
                  <c:v>0.70609453099715602</c:v>
                </c:pt>
                <c:pt idx="371">
                  <c:v>0.70651478383295829</c:v>
                </c:pt>
                <c:pt idx="372">
                  <c:v>0.7068230221902484</c:v>
                </c:pt>
                <c:pt idx="373">
                  <c:v>0.70701919719933559</c:v>
                </c:pt>
                <c:pt idx="374">
                  <c:v>0.70710327775762771</c:v>
                </c:pt>
                <c:pt idx="375">
                  <c:v>0.70707525053456155</c:v>
                </c:pt>
                <c:pt idx="376">
                  <c:v>0.70693511997371683</c:v>
                </c:pt>
                <c:pt idx="377">
                  <c:v>0.70668290829211178</c:v>
                </c:pt>
                <c:pt idx="378">
                  <c:v>0.70631865547668016</c:v>
                </c:pt>
                <c:pt idx="379">
                  <c:v>0.70584241927793201</c:v>
                </c:pt>
                <c:pt idx="380">
                  <c:v>0.70525427520079775</c:v>
                </c:pt>
                <c:pt idx="381">
                  <c:v>0.70455431649265665</c:v>
                </c:pt>
                <c:pt idx="382">
                  <c:v>0.70374265412855341</c:v>
                </c:pt>
                <c:pt idx="383">
                  <c:v>0.70281941679360327</c:v>
                </c:pt>
                <c:pt idx="384">
                  <c:v>0.70178475086258996</c:v>
                </c:pt>
                <c:pt idx="385">
                  <c:v>0.7006388203767584</c:v>
                </c:pt>
                <c:pt idx="386">
                  <c:v>0.69938180701780661</c:v>
                </c:pt>
                <c:pt idx="387">
                  <c:v>0.69801391007908187</c:v>
                </c:pt>
                <c:pt idx="388">
                  <c:v>0.69653534643398252</c:v>
                </c:pt>
                <c:pt idx="389">
                  <c:v>0.69494635050157427</c:v>
                </c:pt>
                <c:pt idx="390">
                  <c:v>0.6932471742094245</c:v>
                </c:pt>
                <c:pt idx="391">
                  <c:v>0.69143808695366016</c:v>
                </c:pt>
                <c:pt idx="392">
                  <c:v>0.68951937555625564</c:v>
                </c:pt>
                <c:pt idx="393">
                  <c:v>0.68749134421955993</c:v>
                </c:pt>
                <c:pt idx="394">
                  <c:v>0.68535431447806572</c:v>
                </c:pt>
                <c:pt idx="395">
                  <c:v>0.68310862514743165</c:v>
                </c:pt>
                <c:pt idx="396">
                  <c:v>0.68075463227076571</c:v>
                </c:pt>
                <c:pt idx="397">
                  <c:v>0.67829270906217554</c:v>
                </c:pt>
                <c:pt idx="398">
                  <c:v>0.6757232458475968</c:v>
                </c:pt>
                <c:pt idx="399">
                  <c:v>0.67304665000291009</c:v>
                </c:pt>
                <c:pt idx="400">
                  <c:v>0.67026334588935266</c:v>
                </c:pt>
                <c:pt idx="401">
                  <c:v>0.66737377478623783</c:v>
                </c:pt>
                <c:pt idx="402">
                  <c:v>0.66437839482099281</c:v>
                </c:pt>
                <c:pt idx="403">
                  <c:v>0.66127768089652517</c:v>
                </c:pt>
                <c:pt idx="404">
                  <c:v>0.65807212461592768</c:v>
                </c:pt>
                <c:pt idx="405">
                  <c:v>0.65476223420453905</c:v>
                </c:pt>
                <c:pt idx="406">
                  <c:v>0.65134853442936635</c:v>
                </c:pt>
                <c:pt idx="407">
                  <c:v>0.64783156651588503</c:v>
                </c:pt>
                <c:pt idx="408">
                  <c:v>0.64421188806223162</c:v>
                </c:pt>
                <c:pt idx="409">
                  <c:v>0.64049007295079874</c:v>
                </c:pt>
                <c:pt idx="410">
                  <c:v>0.63666671125724794</c:v>
                </c:pt>
                <c:pt idx="411">
                  <c:v>0.63274240915695745</c:v>
                </c:pt>
                <c:pt idx="412">
                  <c:v>0.62871778882891594</c:v>
                </c:pt>
                <c:pt idx="413">
                  <c:v>0.6245934883570774</c:v>
                </c:pt>
                <c:pt idx="414">
                  <c:v>0.620370161629198</c:v>
                </c:pt>
                <c:pt idx="415">
                  <c:v>0.61604847823316478</c:v>
                </c:pt>
                <c:pt idx="416">
                  <c:v>0.61162912335083452</c:v>
                </c:pt>
                <c:pt idx="417">
                  <c:v>0.60711279764940362</c:v>
                </c:pt>
                <c:pt idx="418">
                  <c:v>0.60250021717031943</c:v>
                </c:pt>
                <c:pt idx="419">
                  <c:v>0.59779211321575476</c:v>
                </c:pt>
                <c:pt idx="420">
                  <c:v>0.5929892322326652</c:v>
                </c:pt>
                <c:pt idx="421">
                  <c:v>0.58809233569444275</c:v>
                </c:pt>
                <c:pt idx="422">
                  <c:v>0.58310219998018664</c:v>
                </c:pt>
                <c:pt idx="423">
                  <c:v>0.57801961625161491</c:v>
                </c:pt>
                <c:pt idx="424">
                  <c:v>0.57284539032762749</c:v>
                </c:pt>
                <c:pt idx="425">
                  <c:v>0.56758034255654743</c:v>
                </c:pt>
                <c:pt idx="426">
                  <c:v>0.56222530768606049</c:v>
                </c:pt>
                <c:pt idx="427">
                  <c:v>0.55678113473086865</c:v>
                </c:pt>
                <c:pt idx="428">
                  <c:v>0.55124868683808204</c:v>
                </c:pt>
                <c:pt idx="429">
                  <c:v>0.54562884115037347</c:v>
                </c:pt>
                <c:pt idx="430">
                  <c:v>0.53992248866691073</c:v>
                </c:pt>
                <c:pt idx="431">
                  <c:v>0.53413053410209133</c:v>
                </c:pt>
                <c:pt idx="432">
                  <c:v>0.52825389574210724</c:v>
                </c:pt>
                <c:pt idx="433">
                  <c:v>0.52229350529935392</c:v>
                </c:pt>
                <c:pt idx="434">
                  <c:v>0.51625030776471015</c:v>
                </c:pt>
                <c:pt idx="435">
                  <c:v>0.51012526125771762</c:v>
                </c:pt>
                <c:pt idx="436">
                  <c:v>0.5039193368746735</c:v>
                </c:pt>
                <c:pt idx="437">
                  <c:v>0.49763351853466736</c:v>
                </c:pt>
                <c:pt idx="438">
                  <c:v>0.49126880282358792</c:v>
                </c:pt>
                <c:pt idx="439">
                  <c:v>0.48482619883611777</c:v>
                </c:pt>
                <c:pt idx="440">
                  <c:v>0.47830672801574509</c:v>
                </c:pt>
                <c:pt idx="441">
                  <c:v>0.47171142399282168</c:v>
                </c:pt>
                <c:pt idx="442">
                  <c:v>0.46504133242068391</c:v>
                </c:pt>
                <c:pt idx="443">
                  <c:v>0.45829751080986891</c:v>
                </c:pt>
                <c:pt idx="444">
                  <c:v>0.45148102836045362</c:v>
                </c:pt>
                <c:pt idx="445">
                  <c:v>0.4445929657925371</c:v>
                </c:pt>
                <c:pt idx="446">
                  <c:v>0.43763441517489626</c:v>
                </c:pt>
                <c:pt idx="447">
                  <c:v>0.4306064797518464</c:v>
                </c:pt>
                <c:pt idx="448">
                  <c:v>0.42351027376832595</c:v>
                </c:pt>
                <c:pt idx="449">
                  <c:v>0.41634692229323667</c:v>
                </c:pt>
                <c:pt idx="450">
                  <c:v>0.40911756104107266</c:v>
                </c:pt>
                <c:pt idx="451">
                  <c:v>0.40182333619185656</c:v>
                </c:pt>
                <c:pt idx="452">
                  <c:v>0.39446540420941706</c:v>
                </c:pt>
                <c:pt idx="453">
                  <c:v>0.38704493165804021</c:v>
                </c:pt>
                <c:pt idx="454">
                  <c:v>0.3795630950175144</c:v>
                </c:pt>
                <c:pt idx="455">
                  <c:v>0.37202108049660432</c:v>
                </c:pt>
                <c:pt idx="456">
                  <c:v>0.36442008384498586</c:v>
                </c:pt>
                <c:pt idx="457">
                  <c:v>0.35676131016366486</c:v>
                </c:pt>
                <c:pt idx="458">
                  <c:v>0.34904597371391177</c:v>
                </c:pt>
                <c:pt idx="459">
                  <c:v>0.34127529772475057</c:v>
                </c:pt>
                <c:pt idx="460">
                  <c:v>0.33345051419901955</c:v>
                </c:pt>
                <c:pt idx="461">
                  <c:v>0.32557286371804184</c:v>
                </c:pt>
                <c:pt idx="462">
                  <c:v>0.31764359524494051</c:v>
                </c:pt>
                <c:pt idx="463">
                  <c:v>0.30966396592661993</c:v>
                </c:pt>
                <c:pt idx="464">
                  <c:v>0.3016352408944496</c:v>
                </c:pt>
                <c:pt idx="465">
                  <c:v>0.29355869306368693</c:v>
                </c:pt>
                <c:pt idx="466">
                  <c:v>0.28543560293166137</c:v>
                </c:pt>
                <c:pt idx="467">
                  <c:v>0.2772672583747558</c:v>
                </c:pt>
                <c:pt idx="468">
                  <c:v>0.26905495444422339</c:v>
                </c:pt>
                <c:pt idx="469">
                  <c:v>0.26079999316086211</c:v>
                </c:pt>
                <c:pt idx="470">
                  <c:v>0.25250368330858364</c:v>
                </c:pt>
                <c:pt idx="471">
                  <c:v>0.24416734022691572</c:v>
                </c:pt>
                <c:pt idx="472">
                  <c:v>0.2357922856024596</c:v>
                </c:pt>
                <c:pt idx="473">
                  <c:v>0.22737984725934146</c:v>
                </c:pt>
                <c:pt idx="474">
                  <c:v>0.21893135894869575</c:v>
                </c:pt>
                <c:pt idx="475">
                  <c:v>0.21044816013720369</c:v>
                </c:pt>
                <c:pt idx="476">
                  <c:v>0.20193159579472558</c:v>
                </c:pt>
                <c:pt idx="477">
                  <c:v>0.19338301618106607</c:v>
                </c:pt>
                <c:pt idx="478">
                  <c:v>0.18480377663189507</c:v>
                </c:pt>
                <c:pt idx="479">
                  <c:v>0.17619523734386422</c:v>
                </c:pt>
                <c:pt idx="480">
                  <c:v>0.16755876315895787</c:v>
                </c:pt>
                <c:pt idx="481">
                  <c:v>0.15889572334810215</c:v>
                </c:pt>
                <c:pt idx="482">
                  <c:v>0.15020749139407213</c:v>
                </c:pt>
                <c:pt idx="483">
                  <c:v>0.14149544477373624</c:v>
                </c:pt>
                <c:pt idx="484">
                  <c:v>0.13276096473966234</c:v>
                </c:pt>
                <c:pt idx="485">
                  <c:v>0.12400543610112492</c:v>
                </c:pt>
                <c:pt idx="486">
                  <c:v>0.11523024700455406</c:v>
                </c:pt>
                <c:pt idx="487">
                  <c:v>0.10643678871344975</c:v>
                </c:pt>
                <c:pt idx="488">
                  <c:v>9.7626455387801889E-2</c:v>
                </c:pt>
                <c:pt idx="489">
                  <c:v>8.8800643863056861E-2</c:v>
                </c:pt>
                <c:pt idx="490">
                  <c:v>7.9960753428654108E-2</c:v>
                </c:pt>
                <c:pt idx="491">
                  <c:v>7.1108185606173782E-2</c:v>
                </c:pt>
                <c:pt idx="492">
                  <c:v>6.2244343927136042E-2</c:v>
                </c:pt>
                <c:pt idx="493">
                  <c:v>5.3370633710476109E-2</c:v>
                </c:pt>
                <c:pt idx="494">
                  <c:v>4.4488461839735899E-2</c:v>
                </c:pt>
                <c:pt idx="495">
                  <c:v>3.5599236540013283E-2</c:v>
                </c:pt>
                <c:pt idx="496">
                  <c:v>2.6704367154692928E-2</c:v>
                </c:pt>
                <c:pt idx="497">
                  <c:v>1.7805263921999916E-2</c:v>
                </c:pt>
                <c:pt idx="498">
                  <c:v>8.9033377514170908E-3</c:v>
                </c:pt>
                <c:pt idx="499">
                  <c:v>-9.6479421657968007E-15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23-49D9-B4A5-D1A6F1AC15FB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-0.15146404008940359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0.32450042646800409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F-0D23-49D9-B4A5-D1A6F1AC15FB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0.30095885885426427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-0.60588691613522094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0-0D23-49D9-B4A5-D1A6F1AC15FB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-0.20104177532404574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0.6327394648514334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1-0D23-49D9-B4A5-D1A6F1AC15FB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0.74035675812549229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1.7045039591863445E-2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2-0D23-49D9-B4A5-D1A6F1AC15FB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-0.60204410506336725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0.32405639436562089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3-0D23-49D9-B4A5-D1A6F1AC15FB}"/>
            </c:ext>
          </c:extLst>
        </c:ser>
        <c:ser>
          <c:idx val="9"/>
          <c:order val="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8.3382908026546881E-2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0.14076958335972564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4-0D23-49D9-B4A5-D1A6F1AC15FB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0.81911870425394162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-0.31709773518156825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5-0D23-49D9-B4A5-D1A6F1AC15FB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-0.31123637335143989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0.37404452521920423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6-0D23-49D9-B4A5-D1A6F1AC15FB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0.18215982788131624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0.15149890623526771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0D23-49D9-B4A5-D1A6F1AC15FB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0.10203796012567712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0.23391474927117037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8-0D23-49D9-B4A5-D1A6F1AC15FB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0.61171090925550708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-0.13194285668788808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9-0D23-49D9-B4A5-D1A6F1AC15FB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0.49233429595660738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-4.7244033994978049E-2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A-0D23-49D9-B4A5-D1A6F1AC15FB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-4.873840991990074E-4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-0.58994623012265002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B-0D23-49D9-B4A5-D1A6F1AC15FB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-0.13485737852436711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0.24804202111736193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C-0D23-49D9-B4A5-D1A6F1AC15FB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0.29885959886594204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6.2264484438761196E-2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D-0D23-49D9-B4A5-D1A6F1AC15FB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0.60997403719708465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-0.43062292286391129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E-0D23-49D9-B4A5-D1A6F1AC15FB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0.88879283933075526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-0.2494506685626916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F-0D23-49D9-B4A5-D1A6F1AC15FB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0.62836434308370648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-1.6022810252817377E-4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0-0D23-49D9-B4A5-D1A6F1AC15FB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-0.54450557899128527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-0.17446510279899391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1-0D23-49D9-B4A5-D1A6F1AC15FB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0.55937174576495019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0.16153668852320402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2-0D23-49D9-B4A5-D1A6F1AC15FB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-0.49008024661475696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0.57389932882633632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3-0D23-49D9-B4A5-D1A6F1AC15FB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4.034593523044179E-2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-1.560874165346827E-2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4-0D23-49D9-B4A5-D1A6F1AC15FB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-0.12914341753823128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1.0485944776393022E-2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5-0D23-49D9-B4A5-D1A6F1AC15FB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-4.560003326150211E-2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0.2132074888809678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6-0D23-49D9-B4A5-D1A6F1AC15FB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-0.17487080661404736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-0.35517139298110978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7-0D23-49D9-B4A5-D1A6F1AC15FB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0.60259796823445588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-7.5832404281244332E-3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8-0D23-49D9-B4A5-D1A6F1AC15FB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-4.3415828034864448E-2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-0.12920517843590504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9-0D23-49D9-B4A5-D1A6F1AC15FB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-0.1859840925418981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-0.19916263739776274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A-0D23-49D9-B4A5-D1A6F1AC15FB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0.30510194157843384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-0.13700285851792721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B-0D23-49D9-B4A5-D1A6F1AC15FB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-0.47023071014512652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0.32785540391033502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C-0D23-49D9-B4A5-D1A6F1AC15FB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0.26937059822081288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0.327678446922054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D-0D23-49D9-B4A5-D1A6F1AC15FB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0.29789977067485252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0.17351078805501702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E-0D23-49D9-B4A5-D1A6F1AC15FB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0.18121239061639338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0.11531590866387084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F-0D23-49D9-B4A5-D1A6F1AC15FB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0.33404389066616047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-8.4955162202418791E-2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0-0D23-49D9-B4A5-D1A6F1AC15FB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1.8055867693163537E-2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-0.13532742763750583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1-0D23-49D9-B4A5-D1A6F1AC15FB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-0.16653971987092145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0.19804128667722226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2-0D23-49D9-B4A5-D1A6F1AC15FB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-3.3578617288849678E-2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0.14219053258145517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3-0D23-49D9-B4A5-D1A6F1AC15FB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-0.19196281240818361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-0.32280387832143598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4-0D23-49D9-B4A5-D1A6F1AC15FB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-0.35764637731121396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-0.55170189939655079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5-0D23-49D9-B4A5-D1A6F1AC15FB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-2.3085549985548751E-2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-3.2903731620011617E-2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6-0D23-49D9-B4A5-D1A6F1AC15FB}"/>
            </c:ext>
          </c:extLst>
        </c:ser>
        <c:ser>
          <c:idx val="44"/>
          <c:order val="44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-0.10735257743436566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7.8311333124592084E-3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7-0D23-49D9-B4A5-D1A6F1AC15FB}"/>
            </c:ext>
          </c:extLst>
        </c:ser>
        <c:ser>
          <c:idx val="45"/>
          <c:order val="45"/>
          <c:tx>
            <c:v/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-0.14275226330009783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-5.0642005158902062E-2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8-0D23-49D9-B4A5-D1A6F1AC15FB}"/>
            </c:ext>
          </c:extLst>
        </c:ser>
        <c:ser>
          <c:idx val="46"/>
          <c:order val="46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0.66208115760762454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0.37259684697789747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59-0D23-49D9-B4A5-D1A6F1AC1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29359"/>
        <c:axId val="139629775"/>
      </c:scatterChart>
      <c:valAx>
        <c:axId val="139629359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ru-RU"/>
          </a:p>
        </c:txPr>
        <c:crossAx val="139629775"/>
        <c:crosses val="autoZero"/>
        <c:crossBetween val="midCat"/>
        <c:majorUnit val="0.25"/>
      </c:valAx>
      <c:valAx>
        <c:axId val="139629775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ru-RU"/>
          </a:p>
        </c:txPr>
        <c:crossAx val="139629359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ayout>
        <c:manualLayout>
          <c:xMode val="edge"/>
          <c:yMode val="edge"/>
          <c:x val="0.91929683208203639"/>
          <c:y val="0.47240383745135306"/>
          <c:w val="7.3547532855351941E-2"/>
          <c:h val="0.1293112498868676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Variables on axes w*/c1 and w*/c2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X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819897084048027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EF2B-40FC-97A9-47B1655EEADF}"/>
                </c:ext>
              </c:extLst>
            </c:dLbl>
            <c:dLbl>
              <c:idx val="1"/>
              <c:layout>
                <c:manualLayout>
                  <c:x val="-0.129005010737294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H_station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F2B-40FC-97A9-47B1655EEADF}"/>
                </c:ext>
              </c:extLst>
            </c:dLbl>
            <c:dLbl>
              <c:idx val="2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F2B-40FC-97A9-47B1655EEADF}"/>
                </c:ext>
              </c:extLst>
            </c:dLbl>
            <c:dLbl>
              <c:idx val="3"/>
              <c:layout>
                <c:manualLayout>
                  <c:x val="-1.71526586620927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area_barren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F2B-40FC-97A9-47B1655EEADF}"/>
                </c:ext>
              </c:extLst>
            </c:dLbl>
            <c:dLbl>
              <c:idx val="4"/>
              <c:layout>
                <c:manualLayout>
                  <c:x val="-0.17567753001715267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area_cropland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F2B-40FC-97A9-47B1655EEADF}"/>
                </c:ext>
              </c:extLst>
            </c:dLbl>
            <c:dLbl>
              <c:idx val="5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area_forest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F2B-40FC-97A9-47B1655EEADF}"/>
                </c:ext>
              </c:extLst>
            </c:dLbl>
            <c:dLbl>
              <c:idx val="6"/>
              <c:layout>
                <c:manualLayout>
                  <c:x val="-1.71526586620927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ksn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F2B-40FC-97A9-47B1655EEADF}"/>
                </c:ext>
              </c:extLst>
            </c:dLbl>
            <c:dLbl>
              <c:idx val="7"/>
              <c:layout>
                <c:manualLayout>
                  <c:x val="-7.2212692967409953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F2B-40FC-97A9-47B1655EEADF}"/>
                </c:ext>
              </c:extLst>
            </c:dLbl>
            <c:dLbl>
              <c:idx val="8"/>
              <c:layout>
                <c:manualLayout>
                  <c:x val="-1.71526586620927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glacier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F2B-40FC-97A9-47B1655EEADF}"/>
                </c:ext>
              </c:extLst>
            </c:dLbl>
            <c:dLbl>
              <c:idx val="9"/>
              <c:layout>
                <c:manualLayout>
                  <c:x val="-1.7152658662092687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glored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F2B-40FC-97A9-47B1655EEADF}"/>
                </c:ext>
              </c:extLst>
            </c:dLbl>
            <c:dLbl>
              <c:idx val="10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F2B-40FC-97A9-47B1655EEADF}"/>
                </c:ext>
              </c:extLst>
            </c:dLbl>
            <c:dLbl>
              <c:idx val="11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F2B-40FC-97A9-47B1655EEADF}"/>
                </c:ext>
              </c:extLst>
            </c:dLbl>
            <c:dLbl>
              <c:idx val="12"/>
              <c:layout>
                <c:manualLayout>
                  <c:x val="-7.6209397495981962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srad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F2B-40FC-97A9-47B1655EEADF}"/>
                </c:ext>
              </c:extLst>
            </c:dLbl>
            <c:dLbl>
              <c:idx val="13"/>
              <c:layout>
                <c:manualLayout>
                  <c:x val="-6.58146162261449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F2B-40FC-97A9-47B1655EEADF}"/>
                </c:ext>
              </c:extLst>
            </c:dLbl>
            <c:dLbl>
              <c:idx val="14"/>
              <c:layout>
                <c:manualLayout>
                  <c:x val="-1.7152658662092687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canopy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EF2B-40FC-97A9-47B1655EEADF}"/>
                </c:ext>
              </c:extLst>
            </c:dLbl>
            <c:dLbl>
              <c:idx val="15"/>
              <c:layout>
                <c:manualLayout>
                  <c:x val="-1.71526586620927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F2B-40FC-97A9-47B1655EEADF}"/>
                </c:ext>
              </c:extLst>
            </c:dLbl>
            <c:dLbl>
              <c:idx val="16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EF2B-40FC-97A9-47B1655EEADF}"/>
                </c:ext>
              </c:extLst>
            </c:dLbl>
            <c:dLbl>
              <c:idx val="17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pga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F2B-40FC-97A9-47B1655EEADF}"/>
                </c:ext>
              </c:extLst>
            </c:dLbl>
            <c:dLbl>
              <c:idx val="18"/>
              <c:layout>
                <c:manualLayout>
                  <c:x val="-6.999986493969558E-2"/>
                  <c:y val="1.7241379310344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cwr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F2B-40FC-97A9-47B1655EEADF}"/>
                </c:ext>
              </c:extLst>
            </c:dLbl>
            <c:dLbl>
              <c:idx val="19"/>
              <c:layout>
                <c:manualLayout>
                  <c:x val="-1.715265866209275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SHDI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F2B-40FC-97A9-47B1655EEADF}"/>
                </c:ext>
              </c:extLst>
            </c:dLbl>
            <c:dLbl>
              <c:idx val="20"/>
              <c:layout>
                <c:manualLayout>
                  <c:x val="-0.10090922596939536"/>
                  <c:y val="-3.065134099616854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KG-Cfa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F2B-40FC-97A9-47B1655EEADF}"/>
                </c:ext>
              </c:extLst>
            </c:dLbl>
            <c:dLbl>
              <c:idx val="21"/>
              <c:layout>
                <c:manualLayout>
                  <c:x val="-1.7152658662092687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KG-Cfb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F2B-40FC-97A9-47B1655EEADF}"/>
                </c:ext>
              </c:extLst>
            </c:dLbl>
            <c:dLbl>
              <c:idx val="22"/>
              <c:layout>
                <c:manualLayout>
                  <c:x val="-0.10298456260720412"/>
                  <c:y val="1.724137931034489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KG-Csa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F2B-40FC-97A9-47B1655EEADF}"/>
                </c:ext>
              </c:extLst>
            </c:dLbl>
            <c:dLbl>
              <c:idx val="23"/>
              <c:layout>
                <c:manualLayout>
                  <c:x val="-1.715265866209268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EF2B-40FC-97A9-47B1655EEADF}"/>
                </c:ext>
              </c:extLst>
            </c:dLbl>
            <c:dLbl>
              <c:idx val="24"/>
              <c:layout>
                <c:manualLayout>
                  <c:x val="-0.10399670452857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EF2B-40FC-97A9-47B1655EEADF}"/>
                </c:ext>
              </c:extLst>
            </c:dLbl>
            <c:dLbl>
              <c:idx val="25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EF2B-40FC-97A9-47B1655EEADF}"/>
                </c:ext>
              </c:extLst>
            </c:dLbl>
            <c:dLbl>
              <c:idx val="26"/>
              <c:layout>
                <c:manualLayout>
                  <c:x val="-0.104957253413649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KG-Dsa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EF2B-40FC-97A9-47B1655EEADF}"/>
                </c:ext>
              </c:extLst>
            </c:dLbl>
            <c:dLbl>
              <c:idx val="27"/>
              <c:layout>
                <c:manualLayout>
                  <c:x val="-0.10607204116638076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KG-Dsb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EF2B-40FC-97A9-47B1655EEADF}"/>
                </c:ext>
              </c:extLst>
            </c:dLbl>
            <c:dLbl>
              <c:idx val="28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EF2B-40FC-97A9-47B1655EEADF}"/>
                </c:ext>
              </c:extLst>
            </c:dLbl>
            <c:dLbl>
              <c:idx val="29"/>
              <c:layout>
                <c:manualLayout>
                  <c:x val="-8.782161234991423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LZ-1b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EF2B-40FC-97A9-47B1655EEADF}"/>
                </c:ext>
              </c:extLst>
            </c:dLbl>
            <c:dLbl>
              <c:idx val="30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EF2B-40FC-97A9-47B1655EEADF}"/>
                </c:ext>
              </c:extLst>
            </c:dLbl>
            <c:dLbl>
              <c:idx val="31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EF2B-40FC-97A9-47B1655EEADF}"/>
                </c:ext>
              </c:extLst>
            </c:dLbl>
            <c:dLbl>
              <c:idx val="32"/>
              <c:layout>
                <c:manualLayout>
                  <c:x val="-1.715265866209268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EF2B-40FC-97A9-47B1655EEADF}"/>
                </c:ext>
              </c:extLst>
            </c:dLbl>
            <c:dLbl>
              <c:idx val="33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EF2B-40FC-97A9-47B1655EEADF}"/>
                </c:ext>
              </c:extLst>
            </c:dLbl>
            <c:dLbl>
              <c:idx val="34"/>
              <c:layout>
                <c:manualLayout>
                  <c:x val="-8.6706824597182638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EF2B-40FC-97A9-47B1655EEADF}"/>
                </c:ext>
              </c:extLst>
            </c:dLbl>
            <c:dLbl>
              <c:idx val="35"/>
              <c:layout>
                <c:manualLayout>
                  <c:x val="-8.650099269323753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EF2B-40FC-97A9-47B1655EEADF}"/>
                </c:ext>
              </c:extLst>
            </c:dLbl>
            <c:dLbl>
              <c:idx val="36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LZ-3f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EF2B-40FC-97A9-47B1655EEADF}"/>
                </c:ext>
              </c:extLst>
            </c:dLbl>
            <c:dLbl>
              <c:idx val="37"/>
              <c:layout>
                <c:manualLayout>
                  <c:x val="-8.7152523601788198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EF2B-40FC-97A9-47B1655EEADF}"/>
                </c:ext>
              </c:extLst>
            </c:dLbl>
            <c:dLbl>
              <c:idx val="38"/>
              <c:layout>
                <c:manualLayout>
                  <c:x val="-8.782161234991423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EF2B-40FC-97A9-47B1655EEADF}"/>
                </c:ext>
              </c:extLst>
            </c:dLbl>
            <c:dLbl>
              <c:idx val="39"/>
              <c:layout>
                <c:manualLayout>
                  <c:x val="-8.2521575883632042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EF2B-40FC-97A9-47B1655EEADF}"/>
                </c:ext>
              </c:extLst>
            </c:dLbl>
            <c:dLbl>
              <c:idx val="40"/>
              <c:layout>
                <c:manualLayout>
                  <c:x val="-8.2521575883632042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LZ-6f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EF2B-40FC-97A9-47B1655EEADF}"/>
                </c:ext>
              </c:extLst>
            </c:dLbl>
            <c:dLbl>
              <c:idx val="41"/>
              <c:layout>
                <c:manualLayout>
                  <c:x val="-8.782161234991423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LZ-6d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EF2B-40FC-97A9-47B1655EEA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'PLS-R'!$C$264:$C$305</c:f>
              <c:numCache>
                <c:formatCode>0.000</c:formatCode>
                <c:ptCount val="42"/>
                <c:pt idx="0">
                  <c:v>-2.4956618603394924E-2</c:v>
                </c:pt>
                <c:pt idx="1">
                  <c:v>-5.9400600301345993E-3</c:v>
                </c:pt>
                <c:pt idx="2">
                  <c:v>1.64515502277899E-2</c:v>
                </c:pt>
                <c:pt idx="3">
                  <c:v>0.3154467334149022</c:v>
                </c:pt>
                <c:pt idx="4">
                  <c:v>-0.23200189040261929</c:v>
                </c:pt>
                <c:pt idx="5">
                  <c:v>5.4425510034757971E-2</c:v>
                </c:pt>
                <c:pt idx="6">
                  <c:v>0.29156547627445567</c:v>
                </c:pt>
                <c:pt idx="7">
                  <c:v>-6.2952852483744548E-2</c:v>
                </c:pt>
                <c:pt idx="8">
                  <c:v>6.8285765696991671E-2</c:v>
                </c:pt>
                <c:pt idx="9">
                  <c:v>4.2580126349904754E-2</c:v>
                </c:pt>
                <c:pt idx="10">
                  <c:v>0.15264013426756295</c:v>
                </c:pt>
                <c:pt idx="11">
                  <c:v>0.12965480105566241</c:v>
                </c:pt>
                <c:pt idx="12">
                  <c:v>-6.632630211031379E-2</c:v>
                </c:pt>
                <c:pt idx="13">
                  <c:v>-8.0389103299940597E-3</c:v>
                </c:pt>
                <c:pt idx="14">
                  <c:v>0.11459019304808618</c:v>
                </c:pt>
                <c:pt idx="15">
                  <c:v>0.20295129054270505</c:v>
                </c:pt>
                <c:pt idx="16">
                  <c:v>0.33387461842667093</c:v>
                </c:pt>
                <c:pt idx="17">
                  <c:v>0.31363283862188801</c:v>
                </c:pt>
                <c:pt idx="18">
                  <c:v>-0.22880947405344351</c:v>
                </c:pt>
                <c:pt idx="19">
                  <c:v>0.21631226528596445</c:v>
                </c:pt>
                <c:pt idx="20">
                  <c:v>-0.1127174075670799</c:v>
                </c:pt>
                <c:pt idx="21">
                  <c:v>1.6862485502956319E-2</c:v>
                </c:pt>
                <c:pt idx="22">
                  <c:v>-5.9890802846504249E-2</c:v>
                </c:pt>
                <c:pt idx="23">
                  <c:v>3.8060139816101311E-2</c:v>
                </c:pt>
                <c:pt idx="24">
                  <c:v>-9.7107656500100545E-2</c:v>
                </c:pt>
                <c:pt idx="25">
                  <c:v>0.21527448675099964</c:v>
                </c:pt>
                <c:pt idx="26">
                  <c:v>-2.5399311288423133E-2</c:v>
                </c:pt>
                <c:pt idx="27">
                  <c:v>-9.9326553374840351E-2</c:v>
                </c:pt>
                <c:pt idx="28">
                  <c:v>8.2525533861242992E-2</c:v>
                </c:pt>
                <c:pt idx="29">
                  <c:v>-0.17937747478759283</c:v>
                </c:pt>
                <c:pt idx="30">
                  <c:v>0.25143513954603508</c:v>
                </c:pt>
                <c:pt idx="31">
                  <c:v>0.15242812732769653</c:v>
                </c:pt>
                <c:pt idx="32">
                  <c:v>0.13555622697835604</c:v>
                </c:pt>
                <c:pt idx="33">
                  <c:v>0.11727034868761303</c:v>
                </c:pt>
                <c:pt idx="34">
                  <c:v>-4.1207447643596816E-2</c:v>
                </c:pt>
                <c:pt idx="35">
                  <c:v>-4.9656096671311448E-2</c:v>
                </c:pt>
                <c:pt idx="36">
                  <c:v>1.1383562003758108E-2</c:v>
                </c:pt>
                <c:pt idx="37">
                  <c:v>-0.17461738212843828</c:v>
                </c:pt>
                <c:pt idx="38">
                  <c:v>-0.23659829087975154</c:v>
                </c:pt>
                <c:pt idx="39">
                  <c:v>-1.7597111223952074E-2</c:v>
                </c:pt>
                <c:pt idx="40">
                  <c:v>-6.2242909276435061E-2</c:v>
                </c:pt>
                <c:pt idx="41">
                  <c:v>-5.1259298279106309E-2</c:v>
                </c:pt>
              </c:numCache>
            </c:numRef>
          </c:xVal>
          <c:yVal>
            <c:numRef>
              <c:f>'PLS-R'!$D$264:$D$305</c:f>
              <c:numCache>
                <c:formatCode>0.000</c:formatCode>
                <c:ptCount val="42"/>
                <c:pt idx="0">
                  <c:v>9.9052242645702809E-2</c:v>
                </c:pt>
                <c:pt idx="1">
                  <c:v>-0.37015782909830452</c:v>
                </c:pt>
                <c:pt idx="2">
                  <c:v>0.28623620247340675</c:v>
                </c:pt>
                <c:pt idx="3">
                  <c:v>0.11974114020248706</c:v>
                </c:pt>
                <c:pt idx="4">
                  <c:v>-2.0849088366921554E-2</c:v>
                </c:pt>
                <c:pt idx="5">
                  <c:v>7.2479380272977623E-2</c:v>
                </c:pt>
                <c:pt idx="6">
                  <c:v>-4.6826454247426978E-2</c:v>
                </c:pt>
                <c:pt idx="7">
                  <c:v>0.16710618314323866</c:v>
                </c:pt>
                <c:pt idx="8">
                  <c:v>3.434732710646467E-4</c:v>
                </c:pt>
                <c:pt idx="9">
                  <c:v>1.3707331080475638E-2</c:v>
                </c:pt>
                <c:pt idx="10">
                  <c:v>-0.23818381199178851</c:v>
                </c:pt>
                <c:pt idx="11">
                  <c:v>-0.17046617939782518</c:v>
                </c:pt>
                <c:pt idx="12">
                  <c:v>-0.20647757344080378</c:v>
                </c:pt>
                <c:pt idx="13">
                  <c:v>0.13246144648117963</c:v>
                </c:pt>
                <c:pt idx="14">
                  <c:v>8.5471100239406395E-3</c:v>
                </c:pt>
                <c:pt idx="15">
                  <c:v>-7.910116135825225E-2</c:v>
                </c:pt>
                <c:pt idx="16">
                  <c:v>3.8461396028577725E-3</c:v>
                </c:pt>
                <c:pt idx="17">
                  <c:v>0.24492135325618072</c:v>
                </c:pt>
                <c:pt idx="18">
                  <c:v>-7.8106693896961801E-2</c:v>
                </c:pt>
                <c:pt idx="19">
                  <c:v>2.1726495738775969E-2</c:v>
                </c:pt>
                <c:pt idx="20">
                  <c:v>0.2207052216596618</c:v>
                </c:pt>
                <c:pt idx="21">
                  <c:v>5.5018419958190977E-3</c:v>
                </c:pt>
                <c:pt idx="22">
                  <c:v>-3.6077328725187374E-2</c:v>
                </c:pt>
                <c:pt idx="23">
                  <c:v>0.17208539740213752</c:v>
                </c:pt>
                <c:pt idx="24">
                  <c:v>-9.8830988626874561E-2</c:v>
                </c:pt>
                <c:pt idx="25">
                  <c:v>-3.2014970183962613E-2</c:v>
                </c:pt>
                <c:pt idx="26">
                  <c:v>-2.8564153465922278E-2</c:v>
                </c:pt>
                <c:pt idx="27">
                  <c:v>-9.2773759936560479E-2</c:v>
                </c:pt>
                <c:pt idx="28">
                  <c:v>-9.8840316951010879E-2</c:v>
                </c:pt>
                <c:pt idx="29">
                  <c:v>-1.057419920988709E-2</c:v>
                </c:pt>
                <c:pt idx="30">
                  <c:v>0.47018056223060345</c:v>
                </c:pt>
                <c:pt idx="31">
                  <c:v>0.12778499003098082</c:v>
                </c:pt>
                <c:pt idx="32">
                  <c:v>0.21144469887389744</c:v>
                </c:pt>
                <c:pt idx="33">
                  <c:v>-2.4192777968857708E-2</c:v>
                </c:pt>
                <c:pt idx="34">
                  <c:v>-0.14972987408905966</c:v>
                </c:pt>
                <c:pt idx="35">
                  <c:v>3.9562466134142084E-2</c:v>
                </c:pt>
                <c:pt idx="36">
                  <c:v>7.4765848864723816E-2</c:v>
                </c:pt>
                <c:pt idx="37">
                  <c:v>-0.32081976310193616</c:v>
                </c:pt>
                <c:pt idx="38">
                  <c:v>-0.32073121169410523</c:v>
                </c:pt>
                <c:pt idx="39">
                  <c:v>-2.7960667062026656E-2</c:v>
                </c:pt>
                <c:pt idx="40">
                  <c:v>-6.8878353480424315E-2</c:v>
                </c:pt>
                <c:pt idx="41">
                  <c:v>6.7665751675410508E-3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B-40FC-97A9-47B1655EEADF}"/>
            </c:ext>
          </c:extLst>
        </c:ser>
        <c:ser>
          <c:idx val="1"/>
          <c:order val="1"/>
          <c:tx>
            <c:v>Y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EF2B-40FC-97A9-47B1655EEA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'PLS-R'!$C$311</c:f>
              <c:numCache>
                <c:formatCode>0.000</c:formatCode>
                <c:ptCount val="1"/>
                <c:pt idx="0">
                  <c:v>0.28034000397541181</c:v>
                </c:pt>
              </c:numCache>
            </c:numRef>
          </c:xVal>
          <c:yVal>
            <c:numRef>
              <c:f>'PLS-R'!$D$311</c:f>
              <c:numCache>
                <c:formatCode>0.000</c:formatCode>
                <c:ptCount val="1"/>
                <c:pt idx="0">
                  <c:v>0.24497822948733558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F2B-40FC-97A9-47B1655EEADF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0.28034000397541181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0.24497822948733558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D-EF2B-40FC-97A9-47B1655EE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95135"/>
        <c:axId val="278695967"/>
      </c:scatterChart>
      <c:valAx>
        <c:axId val="278695135"/>
        <c:scaling>
          <c:orientation val="minMax"/>
          <c:max val="0.5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w*/c1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78695967"/>
        <c:crosses val="autoZero"/>
        <c:crossBetween val="midCat"/>
        <c:majorUnit val="0.1"/>
      </c:valAx>
      <c:valAx>
        <c:axId val="278695967"/>
        <c:scaling>
          <c:orientation val="minMax"/>
          <c:max val="0.50000000000000011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w*/c2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78695135"/>
        <c:crosses val="autoZero"/>
        <c:crossBetween val="midCat"/>
        <c:majorUnit val="0.1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2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Observations on axes t1 and t2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8941"/>
              </a:solidFill>
              <a:ln>
                <a:solidFill>
                  <a:srgbClr val="00894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46B-4F9E-9230-D9564C913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46B-4F9E-9230-D9564C913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46B-4F9E-9230-D9564C913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46B-4F9E-9230-D9564C913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46B-4F9E-9230-D9564C913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46B-4F9E-9230-D9564C913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46B-4F9E-9230-D9564C913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46B-4F9E-9230-D9564C913E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46B-4F9E-9230-D9564C913E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46B-4F9E-9230-D9564C913E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46B-4F9E-9230-D9564C913E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46B-4F9E-9230-D9564C913E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46B-4F9E-9230-D9564C913E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46B-4F9E-9230-D9564C913E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46B-4F9E-9230-D9564C913E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46B-4F9E-9230-D9564C913E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46B-4F9E-9230-D9564C913E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46B-4F9E-9230-D9564C913E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46B-4F9E-9230-D9564C913E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46B-4F9E-9230-D9564C913E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46B-4F9E-9230-D9564C913E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46B-4F9E-9230-D9564C913E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46B-4F9E-9230-D9564C913E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46B-4F9E-9230-D9564C913E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46B-4F9E-9230-D9564C913E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F46B-4F9E-9230-D9564C913E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F46B-4F9E-9230-D9564C913E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F46B-4F9E-9230-D9564C913E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46B-4F9E-9230-D9564C913E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F46B-4F9E-9230-D9564C913E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F46B-4F9E-9230-D9564C913E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F46B-4F9E-9230-D9564C913E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F46B-4F9E-9230-D9564C913E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F46B-4F9E-9230-D9564C913E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F46B-4F9E-9230-D9564C913E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F46B-4F9E-9230-D9564C913E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F46B-4F9E-9230-D9564C913E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F46B-4F9E-9230-D9564C913E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F46B-4F9E-9230-D9564C913E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F46B-4F9E-9230-D9564C913E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F46B-4F9E-9230-D9564C913E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F46B-4F9E-9230-D9564C913E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F46B-4F9E-9230-D9564C913E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F46B-4F9E-9230-D9564C913E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F46B-4F9E-9230-D9564C913E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F46B-4F9E-9230-D9564C913E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F46B-4F9E-9230-D9564C913E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F46B-4F9E-9230-D9564C913E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F46B-4F9E-9230-D9564C913E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F46B-4F9E-9230-D9564C913E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F46B-4F9E-9230-D9564C913E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F46B-4F9E-9230-D9564C913E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F46B-4F9E-9230-D9564C913E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F46B-4F9E-9230-D9564C913E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F46B-4F9E-9230-D9564C913E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F46B-4F9E-9230-D9564C913E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F46B-4F9E-9230-D9564C913E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F46B-4F9E-9230-D9564C913E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F46B-4F9E-9230-D9564C913E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F46B-4F9E-9230-D9564C913E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F46B-4F9E-9230-D9564C913E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F46B-4F9E-9230-D9564C913E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F46B-4F9E-9230-D9564C913E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F46B-4F9E-9230-D9564C913E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F46B-4F9E-9230-D9564C913E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F46B-4F9E-9230-D9564C913E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F46B-4F9E-9230-D9564C913E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F46B-4F9E-9230-D9564C913E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F46B-4F9E-9230-D9564C913E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F46B-4F9E-9230-D9564C913E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F46B-4F9E-9230-D9564C913E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F46B-4F9E-9230-D9564C913E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F46B-4F9E-9230-D9564C913E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F46B-4F9E-9230-D9564C913E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F46B-4F9E-9230-D9564C913E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F46B-4F9E-9230-D9564C913E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F46B-4F9E-9230-D9564C913E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F46B-4F9E-9230-D9564C913E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F46B-4F9E-9230-D9564C913E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F46B-4F9E-9230-D9564C913E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F46B-4F9E-9230-D9564C913E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F46B-4F9E-9230-D9564C913E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F46B-4F9E-9230-D9564C913E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F46B-4F9E-9230-D9564C913E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F46B-4F9E-9230-D9564C913E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F46B-4F9E-9230-D9564C913E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F46B-4F9E-9230-D9564C913E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F46B-4F9E-9230-D9564C913E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F46B-4F9E-9230-D9564C913E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F46B-4F9E-9230-D9564C913E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F46B-4F9E-9230-D9564C913E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F46B-4F9E-9230-D9564C913E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F46B-4F9E-9230-D9564C913E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F46B-4F9E-9230-D9564C913E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F46B-4F9E-9230-D9564C913E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F46B-4F9E-9230-D9564C913E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F46B-4F9E-9230-D9564C913E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F46B-4F9E-9230-D9564C913E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F46B-4F9E-9230-D9564C913E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F46B-4F9E-9230-D9564C913E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XLSTAT_20211004_124611_1_HID1!$B$2:$B$101</c:f>
              <c:numCache>
                <c:formatCode>General</c:formatCode>
                <c:ptCount val="100"/>
                <c:pt idx="0">
                  <c:v>0.41683531607654944</c:v>
                </c:pt>
                <c:pt idx="1">
                  <c:v>0.28146637575494143</c:v>
                </c:pt>
                <c:pt idx="2">
                  <c:v>-1.9285601235886545</c:v>
                </c:pt>
                <c:pt idx="3">
                  <c:v>-0.18532094200269367</c:v>
                </c:pt>
                <c:pt idx="4">
                  <c:v>-0.41840535325481887</c:v>
                </c:pt>
                <c:pt idx="5">
                  <c:v>1.249563260336743</c:v>
                </c:pt>
                <c:pt idx="6">
                  <c:v>2.314201285736655</c:v>
                </c:pt>
                <c:pt idx="7">
                  <c:v>3.1716473191843063E-3</c:v>
                </c:pt>
                <c:pt idx="8">
                  <c:v>1.3389848713265822</c:v>
                </c:pt>
                <c:pt idx="9">
                  <c:v>1.3916422887698956</c:v>
                </c:pt>
                <c:pt idx="10">
                  <c:v>2.7229173374298363</c:v>
                </c:pt>
                <c:pt idx="11">
                  <c:v>1.2697654191228285</c:v>
                </c:pt>
                <c:pt idx="12">
                  <c:v>1.9973273905584126</c:v>
                </c:pt>
                <c:pt idx="13">
                  <c:v>0.59742805166009805</c:v>
                </c:pt>
                <c:pt idx="14">
                  <c:v>-1.2297466056402417</c:v>
                </c:pt>
                <c:pt idx="15">
                  <c:v>-0.73549178221670419</c:v>
                </c:pt>
                <c:pt idx="16">
                  <c:v>2.6706176532964658</c:v>
                </c:pt>
                <c:pt idx="17">
                  <c:v>2.491172007970301</c:v>
                </c:pt>
                <c:pt idx="18">
                  <c:v>3.5095981359682309</c:v>
                </c:pt>
                <c:pt idx="19">
                  <c:v>1.9101744868293546</c:v>
                </c:pt>
                <c:pt idx="20">
                  <c:v>3.015157572549708</c:v>
                </c:pt>
                <c:pt idx="21">
                  <c:v>2.7302295903785407</c:v>
                </c:pt>
                <c:pt idx="22">
                  <c:v>-0.12401886409794835</c:v>
                </c:pt>
                <c:pt idx="23">
                  <c:v>2.5074645966182998</c:v>
                </c:pt>
                <c:pt idx="24">
                  <c:v>2.6362827185994422</c:v>
                </c:pt>
                <c:pt idx="25">
                  <c:v>-4.4247820967985136</c:v>
                </c:pt>
                <c:pt idx="26">
                  <c:v>2.6069868968223098</c:v>
                </c:pt>
                <c:pt idx="27">
                  <c:v>-8.914241540309821E-2</c:v>
                </c:pt>
                <c:pt idx="28">
                  <c:v>-1.8964312163305364</c:v>
                </c:pt>
                <c:pt idx="29">
                  <c:v>2.9803839592193553</c:v>
                </c:pt>
                <c:pt idx="30">
                  <c:v>-4.4194184246044399</c:v>
                </c:pt>
                <c:pt idx="31">
                  <c:v>-1.9460440998407136</c:v>
                </c:pt>
                <c:pt idx="32">
                  <c:v>2.6608079846635935</c:v>
                </c:pt>
                <c:pt idx="33">
                  <c:v>-3.8184384999304477</c:v>
                </c:pt>
                <c:pt idx="34">
                  <c:v>2.1338383116211106</c:v>
                </c:pt>
                <c:pt idx="35">
                  <c:v>-4.0774486887025505</c:v>
                </c:pt>
                <c:pt idx="36">
                  <c:v>4.8161227803044007</c:v>
                </c:pt>
                <c:pt idx="37">
                  <c:v>3.5025466396103067</c:v>
                </c:pt>
                <c:pt idx="38">
                  <c:v>-4.4200729565287471</c:v>
                </c:pt>
                <c:pt idx="39">
                  <c:v>-1.9866071179210092</c:v>
                </c:pt>
                <c:pt idx="40">
                  <c:v>0.75175791698614902</c:v>
                </c:pt>
                <c:pt idx="41">
                  <c:v>4.0046406448151153</c:v>
                </c:pt>
                <c:pt idx="42">
                  <c:v>3.5497384054299284</c:v>
                </c:pt>
                <c:pt idx="43">
                  <c:v>-2.3565893976877259</c:v>
                </c:pt>
                <c:pt idx="44">
                  <c:v>0.24224074885559019</c:v>
                </c:pt>
                <c:pt idx="45">
                  <c:v>-3.1204442833333244</c:v>
                </c:pt>
                <c:pt idx="46">
                  <c:v>-1.2413710697929012</c:v>
                </c:pt>
                <c:pt idx="47">
                  <c:v>-0.33174128214063769</c:v>
                </c:pt>
                <c:pt idx="48">
                  <c:v>3.2208185838773122</c:v>
                </c:pt>
                <c:pt idx="49">
                  <c:v>3.2293124328210863</c:v>
                </c:pt>
                <c:pt idx="50">
                  <c:v>-1.4790470859079274</c:v>
                </c:pt>
                <c:pt idx="51">
                  <c:v>-2.1274178405289219</c:v>
                </c:pt>
                <c:pt idx="52">
                  <c:v>3.3863224367092228</c:v>
                </c:pt>
                <c:pt idx="53">
                  <c:v>-1.6981847005656852</c:v>
                </c:pt>
                <c:pt idx="54">
                  <c:v>3.658179141454212</c:v>
                </c:pt>
                <c:pt idx="55">
                  <c:v>-2.7026823924993901</c:v>
                </c:pt>
                <c:pt idx="56">
                  <c:v>-1.9884519470598505</c:v>
                </c:pt>
                <c:pt idx="57">
                  <c:v>-2.518303850119187</c:v>
                </c:pt>
                <c:pt idx="58">
                  <c:v>-1.5696100095806662</c:v>
                </c:pt>
                <c:pt idx="59">
                  <c:v>1.1907663260587018</c:v>
                </c:pt>
                <c:pt idx="60">
                  <c:v>-2.5375331673270454</c:v>
                </c:pt>
                <c:pt idx="61">
                  <c:v>1.6435348593574193</c:v>
                </c:pt>
                <c:pt idx="62">
                  <c:v>-1.4966137426588944</c:v>
                </c:pt>
                <c:pt idx="63">
                  <c:v>-1.7611039404639057</c:v>
                </c:pt>
                <c:pt idx="64">
                  <c:v>-1.7115828253470995</c:v>
                </c:pt>
                <c:pt idx="65">
                  <c:v>3.4649810892941129</c:v>
                </c:pt>
                <c:pt idx="66">
                  <c:v>-3.7559364498988579</c:v>
                </c:pt>
                <c:pt idx="67">
                  <c:v>-2.5197428173347172</c:v>
                </c:pt>
                <c:pt idx="68">
                  <c:v>-1.7231254726756198</c:v>
                </c:pt>
                <c:pt idx="69">
                  <c:v>-2.2307246010651478</c:v>
                </c:pt>
                <c:pt idx="70">
                  <c:v>-2.2777038810804475</c:v>
                </c:pt>
                <c:pt idx="71">
                  <c:v>1.7671018376846066</c:v>
                </c:pt>
                <c:pt idx="72">
                  <c:v>-2.2763575845902499</c:v>
                </c:pt>
                <c:pt idx="73">
                  <c:v>0.61789752656129826</c:v>
                </c:pt>
                <c:pt idx="74">
                  <c:v>3.0274107486417248</c:v>
                </c:pt>
                <c:pt idx="75">
                  <c:v>-1.9050933855772603</c:v>
                </c:pt>
                <c:pt idx="76">
                  <c:v>-2.2382892434454584</c:v>
                </c:pt>
                <c:pt idx="77">
                  <c:v>1.7850216275502946</c:v>
                </c:pt>
                <c:pt idx="78">
                  <c:v>2.3196495701139184</c:v>
                </c:pt>
                <c:pt idx="79">
                  <c:v>-0.93554814357755389</c:v>
                </c:pt>
                <c:pt idx="80">
                  <c:v>-2.4955123798749304</c:v>
                </c:pt>
                <c:pt idx="81">
                  <c:v>2.6870222608661174</c:v>
                </c:pt>
                <c:pt idx="82">
                  <c:v>-0.67034607073433949</c:v>
                </c:pt>
                <c:pt idx="83">
                  <c:v>-0.64471167365889825</c:v>
                </c:pt>
                <c:pt idx="84">
                  <c:v>2.6686325901477859</c:v>
                </c:pt>
                <c:pt idx="85">
                  <c:v>-1.6792565069284893</c:v>
                </c:pt>
                <c:pt idx="86">
                  <c:v>-2.6434405741546607</c:v>
                </c:pt>
                <c:pt idx="87">
                  <c:v>-2.8126487468197334</c:v>
                </c:pt>
                <c:pt idx="88">
                  <c:v>-2.0822591490582179</c:v>
                </c:pt>
                <c:pt idx="89">
                  <c:v>-1.5171988522242981</c:v>
                </c:pt>
                <c:pt idx="90">
                  <c:v>3.9492933951118521</c:v>
                </c:pt>
                <c:pt idx="91">
                  <c:v>-3.621421631174329</c:v>
                </c:pt>
                <c:pt idx="92">
                  <c:v>2.4577017772651546</c:v>
                </c:pt>
                <c:pt idx="93">
                  <c:v>-2.6182177349275135</c:v>
                </c:pt>
                <c:pt idx="94">
                  <c:v>-1.5617885475534719</c:v>
                </c:pt>
                <c:pt idx="95">
                  <c:v>5.8365494921926069E-3</c:v>
                </c:pt>
                <c:pt idx="96">
                  <c:v>0.20272242754373943</c:v>
                </c:pt>
                <c:pt idx="97">
                  <c:v>1.0371956466294754</c:v>
                </c:pt>
                <c:pt idx="98">
                  <c:v>-2.7582071065015246</c:v>
                </c:pt>
                <c:pt idx="99">
                  <c:v>0.10761294620925815</c:v>
                </c:pt>
              </c:numCache>
            </c:numRef>
          </c:xVal>
          <c:yVal>
            <c:numRef>
              <c:f>XLSTAT_20211004_124611_1_HID1!$C$2:$C$101</c:f>
              <c:numCache>
                <c:formatCode>General</c:formatCode>
                <c:ptCount val="100"/>
                <c:pt idx="0">
                  <c:v>2.0464578118615568</c:v>
                </c:pt>
                <c:pt idx="1">
                  <c:v>1.3662314723833668</c:v>
                </c:pt>
                <c:pt idx="2">
                  <c:v>3.0428781627570651</c:v>
                </c:pt>
                <c:pt idx="3">
                  <c:v>1.2292046159021925</c:v>
                </c:pt>
                <c:pt idx="4">
                  <c:v>3.6905226975549823</c:v>
                </c:pt>
                <c:pt idx="5">
                  <c:v>1.850802268624278</c:v>
                </c:pt>
                <c:pt idx="6">
                  <c:v>0.60703833257073503</c:v>
                </c:pt>
                <c:pt idx="7">
                  <c:v>1.3001786140599099</c:v>
                </c:pt>
                <c:pt idx="8">
                  <c:v>0.47447030271841517</c:v>
                </c:pt>
                <c:pt idx="9">
                  <c:v>1.1504942748922653</c:v>
                </c:pt>
                <c:pt idx="10">
                  <c:v>0.23884485481125503</c:v>
                </c:pt>
                <c:pt idx="11">
                  <c:v>1.5759329042000922</c:v>
                </c:pt>
                <c:pt idx="12">
                  <c:v>1.7973718785382824</c:v>
                </c:pt>
                <c:pt idx="13">
                  <c:v>1.0808403188233393</c:v>
                </c:pt>
                <c:pt idx="14">
                  <c:v>2.4352432251994944</c:v>
                </c:pt>
                <c:pt idx="15">
                  <c:v>2.4276904806810533</c:v>
                </c:pt>
                <c:pt idx="16">
                  <c:v>0.20593389871258103</c:v>
                </c:pt>
                <c:pt idx="17">
                  <c:v>0.82239914559255045</c:v>
                </c:pt>
                <c:pt idx="18">
                  <c:v>1.4460345820998184</c:v>
                </c:pt>
                <c:pt idx="19">
                  <c:v>1.0776648416608574</c:v>
                </c:pt>
                <c:pt idx="20">
                  <c:v>-5.3179915640439376E-2</c:v>
                </c:pt>
                <c:pt idx="21">
                  <c:v>0.78589848630697368</c:v>
                </c:pt>
                <c:pt idx="22">
                  <c:v>3.6053378378548286</c:v>
                </c:pt>
                <c:pt idx="23">
                  <c:v>2.0666967148874424</c:v>
                </c:pt>
                <c:pt idx="24">
                  <c:v>1.7232009670642541</c:v>
                </c:pt>
                <c:pt idx="25">
                  <c:v>1.0736695040502251</c:v>
                </c:pt>
                <c:pt idx="26">
                  <c:v>0.26445258795608995</c:v>
                </c:pt>
                <c:pt idx="27">
                  <c:v>1.4145378836999793</c:v>
                </c:pt>
                <c:pt idx="28">
                  <c:v>3.2796439416223855</c:v>
                </c:pt>
                <c:pt idx="29">
                  <c:v>2.469809205471089E-2</c:v>
                </c:pt>
                <c:pt idx="30">
                  <c:v>1.1122290350619572</c:v>
                </c:pt>
                <c:pt idx="31">
                  <c:v>1.1246271238710235</c:v>
                </c:pt>
                <c:pt idx="32">
                  <c:v>0.51922573037223441</c:v>
                </c:pt>
                <c:pt idx="33">
                  <c:v>1.2498920345249322</c:v>
                </c:pt>
                <c:pt idx="34">
                  <c:v>0.43507189860145973</c:v>
                </c:pt>
                <c:pt idx="35">
                  <c:v>1.0090182036577897</c:v>
                </c:pt>
                <c:pt idx="36">
                  <c:v>-0.76208928430909717</c:v>
                </c:pt>
                <c:pt idx="37">
                  <c:v>-0.52121148301042675</c:v>
                </c:pt>
                <c:pt idx="38">
                  <c:v>0.30649428922501953</c:v>
                </c:pt>
                <c:pt idx="39">
                  <c:v>0.77160188822211084</c:v>
                </c:pt>
                <c:pt idx="40">
                  <c:v>0.54649903103918251</c:v>
                </c:pt>
                <c:pt idx="41">
                  <c:v>-0.42597896259107931</c:v>
                </c:pt>
                <c:pt idx="42">
                  <c:v>0.15811436928265754</c:v>
                </c:pt>
                <c:pt idx="43">
                  <c:v>-0.34053257438966389</c:v>
                </c:pt>
                <c:pt idx="44">
                  <c:v>0.16266502079189965</c:v>
                </c:pt>
                <c:pt idx="45">
                  <c:v>-1.2992861645052121</c:v>
                </c:pt>
                <c:pt idx="46">
                  <c:v>-0.25779377893861249</c:v>
                </c:pt>
                <c:pt idx="47">
                  <c:v>-2.3583859112619714</c:v>
                </c:pt>
                <c:pt idx="48">
                  <c:v>3.8224521429437289E-2</c:v>
                </c:pt>
                <c:pt idx="49">
                  <c:v>3.747366529836945E-2</c:v>
                </c:pt>
                <c:pt idx="50">
                  <c:v>-0.60898764283721518</c:v>
                </c:pt>
                <c:pt idx="51">
                  <c:v>-1.8395068442101397</c:v>
                </c:pt>
                <c:pt idx="52">
                  <c:v>-0.55114174328743759</c:v>
                </c:pt>
                <c:pt idx="53">
                  <c:v>-0.23109392088830721</c:v>
                </c:pt>
                <c:pt idx="54">
                  <c:v>-1.4984647466319829</c:v>
                </c:pt>
                <c:pt idx="55">
                  <c:v>-2.6455519326805503</c:v>
                </c:pt>
                <c:pt idx="56">
                  <c:v>-1.6096161569307093</c:v>
                </c:pt>
                <c:pt idx="57">
                  <c:v>-1.595580884333033</c:v>
                </c:pt>
                <c:pt idx="58">
                  <c:v>-1.697169213844631</c:v>
                </c:pt>
                <c:pt idx="59">
                  <c:v>-0.34322326987425827</c:v>
                </c:pt>
                <c:pt idx="60">
                  <c:v>-1.9827239415808136</c:v>
                </c:pt>
                <c:pt idx="61">
                  <c:v>-0.83939924485146156</c:v>
                </c:pt>
                <c:pt idx="62">
                  <c:v>-2.2042447497318061</c:v>
                </c:pt>
                <c:pt idx="63">
                  <c:v>-2.1331418379955194</c:v>
                </c:pt>
                <c:pt idx="64">
                  <c:v>-1.9990147115094365</c:v>
                </c:pt>
                <c:pt idx="65">
                  <c:v>-1.9037644134992997</c:v>
                </c:pt>
                <c:pt idx="66">
                  <c:v>0.72354413057384892</c:v>
                </c:pt>
                <c:pt idx="67">
                  <c:v>-1.6750815570047806</c:v>
                </c:pt>
                <c:pt idx="68">
                  <c:v>-2.0901460983286539</c:v>
                </c:pt>
                <c:pt idx="69">
                  <c:v>-2.6164074500979502</c:v>
                </c:pt>
                <c:pt idx="70">
                  <c:v>-2.2466187188942279</c:v>
                </c:pt>
                <c:pt idx="71">
                  <c:v>-0.76651894221969596</c:v>
                </c:pt>
                <c:pt idx="72">
                  <c:v>-1.3115912854719882</c:v>
                </c:pt>
                <c:pt idx="73">
                  <c:v>-1.0747510702322922</c:v>
                </c:pt>
                <c:pt idx="74">
                  <c:v>-2.4507725334417247</c:v>
                </c:pt>
                <c:pt idx="75">
                  <c:v>-2.3945739492242941</c:v>
                </c:pt>
                <c:pt idx="76">
                  <c:v>-3.2355048401430833</c:v>
                </c:pt>
                <c:pt idx="77">
                  <c:v>-1.5197818516768928</c:v>
                </c:pt>
                <c:pt idx="78">
                  <c:v>-1.8608817592925255</c:v>
                </c:pt>
                <c:pt idx="79">
                  <c:v>-0.60995783761750721</c:v>
                </c:pt>
                <c:pt idx="80">
                  <c:v>-3.0822701797759278</c:v>
                </c:pt>
                <c:pt idx="81">
                  <c:v>-2.1141855773963458</c:v>
                </c:pt>
                <c:pt idx="82">
                  <c:v>-0.14116966247192428</c:v>
                </c:pt>
                <c:pt idx="83">
                  <c:v>-0.73398622937532676</c:v>
                </c:pt>
                <c:pt idx="84">
                  <c:v>-1.7852617014205527</c:v>
                </c:pt>
                <c:pt idx="85">
                  <c:v>-2.7522940360169779</c:v>
                </c:pt>
                <c:pt idx="86">
                  <c:v>-2.0521105404786604</c:v>
                </c:pt>
                <c:pt idx="87">
                  <c:v>-3.671879467815371</c:v>
                </c:pt>
                <c:pt idx="88">
                  <c:v>-2.7035132287006562</c:v>
                </c:pt>
                <c:pt idx="89">
                  <c:v>-2.035046018828329</c:v>
                </c:pt>
                <c:pt idx="90">
                  <c:v>-0.56196025019314466</c:v>
                </c:pt>
                <c:pt idx="91">
                  <c:v>-3.2904592661111396</c:v>
                </c:pt>
                <c:pt idx="92">
                  <c:v>-1.2637690356027769</c:v>
                </c:pt>
                <c:pt idx="93">
                  <c:v>-2.3950973735138099</c:v>
                </c:pt>
                <c:pt idx="94">
                  <c:v>-2.9932266023406595</c:v>
                </c:pt>
                <c:pt idx="95">
                  <c:v>-1.574644266593026</c:v>
                </c:pt>
                <c:pt idx="96">
                  <c:v>-0.8915865835366239</c:v>
                </c:pt>
                <c:pt idx="97">
                  <c:v>2.0547616606352157E-2</c:v>
                </c:pt>
                <c:pt idx="98">
                  <c:v>-2.8026074220193276</c:v>
                </c:pt>
                <c:pt idx="99">
                  <c:v>2.1856769136014775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B-4F9E-9230-D9564C913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98047"/>
        <c:axId val="278695135"/>
      </c:scatterChart>
      <c:valAx>
        <c:axId val="278698047"/>
        <c:scaling>
          <c:orientation val="minMax"/>
          <c:max val="5"/>
          <c:min val="-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78695135"/>
        <c:crosses val="autoZero"/>
        <c:crossBetween val="midCat"/>
        <c:majorUnit val="1"/>
      </c:valAx>
      <c:valAx>
        <c:axId val="278695135"/>
        <c:scaling>
          <c:orientation val="minMax"/>
          <c:max val="4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78698047"/>
        <c:crosses val="autoZero"/>
        <c:crossBetween val="midCat"/>
        <c:majorUnit val="1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Correlations on axes t1 and t2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5266001269566862E-2"/>
          <c:y val="0.10093884816122124"/>
          <c:w val="0.78140057535689678"/>
          <c:h val="0.82934835731740442"/>
        </c:manualLayout>
      </c:layout>
      <c:scatterChart>
        <c:scatterStyle val="lineMarker"/>
        <c:varyColors val="0"/>
        <c:ser>
          <c:idx val="0"/>
          <c:order val="0"/>
          <c:tx>
            <c:v>X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4A46"/>
              </a:solidFill>
              <a:ln>
                <a:solidFill>
                  <a:srgbClr val="FF4A4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4.8198970840480276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F4E-45A9-A3C2-9DB85ECC12FD}"/>
                </c:ext>
              </c:extLst>
            </c:dLbl>
            <c:dLbl>
              <c:idx val="1"/>
              <c:layout>
                <c:manualLayout>
                  <c:x val="-1.7152658662092687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H_station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F4E-45A9-A3C2-9DB85ECC12FD}"/>
                </c:ext>
              </c:extLst>
            </c:dLbl>
            <c:dLbl>
              <c:idx val="2"/>
              <c:layout>
                <c:manualLayout>
                  <c:x val="-7.8061884631487957E-2"/>
                  <c:y val="-3.06513409961686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dem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F4E-45A9-A3C2-9DB85ECC12FD}"/>
                </c:ext>
              </c:extLst>
            </c:dLbl>
            <c:dLbl>
              <c:idx val="3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area_barren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F4E-45A9-A3C2-9DB85ECC12FD}"/>
                </c:ext>
              </c:extLst>
            </c:dLbl>
            <c:dLbl>
              <c:idx val="4"/>
              <c:layout>
                <c:manualLayout>
                  <c:x val="-0.17567753001715267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area_cropland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F4E-45A9-A3C2-9DB85ECC12FD}"/>
                </c:ext>
              </c:extLst>
            </c:dLbl>
            <c:dLbl>
              <c:idx val="5"/>
              <c:layout>
                <c:manualLayout>
                  <c:x val="-1.715265866209268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area_forest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F4E-45A9-A3C2-9DB85ECC12FD}"/>
                </c:ext>
              </c:extLst>
            </c:dLbl>
            <c:dLbl>
              <c:idx val="6"/>
              <c:layout>
                <c:manualLayout>
                  <c:x val="-1.71526586620927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ksn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F4E-45A9-A3C2-9DB85ECC12FD}"/>
                </c:ext>
              </c:extLst>
            </c:dLbl>
            <c:dLbl>
              <c:idx val="7"/>
              <c:layout>
                <c:manualLayout>
                  <c:x val="-7.2212692967409953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pop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F4E-45A9-A3C2-9DB85ECC12FD}"/>
                </c:ext>
              </c:extLst>
            </c:dLbl>
            <c:dLbl>
              <c:idx val="8"/>
              <c:layout>
                <c:manualLayout>
                  <c:x val="-1.7152658662092687E-2"/>
                  <c:y val="-3.065134099616865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glacier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F4E-45A9-A3C2-9DB85ECC12FD}"/>
                </c:ext>
              </c:extLst>
            </c:dLbl>
            <c:dLbl>
              <c:idx val="9"/>
              <c:layout>
                <c:manualLayout>
                  <c:x val="-1.7152658662092625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glored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CF4E-45A9-A3C2-9DB85ECC12FD}"/>
                </c:ext>
              </c:extLst>
            </c:dLbl>
            <c:dLbl>
              <c:idx val="10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q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CF4E-45A9-A3C2-9DB85ECC12FD}"/>
                </c:ext>
              </c:extLst>
            </c:dLbl>
            <c:dLbl>
              <c:idx val="11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CF4E-45A9-A3C2-9DB85ECC12FD}"/>
                </c:ext>
              </c:extLst>
            </c:dLbl>
            <c:dLbl>
              <c:idx val="12"/>
              <c:layout>
                <c:manualLayout>
                  <c:x val="-7.6209397495981962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srad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CF4E-45A9-A3C2-9DB85ECC12FD}"/>
                </c:ext>
              </c:extLst>
            </c:dLbl>
            <c:dLbl>
              <c:idx val="13"/>
              <c:layout>
                <c:manualLayout>
                  <c:x val="-6.581461622614497E-2"/>
                  <c:y val="-3.065134099616854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CF4E-45A9-A3C2-9DB85ECC12FD}"/>
                </c:ext>
              </c:extLst>
            </c:dLbl>
            <c:dLbl>
              <c:idx val="14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canopy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CF4E-45A9-A3C2-9DB85ECC12FD}"/>
                </c:ext>
              </c:extLst>
            </c:dLbl>
            <c:dLbl>
              <c:idx val="15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F4E-45A9-A3C2-9DB85ECC12FD}"/>
                </c:ext>
              </c:extLst>
            </c:dLbl>
            <c:dLbl>
              <c:idx val="16"/>
              <c:layout>
                <c:manualLayout>
                  <c:x val="-1.7152658662092625E-2"/>
                  <c:y val="1.72413793103446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hand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F4E-45A9-A3C2-9DB85ECC12FD}"/>
                </c:ext>
              </c:extLst>
            </c:dLbl>
            <c:dLbl>
              <c:idx val="17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pga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CF4E-45A9-A3C2-9DB85ECC12FD}"/>
                </c:ext>
              </c:extLst>
            </c:dLbl>
            <c:dLbl>
              <c:idx val="18"/>
              <c:layout>
                <c:manualLayout>
                  <c:x val="-6.999986493969558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cwr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CF4E-45A9-A3C2-9DB85ECC12FD}"/>
                </c:ext>
              </c:extLst>
            </c:dLbl>
            <c:dLbl>
              <c:idx val="19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SHDI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CF4E-45A9-A3C2-9DB85ECC12FD}"/>
                </c:ext>
              </c:extLst>
            </c:dLbl>
            <c:dLbl>
              <c:idx val="20"/>
              <c:layout>
                <c:manualLayout>
                  <c:x val="-0.10090922596939533"/>
                  <c:y val="-3.06513409961686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KG-Cfa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CF4E-45A9-A3C2-9DB85ECC12FD}"/>
                </c:ext>
              </c:extLst>
            </c:dLbl>
            <c:dLbl>
              <c:idx val="21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KG-Cfb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CF4E-45A9-A3C2-9DB85ECC12FD}"/>
                </c:ext>
              </c:extLst>
            </c:dLbl>
            <c:dLbl>
              <c:idx val="22"/>
              <c:layout>
                <c:manualLayout>
                  <c:x val="-0.1029845626072041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KG-Csa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CF4E-45A9-A3C2-9DB85ECC12FD}"/>
                </c:ext>
              </c:extLst>
            </c:dLbl>
            <c:dLbl>
              <c:idx val="23"/>
              <c:layout>
                <c:manualLayout>
                  <c:x val="-0.10288164665523156"/>
                  <c:y val="-3.065134099616851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CF4E-45A9-A3C2-9DB85ECC12FD}"/>
                </c:ext>
              </c:extLst>
            </c:dLbl>
            <c:dLbl>
              <c:idx val="24"/>
              <c:layout>
                <c:manualLayout>
                  <c:x val="-0.10399670452857204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CF4E-45A9-A3C2-9DB85ECC12FD}"/>
                </c:ext>
              </c:extLst>
            </c:dLbl>
            <c:dLbl>
              <c:idx val="25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KG-Dfc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CF4E-45A9-A3C2-9DB85ECC12FD}"/>
                </c:ext>
              </c:extLst>
            </c:dLbl>
            <c:dLbl>
              <c:idx val="26"/>
              <c:layout>
                <c:manualLayout>
                  <c:x val="-0.104957253413649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KG-Dsa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CF4E-45A9-A3C2-9DB85ECC12FD}"/>
                </c:ext>
              </c:extLst>
            </c:dLbl>
            <c:dLbl>
              <c:idx val="27"/>
              <c:layout>
                <c:manualLayout>
                  <c:x val="-0.10607204116638076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KG-Dsb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CF4E-45A9-A3C2-9DB85ECC12FD}"/>
                </c:ext>
              </c:extLst>
            </c:dLbl>
            <c:dLbl>
              <c:idx val="28"/>
              <c:layout>
                <c:manualLayout>
                  <c:x val="-1.7152658662092625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KG-ET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CF4E-45A9-A3C2-9DB85ECC12FD}"/>
                </c:ext>
              </c:extLst>
            </c:dLbl>
            <c:dLbl>
              <c:idx val="29"/>
              <c:layout>
                <c:manualLayout>
                  <c:x val="-8.782161234991423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LZ-1b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CF4E-45A9-A3C2-9DB85ECC12FD}"/>
                </c:ext>
              </c:extLst>
            </c:dLbl>
            <c:dLbl>
              <c:idx val="30"/>
              <c:layout>
                <c:manualLayout>
                  <c:x val="-1.7152658662092687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CF4E-45A9-A3C2-9DB85ECC12FD}"/>
                </c:ext>
              </c:extLst>
            </c:dLbl>
            <c:dLbl>
              <c:idx val="31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LZ-2b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CF4E-45A9-A3C2-9DB85ECC12FD}"/>
                </c:ext>
              </c:extLst>
            </c:dLbl>
            <c:dLbl>
              <c:idx val="32"/>
              <c:layout>
                <c:manualLayout>
                  <c:x val="-1.7152658662092625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LZ-2c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CF4E-45A9-A3C2-9DB85ECC12FD}"/>
                </c:ext>
              </c:extLst>
            </c:dLbl>
            <c:dLbl>
              <c:idx val="33"/>
              <c:layout>
                <c:manualLayout>
                  <c:x val="-1.7152658662092625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CF4E-45A9-A3C2-9DB85ECC12FD}"/>
                </c:ext>
              </c:extLst>
            </c:dLbl>
            <c:dLbl>
              <c:idx val="34"/>
              <c:layout>
                <c:manualLayout>
                  <c:x val="-1.7152658662092687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LZ-2a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CF4E-45A9-A3C2-9DB85ECC12FD}"/>
                </c:ext>
              </c:extLst>
            </c:dLbl>
            <c:dLbl>
              <c:idx val="35"/>
              <c:layout>
                <c:manualLayout>
                  <c:x val="-8.6500992693237536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LZ-2g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CF4E-45A9-A3C2-9DB85ECC12FD}"/>
                </c:ext>
              </c:extLst>
            </c:dLbl>
            <c:dLbl>
              <c:idx val="36"/>
              <c:layout>
                <c:manualLayout>
                  <c:x val="-8.2521575883632098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LZ-3f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CF4E-45A9-A3C2-9DB85ECC12FD}"/>
                </c:ext>
              </c:extLst>
            </c:dLbl>
            <c:dLbl>
              <c:idx val="37"/>
              <c:layout>
                <c:manualLayout>
                  <c:x val="-8.7152523601788198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LZ-5e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CF4E-45A9-A3C2-9DB85ECC12FD}"/>
                </c:ext>
              </c:extLst>
            </c:dLbl>
            <c:dLbl>
              <c:idx val="38"/>
              <c:layout>
                <c:manualLayout>
                  <c:x val="-8.782161234991423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CF4E-45A9-A3C2-9DB85ECC12FD}"/>
                </c:ext>
              </c:extLst>
            </c:dLbl>
            <c:dLbl>
              <c:idx val="39"/>
              <c:layout>
                <c:manualLayout>
                  <c:x val="-8.2521575883632042E-2"/>
                  <c:y val="1.72413793103448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LZ-5f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CF4E-45A9-A3C2-9DB85ECC12FD}"/>
                </c:ext>
              </c:extLst>
            </c:dLbl>
            <c:dLbl>
              <c:idx val="40"/>
              <c:layout>
                <c:manualLayout>
                  <c:x val="-8.2521575883632098E-2"/>
                  <c:y val="-3.065134099616858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LZ-6f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CF4E-45A9-A3C2-9DB85ECC12FD}"/>
                </c:ext>
              </c:extLst>
            </c:dLbl>
            <c:dLbl>
              <c:idx val="41"/>
              <c:layout>
                <c:manualLayout>
                  <c:x val="-8.782161234991423E-2"/>
                  <c:y val="1.72413793103447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LZ-6d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CF4E-45A9-A3C2-9DB85ECC12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'PLS-R'!$C$149:$C$190</c:f>
              <c:numCache>
                <c:formatCode>0.000</c:formatCode>
                <c:ptCount val="42"/>
                <c:pt idx="0">
                  <c:v>-0.15146404008940359</c:v>
                </c:pt>
                <c:pt idx="1">
                  <c:v>0.30095885885426427</c:v>
                </c:pt>
                <c:pt idx="2">
                  <c:v>-0.20104177532404574</c:v>
                </c:pt>
                <c:pt idx="3">
                  <c:v>0.74035675812549229</c:v>
                </c:pt>
                <c:pt idx="4">
                  <c:v>-0.60204410506336725</c:v>
                </c:pt>
                <c:pt idx="5">
                  <c:v>8.3382908026546881E-2</c:v>
                </c:pt>
                <c:pt idx="6">
                  <c:v>0.81911870425394162</c:v>
                </c:pt>
                <c:pt idx="7">
                  <c:v>-0.31123637335143989</c:v>
                </c:pt>
                <c:pt idx="8">
                  <c:v>0.18215982788131624</c:v>
                </c:pt>
                <c:pt idx="9">
                  <c:v>0.10203796012567712</c:v>
                </c:pt>
                <c:pt idx="10">
                  <c:v>0.61171090925550708</c:v>
                </c:pt>
                <c:pt idx="11">
                  <c:v>0.49233429595660738</c:v>
                </c:pt>
                <c:pt idx="12">
                  <c:v>-4.873840991990074E-4</c:v>
                </c:pt>
                <c:pt idx="13">
                  <c:v>-0.13485737852436711</c:v>
                </c:pt>
                <c:pt idx="14">
                  <c:v>0.29885959886594204</c:v>
                </c:pt>
                <c:pt idx="15">
                  <c:v>0.60997403719708465</c:v>
                </c:pt>
                <c:pt idx="16">
                  <c:v>0.88879283933075526</c:v>
                </c:pt>
                <c:pt idx="17">
                  <c:v>0.62836434308370648</c:v>
                </c:pt>
                <c:pt idx="18">
                  <c:v>-0.54450557899128527</c:v>
                </c:pt>
                <c:pt idx="19">
                  <c:v>0.55937174576495019</c:v>
                </c:pt>
                <c:pt idx="20">
                  <c:v>-0.49008024661475696</c:v>
                </c:pt>
                <c:pt idx="21">
                  <c:v>4.034593523044179E-2</c:v>
                </c:pt>
                <c:pt idx="22">
                  <c:v>-0.12914341753823128</c:v>
                </c:pt>
                <c:pt idx="23">
                  <c:v>-4.560003326150211E-2</c:v>
                </c:pt>
                <c:pt idx="24">
                  <c:v>-0.17487080661404736</c:v>
                </c:pt>
                <c:pt idx="25">
                  <c:v>0.60259796823445588</c:v>
                </c:pt>
                <c:pt idx="26">
                  <c:v>-4.3415828034864448E-2</c:v>
                </c:pt>
                <c:pt idx="27">
                  <c:v>-0.1859840925418981</c:v>
                </c:pt>
                <c:pt idx="28">
                  <c:v>0.30510194157843384</c:v>
                </c:pt>
                <c:pt idx="29">
                  <c:v>-0.47023071014512652</c:v>
                </c:pt>
                <c:pt idx="30">
                  <c:v>0.26937059822081288</c:v>
                </c:pt>
                <c:pt idx="31">
                  <c:v>0.29789977067485252</c:v>
                </c:pt>
                <c:pt idx="32">
                  <c:v>0.18121239061639338</c:v>
                </c:pt>
                <c:pt idx="33">
                  <c:v>0.33404389066616047</c:v>
                </c:pt>
                <c:pt idx="34">
                  <c:v>1.8055867693163537E-2</c:v>
                </c:pt>
                <c:pt idx="35">
                  <c:v>-0.16653971987092145</c:v>
                </c:pt>
                <c:pt idx="36">
                  <c:v>-3.3578617288849678E-2</c:v>
                </c:pt>
                <c:pt idx="37">
                  <c:v>-0.19196281240818361</c:v>
                </c:pt>
                <c:pt idx="38">
                  <c:v>-0.35764637731121396</c:v>
                </c:pt>
                <c:pt idx="39">
                  <c:v>-2.3085549985548751E-2</c:v>
                </c:pt>
                <c:pt idx="40">
                  <c:v>-0.10735257743436566</c:v>
                </c:pt>
                <c:pt idx="41">
                  <c:v>-0.14275226330009783</c:v>
                </c:pt>
              </c:numCache>
            </c:numRef>
          </c:xVal>
          <c:yVal>
            <c:numRef>
              <c:f>'PLS-R'!$D$149:$D$190</c:f>
              <c:numCache>
                <c:formatCode>0.000</c:formatCode>
                <c:ptCount val="42"/>
                <c:pt idx="0">
                  <c:v>0.32450042646800409</c:v>
                </c:pt>
                <c:pt idx="1">
                  <c:v>-0.60588691613522094</c:v>
                </c:pt>
                <c:pt idx="2">
                  <c:v>0.6327394648514334</c:v>
                </c:pt>
                <c:pt idx="3">
                  <c:v>1.7045039591863445E-2</c:v>
                </c:pt>
                <c:pt idx="4">
                  <c:v>0.32405639436562089</c:v>
                </c:pt>
                <c:pt idx="5">
                  <c:v>0.14076958335972564</c:v>
                </c:pt>
                <c:pt idx="6">
                  <c:v>-0.31709773518156825</c:v>
                </c:pt>
                <c:pt idx="7">
                  <c:v>0.37404452521920423</c:v>
                </c:pt>
                <c:pt idx="8">
                  <c:v>0.15149890623526771</c:v>
                </c:pt>
                <c:pt idx="9">
                  <c:v>0.23391474927117037</c:v>
                </c:pt>
                <c:pt idx="10">
                  <c:v>-0.13194285668788808</c:v>
                </c:pt>
                <c:pt idx="11">
                  <c:v>-4.7244033994978049E-2</c:v>
                </c:pt>
                <c:pt idx="12">
                  <c:v>-0.58994623012265002</c:v>
                </c:pt>
                <c:pt idx="13">
                  <c:v>0.24804202111736193</c:v>
                </c:pt>
                <c:pt idx="14">
                  <c:v>6.2264484438761196E-2</c:v>
                </c:pt>
                <c:pt idx="15">
                  <c:v>-0.43062292286391129</c:v>
                </c:pt>
                <c:pt idx="16">
                  <c:v>-0.2494506685626916</c:v>
                </c:pt>
                <c:pt idx="17">
                  <c:v>-1.6022810252817377E-4</c:v>
                </c:pt>
                <c:pt idx="18">
                  <c:v>-0.17446510279899391</c:v>
                </c:pt>
                <c:pt idx="19">
                  <c:v>0.16153668852320402</c:v>
                </c:pt>
                <c:pt idx="20">
                  <c:v>0.57389932882633632</c:v>
                </c:pt>
                <c:pt idx="21">
                  <c:v>-1.560874165346827E-2</c:v>
                </c:pt>
                <c:pt idx="22">
                  <c:v>1.0485944776393022E-2</c:v>
                </c:pt>
                <c:pt idx="23">
                  <c:v>0.2132074888809678</c:v>
                </c:pt>
                <c:pt idx="24">
                  <c:v>-0.35517139298110978</c:v>
                </c:pt>
                <c:pt idx="25">
                  <c:v>-7.5832404281244332E-3</c:v>
                </c:pt>
                <c:pt idx="26">
                  <c:v>-0.12920517843590504</c:v>
                </c:pt>
                <c:pt idx="27">
                  <c:v>-0.19916263739776274</c:v>
                </c:pt>
                <c:pt idx="28">
                  <c:v>-0.13700285851792721</c:v>
                </c:pt>
                <c:pt idx="29">
                  <c:v>0.32785540391033502</c:v>
                </c:pt>
                <c:pt idx="30">
                  <c:v>0.327678446922054</c:v>
                </c:pt>
                <c:pt idx="31">
                  <c:v>0.17351078805501702</c:v>
                </c:pt>
                <c:pt idx="32">
                  <c:v>0.11531590866387084</c:v>
                </c:pt>
                <c:pt idx="33">
                  <c:v>-8.4955162202418791E-2</c:v>
                </c:pt>
                <c:pt idx="34">
                  <c:v>-0.13532742763750583</c:v>
                </c:pt>
                <c:pt idx="35">
                  <c:v>0.19804128667722226</c:v>
                </c:pt>
                <c:pt idx="36">
                  <c:v>0.14219053258145517</c:v>
                </c:pt>
                <c:pt idx="37">
                  <c:v>-0.32280387832143598</c:v>
                </c:pt>
                <c:pt idx="38">
                  <c:v>-0.55170189939655079</c:v>
                </c:pt>
                <c:pt idx="39">
                  <c:v>-3.2903731620011617E-2</c:v>
                </c:pt>
                <c:pt idx="40">
                  <c:v>7.8311333124592084E-3</c:v>
                </c:pt>
                <c:pt idx="41">
                  <c:v>-5.0642005158902062E-2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E-45A9-A3C2-9DB85ECC12FD}"/>
            </c:ext>
          </c:extLst>
        </c:ser>
        <c:ser>
          <c:idx val="1"/>
          <c:order val="1"/>
          <c:tx>
            <c:v>Y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152658662092625E-2"/>
                  <c:y val="-3.0651340996168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sy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CF4E-45A9-A3C2-9DB85ECC12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'PLS-R'!$C$191</c:f>
              <c:numCache>
                <c:formatCode>0.000</c:formatCode>
                <c:ptCount val="1"/>
                <c:pt idx="0">
                  <c:v>0.66208115760762454</c:v>
                </c:pt>
              </c:numCache>
            </c:numRef>
          </c:xVal>
          <c:yVal>
            <c:numRef>
              <c:f>'PLS-R'!$D$191</c:f>
              <c:numCache>
                <c:formatCode>0.000</c:formatCode>
                <c:ptCount val="1"/>
                <c:pt idx="0">
                  <c:v>0.37259684697789747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F4E-45A9-A3C2-9DB85ECC12FD}"/>
            </c:ext>
          </c:extLst>
        </c:ser>
        <c:ser>
          <c:idx val="2"/>
          <c:order val="2"/>
          <c:tx>
            <c:v>Active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8941"/>
              </a:solidFill>
              <a:ln>
                <a:solidFill>
                  <a:srgbClr val="00894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CF4E-45A9-A3C2-9DB85ECC12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CF4E-45A9-A3C2-9DB85ECC12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CF4E-45A9-A3C2-9DB85ECC12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CF4E-45A9-A3C2-9DB85ECC12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CF4E-45A9-A3C2-9DB85ECC12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CF4E-45A9-A3C2-9DB85ECC12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CF4E-45A9-A3C2-9DB85ECC12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CF4E-45A9-A3C2-9DB85ECC12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CF4E-45A9-A3C2-9DB85ECC12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CF4E-45A9-A3C2-9DB85ECC12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CF4E-45A9-A3C2-9DB85ECC12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CF4E-45A9-A3C2-9DB85ECC12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CF4E-45A9-A3C2-9DB85ECC12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CF4E-45A9-A3C2-9DB85ECC12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CF4E-45A9-A3C2-9DB85ECC12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CF4E-45A9-A3C2-9DB85ECC12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CF4E-45A9-A3C2-9DB85ECC12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CF4E-45A9-A3C2-9DB85ECC12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CF4E-45A9-A3C2-9DB85ECC12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CF4E-45A9-A3C2-9DB85ECC12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CF4E-45A9-A3C2-9DB85ECC12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CF4E-45A9-A3C2-9DB85ECC12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CF4E-45A9-A3C2-9DB85ECC12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CF4E-45A9-A3C2-9DB85ECC12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CF4E-45A9-A3C2-9DB85ECC12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CF4E-45A9-A3C2-9DB85ECC12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CF4E-45A9-A3C2-9DB85ECC12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CF4E-45A9-A3C2-9DB85ECC12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CF4E-45A9-A3C2-9DB85ECC12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CF4E-45A9-A3C2-9DB85ECC12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CF4E-45A9-A3C2-9DB85ECC12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CF4E-45A9-A3C2-9DB85ECC12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CF4E-45A9-A3C2-9DB85ECC12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CF4E-45A9-A3C2-9DB85ECC12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CF4E-45A9-A3C2-9DB85ECC12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CF4E-45A9-A3C2-9DB85ECC12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CF4E-45A9-A3C2-9DB85ECC12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CF4E-45A9-A3C2-9DB85ECC12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CF4E-45A9-A3C2-9DB85ECC12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CF4E-45A9-A3C2-9DB85ECC12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CF4E-45A9-A3C2-9DB85ECC12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CF4E-45A9-A3C2-9DB85ECC12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CF4E-45A9-A3C2-9DB85ECC12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CF4E-45A9-A3C2-9DB85ECC12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CF4E-45A9-A3C2-9DB85ECC12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CF4E-45A9-A3C2-9DB85ECC12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CF4E-45A9-A3C2-9DB85ECC12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CF4E-45A9-A3C2-9DB85ECC12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CF4E-45A9-A3C2-9DB85ECC12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CF4E-45A9-A3C2-9DB85ECC12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CF4E-45A9-A3C2-9DB85ECC12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CF4E-45A9-A3C2-9DB85ECC12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CF4E-45A9-A3C2-9DB85ECC12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CF4E-45A9-A3C2-9DB85ECC12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CF4E-45A9-A3C2-9DB85ECC12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CF4E-45A9-A3C2-9DB85ECC12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CF4E-45A9-A3C2-9DB85ECC12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CF4E-45A9-A3C2-9DB85ECC12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CF4E-45A9-A3C2-9DB85ECC12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CF4E-45A9-A3C2-9DB85ECC12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A-CF4E-45A9-A3C2-9DB85ECC12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CF4E-45A9-A3C2-9DB85ECC12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CF4E-45A9-A3C2-9DB85ECC12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CF4E-45A9-A3C2-9DB85ECC12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CF4E-45A9-A3C2-9DB85ECC12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CF4E-45A9-A3C2-9DB85ECC12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CF4E-45A9-A3C2-9DB85ECC12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CF4E-45A9-A3C2-9DB85ECC12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CF4E-45A9-A3C2-9DB85ECC12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CF4E-45A9-A3C2-9DB85ECC12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CF4E-45A9-A3C2-9DB85ECC12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CF4E-45A9-A3C2-9DB85ECC12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CF4E-45A9-A3C2-9DB85ECC12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CF4E-45A9-A3C2-9DB85ECC12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CF4E-45A9-A3C2-9DB85ECC12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CF4E-45A9-A3C2-9DB85ECC12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CF4E-45A9-A3C2-9DB85ECC12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CF4E-45A9-A3C2-9DB85ECC12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CF4E-45A9-A3C2-9DB85ECC12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CF4E-45A9-A3C2-9DB85ECC12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CF4E-45A9-A3C2-9DB85ECC12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CF4E-45A9-A3C2-9DB85ECC12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CF4E-45A9-A3C2-9DB85ECC12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CF4E-45A9-A3C2-9DB85ECC12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CF4E-45A9-A3C2-9DB85ECC12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CF4E-45A9-A3C2-9DB85ECC12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CF4E-45A9-A3C2-9DB85ECC12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CF4E-45A9-A3C2-9DB85ECC12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CF4E-45A9-A3C2-9DB85ECC12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CF4E-45A9-A3C2-9DB85ECC12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CF4E-45A9-A3C2-9DB85ECC12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CF4E-45A9-A3C2-9DB85ECC12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CF4E-45A9-A3C2-9DB85ECC12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CF4E-45A9-A3C2-9DB85ECC12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C-CF4E-45A9-A3C2-9DB85ECC12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CF4E-45A9-A3C2-9DB85ECC12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E-CF4E-45A9-A3C2-9DB85ECC12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CF4E-45A9-A3C2-9DB85ECC12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CF4E-45A9-A3C2-9DB85ECC12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CF4E-45A9-A3C2-9DB85ECC12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XLSTAT_20211004_124611_1_HID2!$B$2:$B$101</c:f>
              <c:numCache>
                <c:formatCode>General</c:formatCode>
                <c:ptCount val="100"/>
                <c:pt idx="0">
                  <c:v>1.1562730236146627E-2</c:v>
                </c:pt>
                <c:pt idx="1">
                  <c:v>7.807687227736229E-3</c:v>
                </c:pt>
                <c:pt idx="2">
                  <c:v>-5.3496955735751639E-2</c:v>
                </c:pt>
                <c:pt idx="3">
                  <c:v>-5.1406778092962869E-3</c:v>
                </c:pt>
                <c:pt idx="4">
                  <c:v>-1.1606282007440679E-2</c:v>
                </c:pt>
                <c:pt idx="5">
                  <c:v>3.466204118275875E-2</c:v>
                </c:pt>
                <c:pt idx="6">
                  <c:v>6.4194381203061437E-2</c:v>
                </c:pt>
                <c:pt idx="7">
                  <c:v>8.7979355254992354E-5</c:v>
                </c:pt>
                <c:pt idx="8">
                  <c:v>3.7142536297446377E-2</c:v>
                </c:pt>
                <c:pt idx="9">
                  <c:v>3.8603217504979623E-2</c:v>
                </c:pt>
                <c:pt idx="10">
                  <c:v>7.5531888527041E-2</c:v>
                </c:pt>
                <c:pt idx="11">
                  <c:v>3.5222435427732963E-2</c:v>
                </c:pt>
                <c:pt idx="12">
                  <c:v>5.5404513292372795E-2</c:v>
                </c:pt>
                <c:pt idx="13">
                  <c:v>1.6572250791686248E-2</c:v>
                </c:pt>
                <c:pt idx="14">
                  <c:v>-3.4112340560951471E-2</c:v>
                </c:pt>
                <c:pt idx="15">
                  <c:v>-2.0402045461792612E-2</c:v>
                </c:pt>
                <c:pt idx="16">
                  <c:v>7.4081130599997255E-2</c:v>
                </c:pt>
                <c:pt idx="17">
                  <c:v>6.9103429553724463E-2</c:v>
                </c:pt>
                <c:pt idx="18">
                  <c:v>9.7353882740663256E-2</c:v>
                </c:pt>
                <c:pt idx="19">
                  <c:v>5.2986950585351848E-2</c:v>
                </c:pt>
                <c:pt idx="20">
                  <c:v>8.36384353394483E-2</c:v>
                </c:pt>
                <c:pt idx="21">
                  <c:v>7.5734725486874821E-2</c:v>
                </c:pt>
                <c:pt idx="22">
                  <c:v>-3.4401995571185272E-3</c:v>
                </c:pt>
                <c:pt idx="23">
                  <c:v>6.9555374962665575E-2</c:v>
                </c:pt>
                <c:pt idx="24">
                  <c:v>7.3128702693182154E-2</c:v>
                </c:pt>
                <c:pt idx="25">
                  <c:v>-0.12274046791567135</c:v>
                </c:pt>
                <c:pt idx="26">
                  <c:v>7.2316056376541843E-2</c:v>
                </c:pt>
                <c:pt idx="27">
                  <c:v>-2.4727504176139882E-3</c:v>
                </c:pt>
                <c:pt idx="28">
                  <c:v>-5.2605721540663501E-2</c:v>
                </c:pt>
                <c:pt idx="29">
                  <c:v>8.2673838783524273E-2</c:v>
                </c:pt>
                <c:pt idx="30">
                  <c:v>-0.1225916832703612</c:v>
                </c:pt>
                <c:pt idx="31">
                  <c:v>-5.398194943244846E-2</c:v>
                </c:pt>
                <c:pt idx="32">
                  <c:v>7.3809017015247488E-2</c:v>
                </c:pt>
                <c:pt idx="33">
                  <c:v>-0.10592090591936305</c:v>
                </c:pt>
                <c:pt idx="34">
                  <c:v>5.9191234075517789E-2</c:v>
                </c:pt>
                <c:pt idx="35">
                  <c:v>-0.11310567368178376</c:v>
                </c:pt>
                <c:pt idx="36">
                  <c:v>0.1335959942573425</c:v>
                </c:pt>
                <c:pt idx="37">
                  <c:v>9.7158278992604458E-2</c:v>
                </c:pt>
                <c:pt idx="38">
                  <c:v>-0.12260983954402568</c:v>
                </c:pt>
                <c:pt idx="39">
                  <c:v>-5.5107140167343541E-2</c:v>
                </c:pt>
                <c:pt idx="40">
                  <c:v>2.0853257058003324E-2</c:v>
                </c:pt>
                <c:pt idx="41">
                  <c:v>0.11108602770164965</c:v>
                </c:pt>
                <c:pt idx="42">
                  <c:v>9.8467346714302684E-2</c:v>
                </c:pt>
                <c:pt idx="43">
                  <c:v>-6.5370198809695829E-2</c:v>
                </c:pt>
                <c:pt idx="44">
                  <c:v>6.7195948212433916E-3</c:v>
                </c:pt>
                <c:pt idx="45">
                  <c:v>-8.6559017610885622E-2</c:v>
                </c:pt>
                <c:pt idx="46">
                  <c:v>-3.4434795348137197E-2</c:v>
                </c:pt>
                <c:pt idx="47">
                  <c:v>-9.2022791871146804E-3</c:v>
                </c:pt>
                <c:pt idx="48">
                  <c:v>8.9343332938953704E-2</c:v>
                </c:pt>
                <c:pt idx="49">
                  <c:v>8.9578946573920765E-2</c:v>
                </c:pt>
                <c:pt idx="50">
                  <c:v>-4.1027767565096372E-2</c:v>
                </c:pt>
                <c:pt idx="51">
                  <c:v>-5.9013134542285531E-2</c:v>
                </c:pt>
                <c:pt idx="52">
                  <c:v>9.393429807441947E-2</c:v>
                </c:pt>
                <c:pt idx="53">
                  <c:v>-4.7106497042075188E-2</c:v>
                </c:pt>
                <c:pt idx="54">
                  <c:v>0.10147541951643473</c:v>
                </c:pt>
                <c:pt idx="55">
                  <c:v>-7.4970584816558217E-2</c:v>
                </c:pt>
                <c:pt idx="56">
                  <c:v>-5.5158314482094475E-2</c:v>
                </c:pt>
                <c:pt idx="57">
                  <c:v>-6.9856048536516377E-2</c:v>
                </c:pt>
                <c:pt idx="58">
                  <c:v>-4.3539921923035449E-2</c:v>
                </c:pt>
                <c:pt idx="59">
                  <c:v>3.3031053923405267E-2</c:v>
                </c:pt>
                <c:pt idx="60">
                  <c:v>-7.038945681293729E-2</c:v>
                </c:pt>
                <c:pt idx="61">
                  <c:v>4.5590547344513135E-2</c:v>
                </c:pt>
                <c:pt idx="62">
                  <c:v>-4.1515054763010074E-2</c:v>
                </c:pt>
                <c:pt idx="63">
                  <c:v>-4.8851834276103873E-2</c:v>
                </c:pt>
                <c:pt idx="64">
                  <c:v>-4.7478151977592399E-2</c:v>
                </c:pt>
                <c:pt idx="65">
                  <c:v>9.6116235989705992E-2</c:v>
                </c:pt>
                <c:pt idx="66">
                  <c:v>-0.10418714125056351</c:v>
                </c:pt>
                <c:pt idx="67">
                  <c:v>-6.9895964515537645E-2</c:v>
                </c:pt>
                <c:pt idx="68">
                  <c:v>-4.7798337221316198E-2</c:v>
                </c:pt>
                <c:pt idx="69">
                  <c:v>-6.1878794330649557E-2</c:v>
                </c:pt>
                <c:pt idx="70">
                  <c:v>-6.3181967839598466E-2</c:v>
                </c:pt>
                <c:pt idx="71">
                  <c:v>4.901821189544734E-2</c:v>
                </c:pt>
                <c:pt idx="72">
                  <c:v>-6.3144622483930074E-2</c:v>
                </c:pt>
                <c:pt idx="73">
                  <c:v>1.7140060205211773E-2</c:v>
                </c:pt>
                <c:pt idx="74">
                  <c:v>8.3978330171348703E-2</c:v>
                </c:pt>
                <c:pt idx="75">
                  <c:v>-5.2846004267190737E-2</c:v>
                </c:pt>
                <c:pt idx="76">
                  <c:v>-6.2088632402912111E-2</c:v>
                </c:pt>
                <c:pt idx="77">
                  <c:v>4.9515294767540963E-2</c:v>
                </c:pt>
                <c:pt idx="78">
                  <c:v>6.4345512933206256E-2</c:v>
                </c:pt>
                <c:pt idx="79">
                  <c:v>-2.5951473855272994E-2</c:v>
                </c:pt>
                <c:pt idx="80">
                  <c:v>-6.9223828539900001E-2</c:v>
                </c:pt>
                <c:pt idx="81">
                  <c:v>7.4536183338193979E-2</c:v>
                </c:pt>
                <c:pt idx="82">
                  <c:v>-1.8594947409251186E-2</c:v>
                </c:pt>
                <c:pt idx="83">
                  <c:v>-1.788386654177699E-2</c:v>
                </c:pt>
                <c:pt idx="84">
                  <c:v>7.402606628849423E-2</c:v>
                </c:pt>
                <c:pt idx="85">
                  <c:v>-4.6581441730196932E-2</c:v>
                </c:pt>
                <c:pt idx="86">
                  <c:v>-7.3327256773564095E-2</c:v>
                </c:pt>
                <c:pt idx="87">
                  <c:v>-7.8020977240181796E-2</c:v>
                </c:pt>
                <c:pt idx="88">
                  <c:v>-5.776046293036953E-2</c:v>
                </c:pt>
                <c:pt idx="89">
                  <c:v>-4.2086071804048344E-2</c:v>
                </c:pt>
                <c:pt idx="90">
                  <c:v>0.10955073236330083</c:v>
                </c:pt>
                <c:pt idx="91">
                  <c:v>-0.10045579099858472</c:v>
                </c:pt>
                <c:pt idx="92">
                  <c:v>6.8174987951827831E-2</c:v>
                </c:pt>
                <c:pt idx="93">
                  <c:v>-7.2627592242932915E-2</c:v>
                </c:pt>
                <c:pt idx="94">
                  <c:v>-4.3322959847163486E-2</c:v>
                </c:pt>
                <c:pt idx="95">
                  <c:v>1.619019422906772E-4</c:v>
                </c:pt>
                <c:pt idx="96">
                  <c:v>5.62338326936428E-3</c:v>
                </c:pt>
                <c:pt idx="97">
                  <c:v>2.8771106961291818E-2</c:v>
                </c:pt>
                <c:pt idx="98">
                  <c:v>-7.6510802894740368E-2</c:v>
                </c:pt>
                <c:pt idx="99">
                  <c:v>2.9851104715563526E-3</c:v>
                </c:pt>
              </c:numCache>
            </c:numRef>
          </c:xVal>
          <c:yVal>
            <c:numRef>
              <c:f>XLSTAT_20211004_124611_1_HID2!$C$2:$C$101</c:f>
              <c:numCache>
                <c:formatCode>General</c:formatCode>
                <c:ptCount val="100"/>
                <c:pt idx="0">
                  <c:v>8.814813976938804E-2</c:v>
                </c:pt>
                <c:pt idx="1">
                  <c:v>5.884839750272506E-2</c:v>
                </c:pt>
                <c:pt idx="2">
                  <c:v>0.13106747084511794</c:v>
                </c:pt>
                <c:pt idx="3">
                  <c:v>5.294616857464611E-2</c:v>
                </c:pt>
                <c:pt idx="4">
                  <c:v>0.15896380012361722</c:v>
                </c:pt>
                <c:pt idx="5">
                  <c:v>7.972056697899331E-2</c:v>
                </c:pt>
                <c:pt idx="6">
                  <c:v>2.6147277248851158E-2</c:v>
                </c:pt>
                <c:pt idx="7">
                  <c:v>5.6003268444155659E-2</c:v>
                </c:pt>
                <c:pt idx="8">
                  <c:v>2.0437105675001371E-2</c:v>
                </c:pt>
                <c:pt idx="9">
                  <c:v>4.9555837193063432E-2</c:v>
                </c:pt>
                <c:pt idx="10">
                  <c:v>1.0287888429984399E-2</c:v>
                </c:pt>
                <c:pt idx="11">
                  <c:v>6.7880976143966071E-2</c:v>
                </c:pt>
                <c:pt idx="12">
                  <c:v>7.7419132047896924E-2</c:v>
                </c:pt>
                <c:pt idx="13">
                  <c:v>4.6555596181757468E-2</c:v>
                </c:pt>
                <c:pt idx="14">
                  <c:v>0.10489449571993535</c:v>
                </c:pt>
                <c:pt idx="15">
                  <c:v>0.10456917243420956</c:v>
                </c:pt>
                <c:pt idx="16">
                  <c:v>8.8702977318936421E-3</c:v>
                </c:pt>
                <c:pt idx="17">
                  <c:v>3.5423625354863458E-2</c:v>
                </c:pt>
                <c:pt idx="18">
                  <c:v>6.2285798278125686E-2</c:v>
                </c:pt>
                <c:pt idx="19">
                  <c:v>4.6418817205357107E-2</c:v>
                </c:pt>
                <c:pt idx="20">
                  <c:v>-2.290646115266626E-3</c:v>
                </c:pt>
                <c:pt idx="21">
                  <c:v>3.3851413507772869E-2</c:v>
                </c:pt>
                <c:pt idx="22">
                  <c:v>0.15529458843717917</c:v>
                </c:pt>
                <c:pt idx="23">
                  <c:v>8.9019900546651279E-2</c:v>
                </c:pt>
                <c:pt idx="24">
                  <c:v>7.4224329871404329E-2</c:v>
                </c:pt>
                <c:pt idx="25">
                  <c:v>4.6246723954234792E-2</c:v>
                </c:pt>
                <c:pt idx="26">
                  <c:v>1.1390903614243084E-2</c:v>
                </c:pt>
                <c:pt idx="27">
                  <c:v>6.0929124636122899E-2</c:v>
                </c:pt>
                <c:pt idx="28">
                  <c:v>0.14126580615751</c:v>
                </c:pt>
                <c:pt idx="29">
                  <c:v>1.063833741334487E-3</c:v>
                </c:pt>
                <c:pt idx="30">
                  <c:v>4.790761865206996E-2</c:v>
                </c:pt>
                <c:pt idx="31">
                  <c:v>4.8441647967934882E-2</c:v>
                </c:pt>
                <c:pt idx="32">
                  <c:v>2.2364879445562973E-2</c:v>
                </c:pt>
                <c:pt idx="33">
                  <c:v>5.3837248497064012E-2</c:v>
                </c:pt>
                <c:pt idx="34">
                  <c:v>1.8740077760395546E-2</c:v>
                </c:pt>
                <c:pt idx="35">
                  <c:v>4.3461964928061127E-2</c:v>
                </c:pt>
                <c:pt idx="36">
                  <c:v>-3.2825867389332582E-2</c:v>
                </c:pt>
                <c:pt idx="37">
                  <c:v>-2.2450412799871207E-2</c:v>
                </c:pt>
                <c:pt idx="38">
                  <c:v>1.3201787639370091E-2</c:v>
                </c:pt>
                <c:pt idx="39">
                  <c:v>3.3235608716241448E-2</c:v>
                </c:pt>
                <c:pt idx="40">
                  <c:v>2.3539636484397702E-2</c:v>
                </c:pt>
                <c:pt idx="41">
                  <c:v>-1.8348413006931602E-2</c:v>
                </c:pt>
                <c:pt idx="42">
                  <c:v>6.8105423147707695E-3</c:v>
                </c:pt>
                <c:pt idx="43">
                  <c:v>-1.4667936367583569E-2</c:v>
                </c:pt>
                <c:pt idx="44">
                  <c:v>7.0065548897446763E-3</c:v>
                </c:pt>
                <c:pt idx="45">
                  <c:v>-5.596482750116203E-2</c:v>
                </c:pt>
                <c:pt idx="46">
                  <c:v>-1.1104085276445866E-2</c:v>
                </c:pt>
                <c:pt idx="47">
                  <c:v>-0.10158398073545991</c:v>
                </c:pt>
                <c:pt idx="48">
                  <c:v>1.6464646561733999E-3</c:v>
                </c:pt>
                <c:pt idx="49">
                  <c:v>1.6141226402254321E-3</c:v>
                </c:pt>
                <c:pt idx="50">
                  <c:v>-2.6231240901963212E-2</c:v>
                </c:pt>
                <c:pt idx="51">
                  <c:v>-7.9234033299070375E-2</c:v>
                </c:pt>
                <c:pt idx="52">
                  <c:v>-2.373961443937737E-2</c:v>
                </c:pt>
                <c:pt idx="53">
                  <c:v>-9.9540284291462708E-3</c:v>
                </c:pt>
                <c:pt idx="54">
                  <c:v>-6.4544149974664788E-2</c:v>
                </c:pt>
                <c:pt idx="55">
                  <c:v>-0.11395323186113931</c:v>
                </c:pt>
                <c:pt idx="56">
                  <c:v>-6.9331832375830044E-2</c:v>
                </c:pt>
                <c:pt idx="57">
                  <c:v>-6.8727283792677951E-2</c:v>
                </c:pt>
                <c:pt idx="58">
                  <c:v>-7.3103050650330029E-2</c:v>
                </c:pt>
                <c:pt idx="59">
                  <c:v>-1.4783834091093019E-2</c:v>
                </c:pt>
                <c:pt idx="60">
                  <c:v>-8.5402897686708321E-2</c:v>
                </c:pt>
                <c:pt idx="61">
                  <c:v>-3.6155879456014381E-2</c:v>
                </c:pt>
                <c:pt idx="62">
                  <c:v>-9.4944578460942841E-2</c:v>
                </c:pt>
                <c:pt idx="63">
                  <c:v>-9.1881925829936803E-2</c:v>
                </c:pt>
                <c:pt idx="64">
                  <c:v>-8.6104598477360308E-2</c:v>
                </c:pt>
                <c:pt idx="65">
                  <c:v>-8.2001832941023228E-2</c:v>
                </c:pt>
                <c:pt idx="66">
                  <c:v>3.1165591971391515E-2</c:v>
                </c:pt>
                <c:pt idx="67">
                  <c:v>-7.215165754023882E-2</c:v>
                </c:pt>
                <c:pt idx="68">
                  <c:v>-9.0029948013596914E-2</c:v>
                </c:pt>
                <c:pt idx="69">
                  <c:v>-0.11269787643220887</c:v>
                </c:pt>
                <c:pt idx="70">
                  <c:v>-9.6769774433546452E-2</c:v>
                </c:pt>
                <c:pt idx="71">
                  <c:v>-3.3016668344217091E-2</c:v>
                </c:pt>
                <c:pt idx="72">
                  <c:v>-5.649485236489081E-2</c:v>
                </c:pt>
                <c:pt idx="73">
                  <c:v>-4.6293310815900886E-2</c:v>
                </c:pt>
                <c:pt idx="74">
                  <c:v>-0.1055633976760489</c:v>
                </c:pt>
                <c:pt idx="75">
                  <c:v>-0.1031427268819935</c:v>
                </c:pt>
                <c:pt idx="76">
                  <c:v>-0.13936457972423527</c:v>
                </c:pt>
                <c:pt idx="77">
                  <c:v>-6.5462352707252841E-2</c:v>
                </c:pt>
                <c:pt idx="78">
                  <c:v>-8.0154726113415287E-2</c:v>
                </c:pt>
                <c:pt idx="79">
                  <c:v>-2.627303060542107E-2</c:v>
                </c:pt>
                <c:pt idx="80">
                  <c:v>-0.13276422364493171</c:v>
                </c:pt>
                <c:pt idx="81">
                  <c:v>-9.106541297581601E-2</c:v>
                </c:pt>
                <c:pt idx="82">
                  <c:v>-6.0806741612977567E-3</c:v>
                </c:pt>
                <c:pt idx="83">
                  <c:v>-3.1615369914187778E-2</c:v>
                </c:pt>
                <c:pt idx="84">
                  <c:v>-7.6897504101785169E-2</c:v>
                </c:pt>
                <c:pt idx="85">
                  <c:v>-0.11855098989438159</c:v>
                </c:pt>
                <c:pt idx="86">
                  <c:v>-8.8391622683783228E-2</c:v>
                </c:pt>
                <c:pt idx="87">
                  <c:v>-0.15816077061022343</c:v>
                </c:pt>
                <c:pt idx="88">
                  <c:v>-0.11644982885580085</c:v>
                </c:pt>
                <c:pt idx="89">
                  <c:v>-8.7656593683521133E-2</c:v>
                </c:pt>
                <c:pt idx="90">
                  <c:v>-2.4205605603863135E-2</c:v>
                </c:pt>
                <c:pt idx="91">
                  <c:v>-0.14173166024409817</c:v>
                </c:pt>
                <c:pt idx="92">
                  <c:v>-5.4434979768874146E-2</c:v>
                </c:pt>
                <c:pt idx="93">
                  <c:v>-0.10316527260815676</c:v>
                </c:pt>
                <c:pt idx="94">
                  <c:v>-0.12892880340619708</c:v>
                </c:pt>
                <c:pt idx="95">
                  <c:v>-6.7825469987307777E-2</c:v>
                </c:pt>
                <c:pt idx="96">
                  <c:v>-3.8403771788780093E-2</c:v>
                </c:pt>
                <c:pt idx="97">
                  <c:v>8.8505815758642132E-4</c:v>
                </c:pt>
                <c:pt idx="98">
                  <c:v>-0.1207181644903592</c:v>
                </c:pt>
                <c:pt idx="99">
                  <c:v>9.4144796415623067E-2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F4E-45A9-A3C2-9DB85ECC12FD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XLSTAT_20211004_124611_1_HID!xcirclez1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XLSTAT_20211004_124611_1_HID!ycirclez1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CF4E-45A9-A3C2-9DB85ECC12FD}"/>
            </c:ext>
          </c:extLst>
        </c:ser>
        <c:ser>
          <c:idx val="4"/>
          <c:order val="4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XLSTAT_20211004_124611_1_HID!xcircle126696521</c:f>
              <c:numCache>
                <c:formatCode>General</c:formatCode>
                <c:ptCount val="500"/>
                <c:pt idx="0">
                  <c:v>-0.70710678118654802</c:v>
                </c:pt>
                <c:pt idx="1">
                  <c:v>-0.70705072701814309</c:v>
                </c:pt>
                <c:pt idx="2">
                  <c:v>-0.70688257340004368</c:v>
                </c:pt>
                <c:pt idx="3">
                  <c:v>-0.70660234699218727</c:v>
                </c:pt>
                <c:pt idx="4">
                  <c:v>-0.70621009222310616</c:v>
                </c:pt>
                <c:pt idx="5">
                  <c:v>-0.70570587128288365</c:v>
                </c:pt>
                <c:pt idx="6">
                  <c:v>-0.70508976411329471</c:v>
                </c:pt>
                <c:pt idx="7">
                  <c:v>-0.70436186839513082</c:v>
                </c:pt>
                <c:pt idx="8">
                  <c:v>-0.70352229953271339</c:v>
                </c:pt>
                <c:pt idx="9">
                  <c:v>-0.70257119063559725</c:v>
                </c:pt>
                <c:pt idx="10">
                  <c:v>-0.7015086924974665</c:v>
                </c:pt>
                <c:pt idx="11">
                  <c:v>-0.70033497357222696</c:v>
                </c:pt>
                <c:pt idx="12">
                  <c:v>-0.69905021994729866</c:v>
                </c:pt>
                <c:pt idx="13">
                  <c:v>-0.69765463531411254</c:v>
                </c:pt>
                <c:pt idx="14">
                  <c:v>-0.69614844093581618</c:v>
                </c:pt>
                <c:pt idx="15">
                  <c:v>-0.69453187561219365</c:v>
                </c:pt>
                <c:pt idx="16">
                  <c:v>-0.69280519564180509</c:v>
                </c:pt>
                <c:pt idx="17">
                  <c:v>-0.69096867478135127</c:v>
                </c:pt>
                <c:pt idx="18">
                  <c:v>-0.68902260420227168</c:v>
                </c:pt>
                <c:pt idx="19">
                  <c:v>-0.68696729244457988</c:v>
                </c:pt>
                <c:pt idx="20">
                  <c:v>-0.68480306536794644</c:v>
                </c:pt>
                <c:pt idx="21">
                  <c:v>-0.68253026610003542</c:v>
                </c:pt>
                <c:pt idx="22">
                  <c:v>-0.68014925498210299</c:v>
                </c:pt>
                <c:pt idx="23">
                  <c:v>-0.67766040951186712</c:v>
                </c:pt>
                <c:pt idx="24">
                  <c:v>-0.67506412428365781</c:v>
                </c:pt>
                <c:pt idx="25">
                  <c:v>-0.67236081092585465</c:v>
                </c:pt>
                <c:pt idx="26">
                  <c:v>-0.66955089803562651</c:v>
                </c:pt>
                <c:pt idx="27">
                  <c:v>-0.66663483111097899</c:v>
                </c:pt>
                <c:pt idx="28">
                  <c:v>-0.66361307248012269</c:v>
                </c:pt>
                <c:pt idx="29">
                  <c:v>-0.66048610122817375</c:v>
                </c:pt>
                <c:pt idx="30">
                  <c:v>-0.65725441312119715</c:v>
                </c:pt>
                <c:pt idx="31">
                  <c:v>-0.6539185205276048</c:v>
                </c:pt>
                <c:pt idx="32">
                  <c:v>-0.65047895233692299</c:v>
                </c:pt>
                <c:pt idx="33">
                  <c:v>-0.646936253875939</c:v>
                </c:pt>
                <c:pt idx="34">
                  <c:v>-0.64329098682224217</c:v>
                </c:pt>
                <c:pt idx="35">
                  <c:v>-0.63954372911517265</c:v>
                </c:pt>
                <c:pt idx="36">
                  <c:v>-0.63569507486419241</c:v>
                </c:pt>
                <c:pt idx="37">
                  <c:v>-0.63174563425469121</c:v>
                </c:pt>
                <c:pt idx="38">
                  <c:v>-0.62769603345124536</c:v>
                </c:pt>
                <c:pt idx="39">
                  <c:v>-0.62354691449834243</c:v>
                </c:pt>
                <c:pt idx="40">
                  <c:v>-0.61929893521858748</c:v>
                </c:pt>
                <c:pt idx="41">
                  <c:v>-0.61495276910840924</c:v>
                </c:pt>
                <c:pt idx="42">
                  <c:v>-0.61050910523128044</c:v>
                </c:pt>
                <c:pt idx="43">
                  <c:v>-0.60596864810846973</c:v>
                </c:pt>
                <c:pt idx="44">
                  <c:v>-0.60133211760734351</c:v>
                </c:pt>
                <c:pt idx="45">
                  <c:v>-0.59660024882723472</c:v>
                </c:pt>
                <c:pt idx="46">
                  <c:v>-0.59177379198289592</c:v>
                </c:pt>
                <c:pt idx="47">
                  <c:v>-0.5868535122855566</c:v>
                </c:pt>
                <c:pt idx="48">
                  <c:v>-0.58184018982160302</c:v>
                </c:pt>
                <c:pt idx="49">
                  <c:v>-0.57673461942889881</c:v>
                </c:pt>
                <c:pt idx="50">
                  <c:v>-0.57153761057076724</c:v>
                </c:pt>
                <c:pt idx="51">
                  <c:v>-0.56624998720765563</c:v>
                </c:pt>
                <c:pt idx="52">
                  <c:v>-0.56087258766649939</c:v>
                </c:pt>
                <c:pt idx="53">
                  <c:v>-0.5554062645078095</c:v>
                </c:pt>
                <c:pt idx="54">
                  <c:v>-0.54985188439050414</c:v>
                </c:pt>
                <c:pt idx="55">
                  <c:v>-0.54421032793450319</c:v>
                </c:pt>
                <c:pt idx="56">
                  <c:v>-0.53848248958111</c:v>
                </c:pt>
                <c:pt idx="57">
                  <c:v>-0.53266927745120352</c:v>
                </c:pt>
                <c:pt idx="58">
                  <c:v>-0.52677161320125876</c:v>
                </c:pt>
                <c:pt idx="59">
                  <c:v>-0.52079043187722263</c:v>
                </c:pt>
                <c:pt idx="60">
                  <c:v>-0.51472668176626857</c:v>
                </c:pt>
                <c:pt idx="61">
                  <c:v>-0.50858132424644809</c:v>
                </c:pt>
                <c:pt idx="62">
                  <c:v>-0.50235533363427021</c:v>
                </c:pt>
                <c:pt idx="63">
                  <c:v>-0.49604969703022866</c:v>
                </c:pt>
                <c:pt idx="64">
                  <c:v>-0.48966541416230064</c:v>
                </c:pt>
                <c:pt idx="65">
                  <c:v>-0.48320349722744566</c:v>
                </c:pt>
                <c:pt idx="66">
                  <c:v>-0.47666497073112696</c:v>
                </c:pt>
                <c:pt idx="67">
                  <c:v>-0.47005087132488005</c:v>
                </c:pt>
                <c:pt idx="68">
                  <c:v>-0.46336224764195755</c:v>
                </c:pt>
                <c:pt idx="69">
                  <c:v>-0.45660016013107352</c:v>
                </c:pt>
                <c:pt idx="70">
                  <c:v>-0.44976568088827396</c:v>
                </c:pt>
                <c:pt idx="71">
                  <c:v>-0.44285989348696098</c:v>
                </c:pt>
                <c:pt idx="72">
                  <c:v>-0.43588389280609907</c:v>
                </c:pt>
                <c:pt idx="73">
                  <c:v>-0.4288387848566253</c:v>
                </c:pt>
                <c:pt idx="74">
                  <c:v>-0.42172568660609777</c:v>
                </c:pt>
                <c:pt idx="75">
                  <c:v>-0.41454572580160659</c:v>
                </c:pt>
                <c:pt idx="76">
                  <c:v>-0.40730004079097321</c:v>
                </c:pt>
                <c:pt idx="77">
                  <c:v>-0.39998978034227189</c:v>
                </c:pt>
                <c:pt idx="78">
                  <c:v>-0.39261610346169928</c:v>
                </c:pt>
                <c:pt idx="79">
                  <c:v>-0.3851801792098174</c:v>
                </c:pt>
                <c:pt idx="80">
                  <c:v>-0.37768318651620586</c:v>
                </c:pt>
                <c:pt idx="81">
                  <c:v>-0.37012631399254919</c:v>
                </c:pt>
                <c:pt idx="82">
                  <c:v>-0.36251075974418662</c:v>
                </c:pt>
                <c:pt idx="83">
                  <c:v>-0.35483773118015904</c:v>
                </c:pt>
                <c:pt idx="84">
                  <c:v>-0.34710844482178105</c:v>
                </c:pt>
                <c:pt idx="85">
                  <c:v>-0.3393241261097657</c:v>
                </c:pt>
                <c:pt idx="86">
                  <c:v>-0.33148600920993782</c:v>
                </c:pt>
                <c:pt idx="87">
                  <c:v>-0.32359533681756358</c:v>
                </c:pt>
                <c:pt idx="88">
                  <c:v>-0.31565335996032606</c:v>
                </c:pt>
                <c:pt idx="89">
                  <c:v>-0.30766133779998112</c:v>
                </c:pt>
                <c:pt idx="90">
                  <c:v>-0.29962053743272465</c:v>
                </c:pt>
                <c:pt idx="91">
                  <c:v>-0.29153223368829873</c:v>
                </c:pt>
                <c:pt idx="92">
                  <c:v>-0.28339770892787525</c:v>
                </c:pt>
                <c:pt idx="93">
                  <c:v>-0.27521825284074292</c:v>
                </c:pt>
                <c:pt idx="94">
                  <c:v>-0.26699516223983316</c:v>
                </c:pt>
                <c:pt idx="95">
                  <c:v>-0.25872974085611755</c:v>
                </c:pt>
                <c:pt idx="96">
                  <c:v>-0.25042329913190703</c:v>
                </c:pt>
                <c:pt idx="97">
                  <c:v>-0.24207715401308741</c:v>
                </c:pt>
                <c:pt idx="98">
                  <c:v>-0.23369262874032479</c:v>
                </c:pt>
                <c:pt idx="99">
                  <c:v>-0.22527105263927169</c:v>
                </c:pt>
                <c:pt idx="100">
                  <c:v>-0.21681376090980908</c:v>
                </c:pt>
                <c:pt idx="101">
                  <c:v>-0.20832209441435653</c:v>
                </c:pt>
                <c:pt idx="102">
                  <c:v>-0.1997973994652858</c:v>
                </c:pt>
                <c:pt idx="103">
                  <c:v>-0.19124102761146908</c:v>
                </c:pt>
                <c:pt idx="104">
                  <c:v>-0.18265433542399714</c:v>
                </c:pt>
                <c:pt idx="105">
                  <c:v>-0.17403868428110253</c:v>
                </c:pt>
                <c:pt idx="106">
                  <c:v>-0.16539544015231897</c:v>
                </c:pt>
                <c:pt idx="107">
                  <c:v>-0.15672597338191346</c:v>
                </c:pt>
                <c:pt idx="108">
                  <c:v>-0.1480316584716255</c:v>
                </c:pt>
                <c:pt idx="109">
                  <c:v>-0.13931387386274621</c:v>
                </c:pt>
                <c:pt idx="110">
                  <c:v>-0.13057400171757261</c:v>
                </c:pt>
                <c:pt idx="111">
                  <c:v>-0.12181342770027358</c:v>
                </c:pt>
                <c:pt idx="112">
                  <c:v>-0.11303354075719894</c:v>
                </c:pt>
                <c:pt idx="113">
                  <c:v>-0.10423573289666845</c:v>
                </c:pt>
                <c:pt idx="114">
                  <c:v>-9.542139896827645E-2</c:v>
                </c:pt>
                <c:pt idx="115">
                  <c:v>-8.6591936441744968E-2</c:v>
                </c:pt>
                <c:pt idx="116">
                  <c:v>-7.7748745185361054E-2</c:v>
                </c:pt>
                <c:pt idx="117">
                  <c:v>-6.8893227244035488E-2</c:v>
                </c:pt>
                <c:pt idx="118">
                  <c:v>-6.0026786617014959E-2</c:v>
                </c:pt>
                <c:pt idx="119">
                  <c:v>-5.1150829035284284E-2</c:v>
                </c:pt>
                <c:pt idx="120">
                  <c:v>-4.2266761738695612E-2</c:v>
                </c:pt>
                <c:pt idx="121">
                  <c:v>-3.3375993252856839E-2</c:v>
                </c:pt>
                <c:pt idx="122">
                  <c:v>-2.4479933165816356E-2</c:v>
                </c:pt>
                <c:pt idx="123">
                  <c:v>-1.5579991904580613E-2</c:v>
                </c:pt>
                <c:pt idx="124">
                  <c:v>-6.6775805114973269E-3</c:v>
                </c:pt>
                <c:pt idx="125">
                  <c:v>2.2258895794588776E-3</c:v>
                </c:pt>
                <c:pt idx="126">
                  <c:v>1.1129006766461514E-2</c:v>
                </c:pt>
                <c:pt idx="127">
                  <c:v>2.0030359503635298E-2</c:v>
                </c:pt>
                <c:pt idx="128">
                  <c:v>2.8928536524850348E-2</c:v>
                </c:pt>
                <c:pt idx="129">
                  <c:v>3.7822127067470603E-2</c:v>
                </c:pt>
                <c:pt idx="130">
                  <c:v>4.6709721096023865E-2</c:v>
                </c:pt>
                <c:pt idx="131">
                  <c:v>5.5589909525756487E-2</c:v>
                </c:pt>
                <c:pt idx="132">
                  <c:v>6.4461284446036007E-2</c:v>
                </c:pt>
                <c:pt idx="133">
                  <c:v>7.3322439343568954E-2</c:v>
                </c:pt>
                <c:pt idx="134">
                  <c:v>8.2171969325397179E-2</c:v>
                </c:pt>
                <c:pt idx="135">
                  <c:v>9.100847134163581E-2</c:v>
                </c:pt>
                <c:pt idx="136">
                  <c:v>9.983054440792051E-2</c:v>
                </c:pt>
                <c:pt idx="137">
                  <c:v>0.10863678982752717</c:v>
                </c:pt>
                <c:pt idx="138">
                  <c:v>0.11742581141312744</c:v>
                </c:pt>
                <c:pt idx="139">
                  <c:v>0.1261962157081481</c:v>
                </c:pt>
                <c:pt idx="140">
                  <c:v>0.13494661220769705</c:v>
                </c:pt>
                <c:pt idx="141">
                  <c:v>0.14367561357902034</c:v>
                </c:pt>
                <c:pt idx="142">
                  <c:v>0.15238183588145737</c:v>
                </c:pt>
                <c:pt idx="143">
                  <c:v>0.16106389878585847</c:v>
                </c:pt>
                <c:pt idx="144">
                  <c:v>0.16972042579342841</c:v>
                </c:pt>
                <c:pt idx="145">
                  <c:v>0.17835004445396407</c:v>
                </c:pt>
                <c:pt idx="146">
                  <c:v>0.18695138658345017</c:v>
                </c:pt>
                <c:pt idx="147">
                  <c:v>0.19552308848097721</c:v>
                </c:pt>
                <c:pt idx="148">
                  <c:v>0.20406379114495027</c:v>
                </c:pt>
                <c:pt idx="149">
                  <c:v>0.21257214048855225</c:v>
                </c:pt>
                <c:pt idx="150">
                  <c:v>0.22104678755442714</c:v>
                </c:pt>
                <c:pt idx="151">
                  <c:v>0.22948638872855084</c:v>
                </c:pt>
                <c:pt idx="152">
                  <c:v>0.2378896059532552</c:v>
                </c:pt>
                <c:pt idx="153">
                  <c:v>0.24625510693936969</c:v>
                </c:pt>
                <c:pt idx="154">
                  <c:v>0.25458156537744969</c:v>
                </c:pt>
                <c:pt idx="155">
                  <c:v>0.26286766114805682</c:v>
                </c:pt>
                <c:pt idx="156">
                  <c:v>0.27111208053105673</c:v>
                </c:pt>
                <c:pt idx="157">
                  <c:v>0.27931351641390345</c:v>
                </c:pt>
                <c:pt idx="158">
                  <c:v>0.28747066849887593</c:v>
                </c:pt>
                <c:pt idx="159">
                  <c:v>0.29558224350923312</c:v>
                </c:pt>
                <c:pt idx="160">
                  <c:v>0.3036469553942579</c:v>
                </c:pt>
                <c:pt idx="161">
                  <c:v>0.31166352553315246</c:v>
                </c:pt>
                <c:pt idx="162">
                  <c:v>0.31963068293775931</c:v>
                </c:pt>
                <c:pt idx="163">
                  <c:v>0.32754716445406934</c:v>
                </c:pt>
                <c:pt idx="164">
                  <c:v>0.33541171496248784</c:v>
                </c:pt>
                <c:pt idx="165">
                  <c:v>0.34322308757682951</c:v>
                </c:pt>
                <c:pt idx="166">
                  <c:v>0.35098004384200504</c:v>
                </c:pt>
                <c:pt idx="167">
                  <c:v>0.35868135393037154</c:v>
                </c:pt>
                <c:pt idx="168">
                  <c:v>0.36632579683671729</c:v>
                </c:pt>
                <c:pt idx="169">
                  <c:v>0.3739121605718454</c:v>
                </c:pt>
                <c:pt idx="170">
                  <c:v>0.38143924235472781</c:v>
                </c:pt>
                <c:pt idx="171">
                  <c:v>0.38890584880320228</c:v>
                </c:pt>
                <c:pt idx="172">
                  <c:v>0.39631079612317627</c:v>
                </c:pt>
                <c:pt idx="173">
                  <c:v>0.40365291029631101</c:v>
                </c:pt>
                <c:pt idx="174">
                  <c:v>0.41093102726615788</c:v>
                </c:pt>
                <c:pt idx="175">
                  <c:v>0.41814399312271339</c:v>
                </c:pt>
                <c:pt idx="176">
                  <c:v>0.42529066428536499</c:v>
                </c:pt>
                <c:pt idx="177">
                  <c:v>0.43236990768420158</c:v>
                </c:pt>
                <c:pt idx="178">
                  <c:v>0.43938060093965592</c:v>
                </c:pt>
                <c:pt idx="179">
                  <c:v>0.44632163254045126</c:v>
                </c:pt>
                <c:pt idx="180">
                  <c:v>0.4531919020198279</c:v>
                </c:pt>
                <c:pt idx="181">
                  <c:v>0.45999032013001567</c:v>
                </c:pt>
                <c:pt idx="182">
                  <c:v>0.46671580901492854</c:v>
                </c:pt>
                <c:pt idx="183">
                  <c:v>0.47336730238105462</c:v>
                </c:pt>
                <c:pt idx="184">
                  <c:v>0.47994374566651132</c:v>
                </c:pt>
                <c:pt idx="185">
                  <c:v>0.48644409620824008</c:v>
                </c:pt>
                <c:pt idx="186">
                  <c:v>0.49286732340731709</c:v>
                </c:pt>
                <c:pt idx="187">
                  <c:v>0.49921240889234869</c:v>
                </c:pt>
                <c:pt idx="188">
                  <c:v>0.50547834668092928</c:v>
                </c:pt>
                <c:pt idx="189">
                  <c:v>0.51166414333913524</c:v>
                </c:pt>
                <c:pt idx="190">
                  <c:v>0.5177688181390292</c:v>
                </c:pt>
                <c:pt idx="191">
                  <c:v>0.52379140321414885</c:v>
                </c:pt>
                <c:pt idx="192">
                  <c:v>0.52973094371295837</c:v>
                </c:pt>
                <c:pt idx="193">
                  <c:v>0.53558649795023527</c:v>
                </c:pt>
                <c:pt idx="194">
                  <c:v>0.54135713755636927</c:v>
                </c:pt>
                <c:pt idx="195">
                  <c:v>0.54704194762455194</c:v>
                </c:pt>
                <c:pt idx="196">
                  <c:v>0.55264002685582958</c:v>
                </c:pt>
                <c:pt idx="197">
                  <c:v>0.55815048770200082</c:v>
                </c:pt>
                <c:pt idx="198">
                  <c:v>0.56357245650633259</c:v>
                </c:pt>
                <c:pt idx="199">
                  <c:v>0.56890507364207354</c:v>
                </c:pt>
                <c:pt idx="200">
                  <c:v>0.57414749364874484</c:v>
                </c:pt>
                <c:pt idx="201">
                  <c:v>0.57929888536618335</c:v>
                </c:pt>
                <c:pt idx="202">
                  <c:v>0.58435843206631721</c:v>
                </c:pt>
                <c:pt idx="203">
                  <c:v>0.58932533158265532</c:v>
                </c:pt>
                <c:pt idx="204">
                  <c:v>0.59419879643746654</c:v>
                </c:pt>
                <c:pt idx="205">
                  <c:v>0.59897805396662984</c:v>
                </c:pt>
                <c:pt idx="206">
                  <c:v>0.60366234644213723</c:v>
                </c:pt>
                <c:pt idx="207">
                  <c:v>0.60825093119222773</c:v>
                </c:pt>
                <c:pt idx="208">
                  <c:v>0.61274308071913364</c:v>
                </c:pt>
                <c:pt idx="209">
                  <c:v>0.61713808281442262</c:v>
                </c:pt>
                <c:pt idx="210">
                  <c:v>0.62143524067191469</c:v>
                </c:pt>
                <c:pt idx="211">
                  <c:v>0.62563387299815676</c:v>
                </c:pt>
                <c:pt idx="212">
                  <c:v>0.62973331412043954</c:v>
                </c:pt>
                <c:pt idx="213">
                  <c:v>0.63373291409233579</c:v>
                </c:pt>
                <c:pt idx="214">
                  <c:v>0.63763203879674646</c:v>
                </c:pt>
                <c:pt idx="215">
                  <c:v>0.64143007004643704</c:v>
                </c:pt>
                <c:pt idx="216">
                  <c:v>0.64512640568204793</c:v>
                </c:pt>
                <c:pt idx="217">
                  <c:v>0.64872045966756375</c:v>
                </c:pt>
                <c:pt idx="218">
                  <c:v>0.65221166218322679</c:v>
                </c:pt>
                <c:pt idx="219">
                  <c:v>0.65559945971587941</c:v>
                </c:pt>
                <c:pt idx="220">
                  <c:v>0.65888331514671961</c:v>
                </c:pt>
                <c:pt idx="221">
                  <c:v>0.66206270783646026</c:v>
                </c:pt>
                <c:pt idx="222">
                  <c:v>0.66513713370787286</c:v>
                </c:pt>
                <c:pt idx="223">
                  <c:v>0.66810610532570669</c:v>
                </c:pt>
                <c:pt idx="224">
                  <c:v>0.67096915197396967</c:v>
                </c:pt>
                <c:pt idx="225">
                  <c:v>0.67372581973055778</c:v>
                </c:pt>
                <c:pt idx="226">
                  <c:v>0.67637567153922185</c:v>
                </c:pt>
                <c:pt idx="227">
                  <c:v>0.67891828727886161</c:v>
                </c:pt>
                <c:pt idx="228">
                  <c:v>0.68135326383013317</c:v>
                </c:pt>
                <c:pt idx="229">
                  <c:v>0.68368021513936161</c:v>
                </c:pt>
                <c:pt idx="230">
                  <c:v>0.68589877227974827</c:v>
                </c:pt>
                <c:pt idx="231">
                  <c:v>0.68800858350986227</c:v>
                </c:pt>
                <c:pt idx="232">
                  <c:v>0.69000931432940693</c:v>
                </c:pt>
                <c:pt idx="233">
                  <c:v>0.69190064753225344</c:v>
                </c:pt>
                <c:pt idx="234">
                  <c:v>0.69368228325673309</c:v>
                </c:pt>
                <c:pt idx="235">
                  <c:v>0.69535393903317722</c:v>
                </c:pt>
                <c:pt idx="236">
                  <c:v>0.69691534982870285</c:v>
                </c:pt>
                <c:pt idx="237">
                  <c:v>0.69836626808923197</c:v>
                </c:pt>
                <c:pt idx="238">
                  <c:v>0.69970646377873991</c:v>
                </c:pt>
                <c:pt idx="239">
                  <c:v>0.70093572441572605</c:v>
                </c:pt>
                <c:pt idx="240">
                  <c:v>0.70205385510690277</c:v>
                </c:pt>
                <c:pt idx="241">
                  <c:v>0.70306067857809362</c:v>
                </c:pt>
                <c:pt idx="242">
                  <c:v>0.70395603520234018</c:v>
                </c:pt>
                <c:pt idx="243">
                  <c:v>0.70473978302520979</c:v>
                </c:pt>
                <c:pt idx="244">
                  <c:v>0.70541179778730156</c:v>
                </c:pt>
                <c:pt idx="245">
                  <c:v>0.70597197294394753</c:v>
                </c:pt>
                <c:pt idx="246">
                  <c:v>0.70642021968210444</c:v>
                </c:pt>
                <c:pt idx="247">
                  <c:v>0.70675646693443472</c:v>
                </c:pt>
                <c:pt idx="248">
                  <c:v>0.70698066139057403</c:v>
                </c:pt>
                <c:pt idx="249">
                  <c:v>0.70709276750558292</c:v>
                </c:pt>
                <c:pt idx="250">
                  <c:v>0.70709276750558281</c:v>
                </c:pt>
                <c:pt idx="251">
                  <c:v>0.70698066139057381</c:v>
                </c:pt>
                <c:pt idx="252">
                  <c:v>0.70675646693443439</c:v>
                </c:pt>
                <c:pt idx="253">
                  <c:v>0.70642021968210389</c:v>
                </c:pt>
                <c:pt idx="254">
                  <c:v>0.70597197294394687</c:v>
                </c:pt>
                <c:pt idx="255">
                  <c:v>0.70541179778730068</c:v>
                </c:pt>
                <c:pt idx="256">
                  <c:v>0.70473978302520879</c:v>
                </c:pt>
                <c:pt idx="257">
                  <c:v>0.70395603520233907</c:v>
                </c:pt>
                <c:pt idx="258">
                  <c:v>0.70306067857809229</c:v>
                </c:pt>
                <c:pt idx="259">
                  <c:v>0.70205385510690133</c:v>
                </c:pt>
                <c:pt idx="260">
                  <c:v>0.70093572441572449</c:v>
                </c:pt>
                <c:pt idx="261">
                  <c:v>0.69970646377873802</c:v>
                </c:pt>
                <c:pt idx="262">
                  <c:v>0.69836626808923008</c:v>
                </c:pt>
                <c:pt idx="263">
                  <c:v>0.69691534982870074</c:v>
                </c:pt>
                <c:pt idx="264">
                  <c:v>0.69535393903317488</c:v>
                </c:pt>
                <c:pt idx="265">
                  <c:v>0.69368228325673065</c:v>
                </c:pt>
                <c:pt idx="266">
                  <c:v>0.691900647532251</c:v>
                </c:pt>
                <c:pt idx="267">
                  <c:v>0.69000931432940427</c:v>
                </c:pt>
                <c:pt idx="268">
                  <c:v>0.68800858350985949</c:v>
                </c:pt>
                <c:pt idx="269">
                  <c:v>0.68589877227974538</c:v>
                </c:pt>
                <c:pt idx="270">
                  <c:v>0.6836802151393585</c:v>
                </c:pt>
                <c:pt idx="271">
                  <c:v>0.68135326383012984</c:v>
                </c:pt>
                <c:pt idx="272">
                  <c:v>0.67891828727885828</c:v>
                </c:pt>
                <c:pt idx="273">
                  <c:v>0.67637567153921829</c:v>
                </c:pt>
                <c:pt idx="274">
                  <c:v>0.67372581973055401</c:v>
                </c:pt>
                <c:pt idx="275">
                  <c:v>0.67096915197396589</c:v>
                </c:pt>
                <c:pt idx="276">
                  <c:v>0.66810610532570269</c:v>
                </c:pt>
                <c:pt idx="277">
                  <c:v>0.66513713370786864</c:v>
                </c:pt>
                <c:pt idx="278">
                  <c:v>0.66206270783645604</c:v>
                </c:pt>
                <c:pt idx="279">
                  <c:v>0.65888331514671516</c:v>
                </c:pt>
                <c:pt idx="280">
                  <c:v>0.65559945971587474</c:v>
                </c:pt>
                <c:pt idx="281">
                  <c:v>0.65221166218322224</c:v>
                </c:pt>
                <c:pt idx="282">
                  <c:v>0.64872045966755887</c:v>
                </c:pt>
                <c:pt idx="283">
                  <c:v>0.64512640568204294</c:v>
                </c:pt>
                <c:pt idx="284">
                  <c:v>0.64143007004643204</c:v>
                </c:pt>
                <c:pt idx="285">
                  <c:v>0.63763203879674124</c:v>
                </c:pt>
                <c:pt idx="286">
                  <c:v>0.63373291409233035</c:v>
                </c:pt>
                <c:pt idx="287">
                  <c:v>0.6297333141204341</c:v>
                </c:pt>
                <c:pt idx="288">
                  <c:v>0.6256338729981511</c:v>
                </c:pt>
                <c:pt idx="289">
                  <c:v>0.62143524067190881</c:v>
                </c:pt>
                <c:pt idx="290">
                  <c:v>0.61713808281441673</c:v>
                </c:pt>
                <c:pt idx="291">
                  <c:v>0.61274308071912753</c:v>
                </c:pt>
                <c:pt idx="292">
                  <c:v>0.60825093119222151</c:v>
                </c:pt>
                <c:pt idx="293">
                  <c:v>0.60366234644213101</c:v>
                </c:pt>
                <c:pt idx="294">
                  <c:v>0.59897805396662329</c:v>
                </c:pt>
                <c:pt idx="295">
                  <c:v>0.59419879643745988</c:v>
                </c:pt>
                <c:pt idx="296">
                  <c:v>0.58932533158264866</c:v>
                </c:pt>
                <c:pt idx="297">
                  <c:v>0.58435843206631033</c:v>
                </c:pt>
                <c:pt idx="298">
                  <c:v>0.57929888536617635</c:v>
                </c:pt>
                <c:pt idx="299">
                  <c:v>0.57414749364873796</c:v>
                </c:pt>
                <c:pt idx="300">
                  <c:v>0.56890507364206633</c:v>
                </c:pt>
                <c:pt idx="301">
                  <c:v>0.56357245650632526</c:v>
                </c:pt>
                <c:pt idx="302">
                  <c:v>0.55815048770199349</c:v>
                </c:pt>
                <c:pt idx="303">
                  <c:v>0.55264002685582203</c:v>
                </c:pt>
                <c:pt idx="304">
                  <c:v>0.54704194762454417</c:v>
                </c:pt>
                <c:pt idx="305">
                  <c:v>0.54135713755636161</c:v>
                </c:pt>
                <c:pt idx="306">
                  <c:v>0.53558649795022728</c:v>
                </c:pt>
                <c:pt idx="307">
                  <c:v>0.52973094371295049</c:v>
                </c:pt>
                <c:pt idx="308">
                  <c:v>0.52379140321414086</c:v>
                </c:pt>
                <c:pt idx="309">
                  <c:v>0.51776881813902087</c:v>
                </c:pt>
                <c:pt idx="310">
                  <c:v>0.51166414333912702</c:v>
                </c:pt>
                <c:pt idx="311">
                  <c:v>0.50547834668092084</c:v>
                </c:pt>
                <c:pt idx="312">
                  <c:v>0.49921240889234003</c:v>
                </c:pt>
                <c:pt idx="313">
                  <c:v>0.49286732340730854</c:v>
                </c:pt>
                <c:pt idx="314">
                  <c:v>0.48644409620823142</c:v>
                </c:pt>
                <c:pt idx="315">
                  <c:v>0.47994374566650233</c:v>
                </c:pt>
                <c:pt idx="316">
                  <c:v>0.47336730238104574</c:v>
                </c:pt>
                <c:pt idx="317">
                  <c:v>0.4667158090149196</c:v>
                </c:pt>
                <c:pt idx="318">
                  <c:v>0.45999032013000657</c:v>
                </c:pt>
                <c:pt idx="319">
                  <c:v>0.45319190201981874</c:v>
                </c:pt>
                <c:pt idx="320">
                  <c:v>0.44632163254044177</c:v>
                </c:pt>
                <c:pt idx="321">
                  <c:v>0.43938060093964654</c:v>
                </c:pt>
                <c:pt idx="322">
                  <c:v>0.43236990768419215</c:v>
                </c:pt>
                <c:pt idx="323">
                  <c:v>0.42529066428535522</c:v>
                </c:pt>
                <c:pt idx="324">
                  <c:v>0.41814399312270384</c:v>
                </c:pt>
                <c:pt idx="325">
                  <c:v>0.41093102726614816</c:v>
                </c:pt>
                <c:pt idx="326">
                  <c:v>0.4036529102963009</c:v>
                </c:pt>
                <c:pt idx="327">
                  <c:v>0.39631079612316639</c:v>
                </c:pt>
                <c:pt idx="328">
                  <c:v>0.38890584880319229</c:v>
                </c:pt>
                <c:pt idx="329">
                  <c:v>0.38143924235471754</c:v>
                </c:pt>
                <c:pt idx="330">
                  <c:v>0.37391216057183529</c:v>
                </c:pt>
                <c:pt idx="331">
                  <c:v>0.36632579683670707</c:v>
                </c:pt>
                <c:pt idx="332">
                  <c:v>0.35868135393036099</c:v>
                </c:pt>
                <c:pt idx="333">
                  <c:v>0.35098004384199466</c:v>
                </c:pt>
                <c:pt idx="334">
                  <c:v>0.34322308757681907</c:v>
                </c:pt>
                <c:pt idx="335">
                  <c:v>0.33541171496247707</c:v>
                </c:pt>
                <c:pt idx="336">
                  <c:v>0.32754716445405874</c:v>
                </c:pt>
                <c:pt idx="337">
                  <c:v>0.31963068293774866</c:v>
                </c:pt>
                <c:pt idx="338">
                  <c:v>0.31166352553314147</c:v>
                </c:pt>
                <c:pt idx="339">
                  <c:v>0.30364695539424708</c:v>
                </c:pt>
                <c:pt idx="340">
                  <c:v>0.2955822435092223</c:v>
                </c:pt>
                <c:pt idx="341">
                  <c:v>0.28747066849886477</c:v>
                </c:pt>
                <c:pt idx="342">
                  <c:v>0.27931351641389263</c:v>
                </c:pt>
                <c:pt idx="343">
                  <c:v>0.27111208053104563</c:v>
                </c:pt>
                <c:pt idx="344">
                  <c:v>0.26286766114804544</c:v>
                </c:pt>
                <c:pt idx="345">
                  <c:v>0.2545815653774387</c:v>
                </c:pt>
                <c:pt idx="346">
                  <c:v>0.24625510693935837</c:v>
                </c:pt>
                <c:pt idx="347">
                  <c:v>0.23788960595324365</c:v>
                </c:pt>
                <c:pt idx="348">
                  <c:v>0.22948638872853969</c:v>
                </c:pt>
                <c:pt idx="349">
                  <c:v>0.22104678755441567</c:v>
                </c:pt>
                <c:pt idx="350">
                  <c:v>0.21257214048854059</c:v>
                </c:pt>
                <c:pt idx="351">
                  <c:v>0.204063791144939</c:v>
                </c:pt>
                <c:pt idx="352">
                  <c:v>0.19552308848096561</c:v>
                </c:pt>
                <c:pt idx="353">
                  <c:v>0.18695138658343835</c:v>
                </c:pt>
                <c:pt idx="354">
                  <c:v>0.17835004445395269</c:v>
                </c:pt>
                <c:pt idx="355">
                  <c:v>0.16972042579341667</c:v>
                </c:pt>
                <c:pt idx="356">
                  <c:v>0.16106389878584654</c:v>
                </c:pt>
                <c:pt idx="357">
                  <c:v>0.15238183588144588</c:v>
                </c:pt>
                <c:pt idx="358">
                  <c:v>0.14367561357900852</c:v>
                </c:pt>
                <c:pt idx="359">
                  <c:v>0.13494661220768503</c:v>
                </c:pt>
                <c:pt idx="360">
                  <c:v>0.12619621570813652</c:v>
                </c:pt>
                <c:pt idx="361">
                  <c:v>0.11742581141311553</c:v>
                </c:pt>
                <c:pt idx="362">
                  <c:v>0.10863678982751505</c:v>
                </c:pt>
                <c:pt idx="363">
                  <c:v>9.9830544407908853E-2</c:v>
                </c:pt>
                <c:pt idx="364">
                  <c:v>9.100847134162382E-2</c:v>
                </c:pt>
                <c:pt idx="365">
                  <c:v>8.2171969325385022E-2</c:v>
                </c:pt>
                <c:pt idx="366">
                  <c:v>7.3322439343557255E-2</c:v>
                </c:pt>
                <c:pt idx="367">
                  <c:v>6.4461284446023975E-2</c:v>
                </c:pt>
                <c:pt idx="368">
                  <c:v>5.5589909525744281E-2</c:v>
                </c:pt>
                <c:pt idx="369">
                  <c:v>4.6709721096012118E-2</c:v>
                </c:pt>
                <c:pt idx="370">
                  <c:v>3.7822127067458529E-2</c:v>
                </c:pt>
                <c:pt idx="371">
                  <c:v>2.8928536524838112E-2</c:v>
                </c:pt>
                <c:pt idx="372">
                  <c:v>2.0030359503623529E-2</c:v>
                </c:pt>
                <c:pt idx="373">
                  <c:v>1.1129006766449427E-2</c:v>
                </c:pt>
                <c:pt idx="374">
                  <c:v>2.2258895794466309E-3</c:v>
                </c:pt>
                <c:pt idx="375">
                  <c:v>-6.6775805115091022E-3</c:v>
                </c:pt>
                <c:pt idx="376">
                  <c:v>-1.5579991904592699E-2</c:v>
                </c:pt>
                <c:pt idx="377">
                  <c:v>-2.4479933165828593E-2</c:v>
                </c:pt>
                <c:pt idx="378">
                  <c:v>-3.3375993252868601E-2</c:v>
                </c:pt>
                <c:pt idx="379">
                  <c:v>-4.2266761738707671E-2</c:v>
                </c:pt>
                <c:pt idx="380">
                  <c:v>-5.1150829035296504E-2</c:v>
                </c:pt>
                <c:pt idx="381">
                  <c:v>-6.0026786617026692E-2</c:v>
                </c:pt>
                <c:pt idx="382">
                  <c:v>-6.889322724404752E-2</c:v>
                </c:pt>
                <c:pt idx="383">
                  <c:v>-7.7748745185373225E-2</c:v>
                </c:pt>
                <c:pt idx="384">
                  <c:v>-8.6591936441756653E-2</c:v>
                </c:pt>
                <c:pt idx="385">
                  <c:v>-9.542139896828844E-2</c:v>
                </c:pt>
                <c:pt idx="386">
                  <c:v>-0.10423573289668055</c:v>
                </c:pt>
                <c:pt idx="387">
                  <c:v>-0.11303354075721118</c:v>
                </c:pt>
                <c:pt idx="388">
                  <c:v>-0.12181342770028548</c:v>
                </c:pt>
                <c:pt idx="389">
                  <c:v>-0.13057400171758465</c:v>
                </c:pt>
                <c:pt idx="390">
                  <c:v>-0.13931387386275837</c:v>
                </c:pt>
                <c:pt idx="391">
                  <c:v>-0.14803165847163732</c:v>
                </c:pt>
                <c:pt idx="392">
                  <c:v>-0.1567259733819254</c:v>
                </c:pt>
                <c:pt idx="393">
                  <c:v>-0.16539544015233101</c:v>
                </c:pt>
                <c:pt idx="394">
                  <c:v>-0.17403868428111424</c:v>
                </c:pt>
                <c:pt idx="395">
                  <c:v>-0.18265433542400902</c:v>
                </c:pt>
                <c:pt idx="396">
                  <c:v>-0.19124102761148101</c:v>
                </c:pt>
                <c:pt idx="397">
                  <c:v>-0.19979739946529743</c:v>
                </c:pt>
                <c:pt idx="398">
                  <c:v>-0.20832209441436825</c:v>
                </c:pt>
                <c:pt idx="399">
                  <c:v>-0.21681376090982088</c:v>
                </c:pt>
                <c:pt idx="400">
                  <c:v>-0.22527105263928315</c:v>
                </c:pt>
                <c:pt idx="401">
                  <c:v>-0.23369262874033636</c:v>
                </c:pt>
                <c:pt idx="402">
                  <c:v>-0.24207715401309907</c:v>
                </c:pt>
                <c:pt idx="403">
                  <c:v>-0.25042329913191819</c:v>
                </c:pt>
                <c:pt idx="404">
                  <c:v>-0.25872974085612899</c:v>
                </c:pt>
                <c:pt idx="405">
                  <c:v>-0.26699516223984465</c:v>
                </c:pt>
                <c:pt idx="406">
                  <c:v>-0.27521825284075391</c:v>
                </c:pt>
                <c:pt idx="407">
                  <c:v>-0.28339770892788652</c:v>
                </c:pt>
                <c:pt idx="408">
                  <c:v>-0.29153223368831005</c:v>
                </c:pt>
                <c:pt idx="409">
                  <c:v>-0.29962053743273548</c:v>
                </c:pt>
                <c:pt idx="410">
                  <c:v>-0.30766133779999216</c:v>
                </c:pt>
                <c:pt idx="411">
                  <c:v>-0.315653359960337</c:v>
                </c:pt>
                <c:pt idx="412">
                  <c:v>-0.32359533681757419</c:v>
                </c:pt>
                <c:pt idx="413">
                  <c:v>-0.33148600920994858</c:v>
                </c:pt>
                <c:pt idx="414">
                  <c:v>-0.33932412610977641</c:v>
                </c:pt>
                <c:pt idx="415">
                  <c:v>-0.34710844482179143</c:v>
                </c:pt>
                <c:pt idx="416">
                  <c:v>-0.35483773118016965</c:v>
                </c:pt>
                <c:pt idx="417">
                  <c:v>-0.36251075974419711</c:v>
                </c:pt>
                <c:pt idx="418">
                  <c:v>-0.3701263139925593</c:v>
                </c:pt>
                <c:pt idx="419">
                  <c:v>-0.37768318651621613</c:v>
                </c:pt>
                <c:pt idx="420">
                  <c:v>-0.38518017920982767</c:v>
                </c:pt>
                <c:pt idx="421">
                  <c:v>-0.39261610346170928</c:v>
                </c:pt>
                <c:pt idx="422">
                  <c:v>-0.39998978034228205</c:v>
                </c:pt>
                <c:pt idx="423">
                  <c:v>-0.4073000407909832</c:v>
                </c:pt>
                <c:pt idx="424">
                  <c:v>-0.41454572580161625</c:v>
                </c:pt>
                <c:pt idx="425">
                  <c:v>-0.42172568660610765</c:v>
                </c:pt>
                <c:pt idx="426">
                  <c:v>-0.42883878485663507</c:v>
                </c:pt>
                <c:pt idx="427">
                  <c:v>-0.43588389280610845</c:v>
                </c:pt>
                <c:pt idx="428">
                  <c:v>-0.44285989348697052</c:v>
                </c:pt>
                <c:pt idx="429">
                  <c:v>-0.44976568088828345</c:v>
                </c:pt>
                <c:pt idx="430">
                  <c:v>-0.45660016013108262</c:v>
                </c:pt>
                <c:pt idx="431">
                  <c:v>-0.46336224764196676</c:v>
                </c:pt>
                <c:pt idx="432">
                  <c:v>-0.47005087132488926</c:v>
                </c:pt>
                <c:pt idx="433">
                  <c:v>-0.47666497073113573</c:v>
                </c:pt>
                <c:pt idx="434">
                  <c:v>-0.48320349722745459</c:v>
                </c:pt>
                <c:pt idx="435">
                  <c:v>-0.48966541416230952</c:v>
                </c:pt>
                <c:pt idx="436">
                  <c:v>-0.49604969703023716</c:v>
                </c:pt>
                <c:pt idx="437">
                  <c:v>-0.50235533363427887</c:v>
                </c:pt>
                <c:pt idx="438">
                  <c:v>-0.50858132424645663</c:v>
                </c:pt>
                <c:pt idx="439">
                  <c:v>-0.51472668176627667</c:v>
                </c:pt>
                <c:pt idx="440">
                  <c:v>-0.52079043187723095</c:v>
                </c:pt>
                <c:pt idx="441">
                  <c:v>-0.52677161320126686</c:v>
                </c:pt>
                <c:pt idx="442">
                  <c:v>-0.5326692774512114</c:v>
                </c:pt>
                <c:pt idx="443">
                  <c:v>-0.53848248958111788</c:v>
                </c:pt>
                <c:pt idx="444">
                  <c:v>-0.54421032793451096</c:v>
                </c:pt>
                <c:pt idx="445">
                  <c:v>-0.54985188439051169</c:v>
                </c:pt>
                <c:pt idx="446">
                  <c:v>-0.55540626450781705</c:v>
                </c:pt>
                <c:pt idx="447">
                  <c:v>-0.56087258766650683</c:v>
                </c:pt>
                <c:pt idx="448">
                  <c:v>-0.56624998720766284</c:v>
                </c:pt>
                <c:pt idx="449">
                  <c:v>-0.57153761057077446</c:v>
                </c:pt>
                <c:pt idx="450">
                  <c:v>-0.57673461942890591</c:v>
                </c:pt>
                <c:pt idx="451">
                  <c:v>-0.58184018982160979</c:v>
                </c:pt>
                <c:pt idx="452">
                  <c:v>-0.58685351228556337</c:v>
                </c:pt>
                <c:pt idx="453">
                  <c:v>-0.59177379198290259</c:v>
                </c:pt>
                <c:pt idx="454">
                  <c:v>-0.59660024882724116</c:v>
                </c:pt>
                <c:pt idx="455">
                  <c:v>-0.60133211760734995</c:v>
                </c:pt>
                <c:pt idx="456">
                  <c:v>-0.60596864810847617</c:v>
                </c:pt>
                <c:pt idx="457">
                  <c:v>-0.61050910523128654</c:v>
                </c:pt>
                <c:pt idx="458">
                  <c:v>-0.61495276910841534</c:v>
                </c:pt>
                <c:pt idx="459">
                  <c:v>-0.61929893521859336</c:v>
                </c:pt>
                <c:pt idx="460">
                  <c:v>-0.62354691449834798</c:v>
                </c:pt>
                <c:pt idx="461">
                  <c:v>-0.62769603345125102</c:v>
                </c:pt>
                <c:pt idx="462">
                  <c:v>-0.63174563425469676</c:v>
                </c:pt>
                <c:pt idx="463">
                  <c:v>-0.63569507486419763</c:v>
                </c:pt>
                <c:pt idx="464">
                  <c:v>-0.63954372911517787</c:v>
                </c:pt>
                <c:pt idx="465">
                  <c:v>-0.64329098682224728</c:v>
                </c:pt>
                <c:pt idx="466">
                  <c:v>-0.64693625387594378</c:v>
                </c:pt>
                <c:pt idx="467">
                  <c:v>-0.65047895233692776</c:v>
                </c:pt>
                <c:pt idx="468">
                  <c:v>-0.65391852052760935</c:v>
                </c:pt>
                <c:pt idx="469">
                  <c:v>-0.65725441312120148</c:v>
                </c:pt>
                <c:pt idx="470">
                  <c:v>-0.66048610122817819</c:v>
                </c:pt>
                <c:pt idx="471">
                  <c:v>-0.66361307248012702</c:v>
                </c:pt>
                <c:pt idx="472">
                  <c:v>-0.66663483111098298</c:v>
                </c:pt>
                <c:pt idx="473">
                  <c:v>-0.6695508980356305</c:v>
                </c:pt>
                <c:pt idx="474">
                  <c:v>-0.67236081092585853</c:v>
                </c:pt>
                <c:pt idx="475">
                  <c:v>-0.67506412428366136</c:v>
                </c:pt>
                <c:pt idx="476">
                  <c:v>-0.67766040951187068</c:v>
                </c:pt>
                <c:pt idx="477">
                  <c:v>-0.68014925498210621</c:v>
                </c:pt>
                <c:pt idx="478">
                  <c:v>-0.68253026610003842</c:v>
                </c:pt>
                <c:pt idx="479">
                  <c:v>-0.68480306536794944</c:v>
                </c:pt>
                <c:pt idx="480">
                  <c:v>-0.68696729244458277</c:v>
                </c:pt>
                <c:pt idx="481">
                  <c:v>-0.68902260420227435</c:v>
                </c:pt>
                <c:pt idx="482">
                  <c:v>-0.69096867478135393</c:v>
                </c:pt>
                <c:pt idx="483">
                  <c:v>-0.69280519564180754</c:v>
                </c:pt>
                <c:pt idx="484">
                  <c:v>-0.69453187561219598</c:v>
                </c:pt>
                <c:pt idx="485">
                  <c:v>-0.69614844093581829</c:v>
                </c:pt>
                <c:pt idx="486">
                  <c:v>-0.69765463531411454</c:v>
                </c:pt>
                <c:pt idx="487">
                  <c:v>-0.69905021994730043</c:v>
                </c:pt>
                <c:pt idx="488">
                  <c:v>-0.70033497357222863</c:v>
                </c:pt>
                <c:pt idx="489">
                  <c:v>-0.70150869249746806</c:v>
                </c:pt>
                <c:pt idx="490">
                  <c:v>-0.7025711906355987</c:v>
                </c:pt>
                <c:pt idx="491">
                  <c:v>-0.70352229953271461</c:v>
                </c:pt>
                <c:pt idx="492">
                  <c:v>-0.70436186839513193</c:v>
                </c:pt>
                <c:pt idx="493">
                  <c:v>-0.7050897641132956</c:v>
                </c:pt>
                <c:pt idx="494">
                  <c:v>-0.70570587128288442</c:v>
                </c:pt>
                <c:pt idx="495">
                  <c:v>-0.70621009222310671</c:v>
                </c:pt>
                <c:pt idx="496">
                  <c:v>-0.70660234699218771</c:v>
                </c:pt>
                <c:pt idx="497">
                  <c:v>-0.70688257340004401</c:v>
                </c:pt>
                <c:pt idx="498">
                  <c:v>-0.7070507270181432</c:v>
                </c:pt>
                <c:pt idx="499">
                  <c:v>-0.70710678118654802</c:v>
                </c:pt>
              </c:numCache>
            </c:numRef>
          </c:xVal>
          <c:yVal>
            <c:numRef>
              <c:f>XLSTAT_20211004_124611_1_HID!ycircle126696521</c:f>
              <c:numCache>
                <c:formatCode>General</c:formatCode>
                <c:ptCount val="500"/>
                <c:pt idx="0">
                  <c:v>-2.2847605201998973E-15</c:v>
                </c:pt>
                <c:pt idx="1">
                  <c:v>-8.9033377514293362E-3</c:v>
                </c:pt>
                <c:pt idx="2">
                  <c:v>-1.7805263922012159E-2</c:v>
                </c:pt>
                <c:pt idx="3">
                  <c:v>-2.6704367154704853E-2</c:v>
                </c:pt>
                <c:pt idx="4">
                  <c:v>-3.5599236540025517E-2</c:v>
                </c:pt>
                <c:pt idx="5">
                  <c:v>-4.4488461839748118E-2</c:v>
                </c:pt>
                <c:pt idx="6">
                  <c:v>-5.3370633710488002E-2</c:v>
                </c:pt>
                <c:pt idx="7">
                  <c:v>-6.2244343927148241E-2</c:v>
                </c:pt>
                <c:pt idx="8">
                  <c:v>-7.1108185606185967E-2</c:v>
                </c:pt>
                <c:pt idx="9">
                  <c:v>-7.9960753428665973E-2</c:v>
                </c:pt>
                <c:pt idx="10">
                  <c:v>-8.8800643863069004E-2</c:v>
                </c:pt>
                <c:pt idx="11">
                  <c:v>-9.7626455387814018E-2</c:v>
                </c:pt>
                <c:pt idx="12">
                  <c:v>-0.10643678871346153</c:v>
                </c:pt>
                <c:pt idx="13">
                  <c:v>-0.11523024700456615</c:v>
                </c:pt>
                <c:pt idx="14">
                  <c:v>-0.12400543610113698</c:v>
                </c:pt>
                <c:pt idx="15">
                  <c:v>-0.13276096473967405</c:v>
                </c:pt>
                <c:pt idx="16">
                  <c:v>-0.14149544477374826</c:v>
                </c:pt>
                <c:pt idx="17">
                  <c:v>-0.1502074913940841</c:v>
                </c:pt>
                <c:pt idx="18">
                  <c:v>-0.15889572334811378</c:v>
                </c:pt>
                <c:pt idx="19">
                  <c:v>-0.16755876315896975</c:v>
                </c:pt>
                <c:pt idx="20">
                  <c:v>-0.1761952373438761</c:v>
                </c:pt>
                <c:pt idx="21">
                  <c:v>-0.18480377663190661</c:v>
                </c:pt>
                <c:pt idx="22">
                  <c:v>-0.19338301618107784</c:v>
                </c:pt>
                <c:pt idx="23">
                  <c:v>-0.2019315957947373</c:v>
                </c:pt>
                <c:pt idx="24">
                  <c:v>-0.21044816013721507</c:v>
                </c:pt>
                <c:pt idx="25">
                  <c:v>-0.21893135894870738</c:v>
                </c:pt>
                <c:pt idx="26">
                  <c:v>-0.22737984725935309</c:v>
                </c:pt>
                <c:pt idx="27">
                  <c:v>-0.23579228560247087</c:v>
                </c:pt>
                <c:pt idx="28">
                  <c:v>-0.24416734022692721</c:v>
                </c:pt>
                <c:pt idx="29">
                  <c:v>-0.25250368330859507</c:v>
                </c:pt>
                <c:pt idx="30">
                  <c:v>-0.26079999316087321</c:v>
                </c:pt>
                <c:pt idx="31">
                  <c:v>-0.26905495444423472</c:v>
                </c:pt>
                <c:pt idx="32">
                  <c:v>-0.27726725837476707</c:v>
                </c:pt>
                <c:pt idx="33">
                  <c:v>-0.28543560293167236</c:v>
                </c:pt>
                <c:pt idx="34">
                  <c:v>-0.29355869306369808</c:v>
                </c:pt>
                <c:pt idx="35">
                  <c:v>-0.30163524089446064</c:v>
                </c:pt>
                <c:pt idx="36">
                  <c:v>-0.30966396592663065</c:v>
                </c:pt>
                <c:pt idx="37">
                  <c:v>-0.31764359524495145</c:v>
                </c:pt>
                <c:pt idx="38">
                  <c:v>-0.32557286371805272</c:v>
                </c:pt>
                <c:pt idx="39">
                  <c:v>-0.3334505141990301</c:v>
                </c:pt>
                <c:pt idx="40">
                  <c:v>-0.34127529772476128</c:v>
                </c:pt>
                <c:pt idx="41">
                  <c:v>-0.34904597371392243</c:v>
                </c:pt>
                <c:pt idx="42">
                  <c:v>-0.35676131016367513</c:v>
                </c:pt>
                <c:pt idx="43">
                  <c:v>-0.36442008384499641</c:v>
                </c:pt>
                <c:pt idx="44">
                  <c:v>-0.37202108049661475</c:v>
                </c:pt>
                <c:pt idx="45">
                  <c:v>-0.3795630950175245</c:v>
                </c:pt>
                <c:pt idx="46">
                  <c:v>-0.38704493165805037</c:v>
                </c:pt>
                <c:pt idx="47">
                  <c:v>-0.39446540420942727</c:v>
                </c:pt>
                <c:pt idx="48">
                  <c:v>-0.40182333619186639</c:v>
                </c:pt>
                <c:pt idx="49">
                  <c:v>-0.40911756104108266</c:v>
                </c:pt>
                <c:pt idx="50">
                  <c:v>-0.41634692229324655</c:v>
                </c:pt>
                <c:pt idx="51">
                  <c:v>-0.4235102737683355</c:v>
                </c:pt>
                <c:pt idx="52">
                  <c:v>-0.43060647975185612</c:v>
                </c:pt>
                <c:pt idx="53">
                  <c:v>-0.43763441517490587</c:v>
                </c:pt>
                <c:pt idx="54">
                  <c:v>-0.44459296579254637</c:v>
                </c:pt>
                <c:pt idx="55">
                  <c:v>-0.45148102836046305</c:v>
                </c:pt>
                <c:pt idx="56">
                  <c:v>-0.45829751080987829</c:v>
                </c:pt>
                <c:pt idx="57">
                  <c:v>-0.4650413324206929</c:v>
                </c:pt>
                <c:pt idx="58">
                  <c:v>-0.47171142399283078</c:v>
                </c:pt>
                <c:pt idx="59">
                  <c:v>-0.47830672801575413</c:v>
                </c:pt>
                <c:pt idx="60">
                  <c:v>-0.48482619883612643</c:v>
                </c:pt>
                <c:pt idx="61">
                  <c:v>-0.4912688028235967</c:v>
                </c:pt>
                <c:pt idx="62">
                  <c:v>-0.49763351853467608</c:v>
                </c:pt>
                <c:pt idx="63">
                  <c:v>-0.50391933687468182</c:v>
                </c:pt>
                <c:pt idx="64">
                  <c:v>-0.51012526125772606</c:v>
                </c:pt>
                <c:pt idx="65">
                  <c:v>-0.51625030776471847</c:v>
                </c:pt>
                <c:pt idx="66">
                  <c:v>-0.52229350529936192</c:v>
                </c:pt>
                <c:pt idx="67">
                  <c:v>-0.52825389574211545</c:v>
                </c:pt>
                <c:pt idx="68">
                  <c:v>-0.53413053410209932</c:v>
                </c:pt>
                <c:pt idx="69">
                  <c:v>-0.5399224886669185</c:v>
                </c:pt>
                <c:pt idx="70">
                  <c:v>-0.54562884115038124</c:v>
                </c:pt>
                <c:pt idx="71">
                  <c:v>-0.5512486868380897</c:v>
                </c:pt>
                <c:pt idx="72">
                  <c:v>-0.55678113473087598</c:v>
                </c:pt>
                <c:pt idx="73">
                  <c:v>-0.56222530768606793</c:v>
                </c:pt>
                <c:pt idx="74">
                  <c:v>-0.56758034255655476</c:v>
                </c:pt>
                <c:pt idx="75">
                  <c:v>-0.57284539032763448</c:v>
                </c:pt>
                <c:pt idx="76">
                  <c:v>-0.5780196162516219</c:v>
                </c:pt>
                <c:pt idx="77">
                  <c:v>-0.58310219998019364</c:v>
                </c:pt>
                <c:pt idx="78">
                  <c:v>-0.5880923356944493</c:v>
                </c:pt>
                <c:pt idx="79">
                  <c:v>-0.59298923223267186</c:v>
                </c:pt>
                <c:pt idx="80">
                  <c:v>-0.59779211321576131</c:v>
                </c:pt>
                <c:pt idx="81">
                  <c:v>-0.60250021717032576</c:v>
                </c:pt>
                <c:pt idx="82">
                  <c:v>-0.60711279764940995</c:v>
                </c:pt>
                <c:pt idx="83">
                  <c:v>-0.61162912335084063</c:v>
                </c:pt>
                <c:pt idx="84">
                  <c:v>-0.61604847823317066</c:v>
                </c:pt>
                <c:pt idx="85">
                  <c:v>-0.62037016162920389</c:v>
                </c:pt>
                <c:pt idx="86">
                  <c:v>-0.62459348835708306</c:v>
                </c:pt>
                <c:pt idx="87">
                  <c:v>-0.62871778882892149</c:v>
                </c:pt>
                <c:pt idx="88">
                  <c:v>-0.632742409156963</c:v>
                </c:pt>
                <c:pt idx="89">
                  <c:v>-0.63666671125725327</c:v>
                </c:pt>
                <c:pt idx="90">
                  <c:v>-0.64049007295080373</c:v>
                </c:pt>
                <c:pt idx="91">
                  <c:v>-0.64421188806223673</c:v>
                </c:pt>
                <c:pt idx="92">
                  <c:v>-0.64783156651589002</c:v>
                </c:pt>
                <c:pt idx="93">
                  <c:v>-0.65134853442937102</c:v>
                </c:pt>
                <c:pt idx="94">
                  <c:v>-0.65476223420454382</c:v>
                </c:pt>
                <c:pt idx="95">
                  <c:v>-0.65807212461593212</c:v>
                </c:pt>
                <c:pt idx="96">
                  <c:v>-0.66127768089652939</c:v>
                </c:pt>
                <c:pt idx="97">
                  <c:v>-0.66437839482099703</c:v>
                </c:pt>
                <c:pt idx="98">
                  <c:v>-0.66737377478624182</c:v>
                </c:pt>
                <c:pt idx="99">
                  <c:v>-0.67026334588935654</c:v>
                </c:pt>
                <c:pt idx="100">
                  <c:v>-0.67304665000291386</c:v>
                </c:pt>
                <c:pt idx="101">
                  <c:v>-0.67572324584760035</c:v>
                </c:pt>
                <c:pt idx="102">
                  <c:v>-0.67829270906217898</c:v>
                </c:pt>
                <c:pt idx="103">
                  <c:v>-0.68075463227076904</c:v>
                </c:pt>
                <c:pt idx="104">
                  <c:v>-0.68310862514743487</c:v>
                </c:pt>
                <c:pt idx="105">
                  <c:v>-0.68535431447806872</c:v>
                </c:pt>
                <c:pt idx="106">
                  <c:v>-0.68749134421956282</c:v>
                </c:pt>
                <c:pt idx="107">
                  <c:v>-0.68951937555625831</c:v>
                </c:pt>
                <c:pt idx="108">
                  <c:v>-0.6914380869536626</c:v>
                </c:pt>
                <c:pt idx="109">
                  <c:v>-0.69324717420942694</c:v>
                </c:pt>
                <c:pt idx="110">
                  <c:v>-0.69494635050157649</c:v>
                </c:pt>
                <c:pt idx="111">
                  <c:v>-0.69653534643398463</c:v>
                </c:pt>
                <c:pt idx="112">
                  <c:v>-0.69801391007908387</c:v>
                </c:pt>
                <c:pt idx="113">
                  <c:v>-0.6993818070178085</c:v>
                </c:pt>
                <c:pt idx="114">
                  <c:v>-0.70063882037675995</c:v>
                </c:pt>
                <c:pt idx="115">
                  <c:v>-0.7017847508625914</c:v>
                </c:pt>
                <c:pt idx="116">
                  <c:v>-0.7028194167936046</c:v>
                </c:pt>
                <c:pt idx="117">
                  <c:v>-0.70374265412855452</c:v>
                </c:pt>
                <c:pt idx="118">
                  <c:v>-0.70455431649265776</c:v>
                </c:pt>
                <c:pt idx="119">
                  <c:v>-0.70525427520079864</c:v>
                </c:pt>
                <c:pt idx="120">
                  <c:v>-0.70584241927793279</c:v>
                </c:pt>
                <c:pt idx="121">
                  <c:v>-0.70631865547668071</c:v>
                </c:pt>
                <c:pt idx="122">
                  <c:v>-0.70668290829211211</c:v>
                </c:pt>
                <c:pt idx="123">
                  <c:v>-0.70693511997371716</c:v>
                </c:pt>
                <c:pt idx="124">
                  <c:v>-0.70707525053456166</c:v>
                </c:pt>
                <c:pt idx="125">
                  <c:v>-0.70710327775762771</c:v>
                </c:pt>
                <c:pt idx="126">
                  <c:v>-0.70701919719933537</c:v>
                </c:pt>
                <c:pt idx="127">
                  <c:v>-0.70682302219024795</c:v>
                </c:pt>
                <c:pt idx="128">
                  <c:v>-0.70651478383295785</c:v>
                </c:pt>
                <c:pt idx="129">
                  <c:v>-0.70609453099715536</c:v>
                </c:pt>
                <c:pt idx="130">
                  <c:v>-0.70556233031188131</c:v>
                </c:pt>
                <c:pt idx="131">
                  <c:v>-0.70491826615496278</c:v>
                </c:pt>
                <c:pt idx="132">
                  <c:v>-0.70416244063963529</c:v>
                </c:pt>
                <c:pt idx="133">
                  <c:v>-0.70329497359835391</c:v>
                </c:pt>
                <c:pt idx="134">
                  <c:v>-0.70231600256379367</c:v>
                </c:pt>
                <c:pt idx="135">
                  <c:v>-0.701225682747045</c:v>
                </c:pt>
                <c:pt idx="136">
                  <c:v>-0.70002418701300517</c:v>
                </c:pt>
                <c:pt idx="137">
                  <c:v>-0.69871170585297226</c:v>
                </c:pt>
                <c:pt idx="138">
                  <c:v>-0.69728844735444262</c:v>
                </c:pt>
                <c:pt idx="139">
                  <c:v>-0.69575463716812069</c:v>
                </c:pt>
                <c:pt idx="140">
                  <c:v>-0.69411051847214222</c:v>
                </c:pt>
                <c:pt idx="141">
                  <c:v>-0.69235635193352041</c:v>
                </c:pt>
                <c:pt idx="142">
                  <c:v>-0.69049241566681763</c:v>
                </c:pt>
                <c:pt idx="143">
                  <c:v>-0.68851900519005249</c:v>
                </c:pt>
                <c:pt idx="144">
                  <c:v>-0.6864364333778461</c:v>
                </c:pt>
                <c:pt idx="145">
                  <c:v>-0.68424503041181794</c:v>
                </c:pt>
                <c:pt idx="146">
                  <c:v>-0.68194514372823722</c:v>
                </c:pt>
                <c:pt idx="147">
                  <c:v>-0.67953713796293769</c:v>
                </c:pt>
                <c:pt idx="148">
                  <c:v>-0.67702139489350766</c:v>
                </c:pt>
                <c:pt idx="149">
                  <c:v>-0.67439831337875977</c:v>
                </c:pt>
                <c:pt idx="150">
                  <c:v>-0.67166830929549493</c:v>
                </c:pt>
                <c:pt idx="151">
                  <c:v>-0.66883181547256643</c:v>
                </c:pt>
                <c:pt idx="152">
                  <c:v>-0.66588928162225713</c:v>
                </c:pt>
                <c:pt idx="153">
                  <c:v>-0.66284117426897993</c:v>
                </c:pt>
                <c:pt idx="154">
                  <c:v>-0.65968797667531287</c:v>
                </c:pt>
                <c:pt idx="155">
                  <c:v>-0.65643018876537895</c:v>
                </c:pt>
                <c:pt idx="156">
                  <c:v>-0.65306832704558748</c:v>
                </c:pt>
                <c:pt idx="157">
                  <c:v>-0.64960292452274326</c:v>
                </c:pt>
                <c:pt idx="158">
                  <c:v>-0.64603453061954053</c:v>
                </c:pt>
                <c:pt idx="159">
                  <c:v>-0.64236371108745638</c:v>
                </c:pt>
                <c:pt idx="160">
                  <c:v>-0.63859104791705179</c:v>
                </c:pt>
                <c:pt idx="161">
                  <c:v>-0.63471713924570106</c:v>
                </c:pt>
                <c:pt idx="162">
                  <c:v>-0.63074259926275966</c:v>
                </c:pt>
                <c:pt idx="163">
                  <c:v>-0.62666805811218718</c:v>
                </c:pt>
                <c:pt idx="164">
                  <c:v>-0.62249416179264161</c:v>
                </c:pt>
                <c:pt idx="165">
                  <c:v>-0.61822157205505923</c:v>
                </c:pt>
                <c:pt idx="166">
                  <c:v>-0.61385096629773661</c:v>
                </c:pt>
                <c:pt idx="167">
                  <c:v>-0.60938303745893374</c:v>
                </c:pt>
                <c:pt idx="168">
                  <c:v>-0.60481849390701081</c:v>
                </c:pt>
                <c:pt idx="169">
                  <c:v>-0.60015805932812005</c:v>
                </c:pt>
                <c:pt idx="170">
                  <c:v>-0.59540247261146972</c:v>
                </c:pt>
                <c:pt idx="171">
                  <c:v>-0.59055248773217561</c:v>
                </c:pt>
                <c:pt idx="172">
                  <c:v>-0.58560887363172265</c:v>
                </c:pt>
                <c:pt idx="173">
                  <c:v>-0.58057241409605309</c:v>
                </c:pt>
                <c:pt idx="174">
                  <c:v>-0.5754439076313006</c:v>
                </c:pt>
                <c:pt idx="175">
                  <c:v>-0.57022416733719106</c:v>
                </c:pt>
                <c:pt idx="176">
                  <c:v>-0.56491402077813013</c:v>
                </c:pt>
                <c:pt idx="177">
                  <c:v>-0.55951430985199624</c:v>
                </c:pt>
                <c:pt idx="178">
                  <c:v>-0.55402589065666197</c:v>
                </c:pt>
                <c:pt idx="179">
                  <c:v>-0.54844963335426444</c:v>
                </c:pt>
                <c:pt idx="180">
                  <c:v>-0.54278642203324456</c:v>
                </c:pt>
                <c:pt idx="181">
                  <c:v>-0.53703715456817913</c:v>
                </c:pt>
                <c:pt idx="182">
                  <c:v>-0.53120274247742871</c:v>
                </c:pt>
                <c:pt idx="183">
                  <c:v>-0.52528411077861836</c:v>
                </c:pt>
                <c:pt idx="184">
                  <c:v>-0.51928219784198237</c:v>
                </c:pt>
                <c:pt idx="185">
                  <c:v>-0.51319795524159018</c:v>
                </c:pt>
                <c:pt idx="186">
                  <c:v>-0.50703234760447768</c:v>
                </c:pt>
                <c:pt idx="187">
                  <c:v>-0.50078635245771141</c:v>
                </c:pt>
                <c:pt idx="188">
                  <c:v>-0.49446096007340662</c:v>
                </c:pt>
                <c:pt idx="189">
                  <c:v>-0.48805717331172338</c:v>
                </c:pt>
                <c:pt idx="190">
                  <c:v>-0.48157600746186846</c:v>
                </c:pt>
                <c:pt idx="191">
                  <c:v>-0.47501849008112684</c:v>
                </c:pt>
                <c:pt idx="192">
                  <c:v>-0.46838566083194649</c:v>
                </c:pt>
                <c:pt idx="193">
                  <c:v>-0.46167857131710505</c:v>
                </c:pt>
                <c:pt idx="194">
                  <c:v>-0.45489828491298467</c:v>
                </c:pt>
                <c:pt idx="195">
                  <c:v>-0.44804587660097667</c:v>
                </c:pt>
                <c:pt idx="196">
                  <c:v>-0.44112243279705088</c:v>
                </c:pt>
                <c:pt idx="197">
                  <c:v>-0.43412905117950734</c:v>
                </c:pt>
                <c:pt idx="198">
                  <c:v>-0.42706684051494626</c:v>
                </c:pt>
                <c:pt idx="199">
                  <c:v>-0.41993692048247855</c:v>
                </c:pt>
                <c:pt idx="200">
                  <c:v>-0.41274042149620516</c:v>
                </c:pt>
                <c:pt idx="201">
                  <c:v>-0.40547848452599583</c:v>
                </c:pt>
                <c:pt idx="202">
                  <c:v>-0.39815226091659472</c:v>
                </c:pt>
                <c:pt idx="203">
                  <c:v>-0.39076291220507869</c:v>
                </c:pt>
                <c:pt idx="204">
                  <c:v>-0.38331160993670266</c:v>
                </c:pt>
                <c:pt idx="205">
                  <c:v>-0.37579953547915651</c:v>
                </c:pt>
                <c:pt idx="206">
                  <c:v>-0.36822787983526417</c:v>
                </c:pt>
                <c:pt idx="207">
                  <c:v>-0.36059784345415663</c:v>
                </c:pt>
                <c:pt idx="208">
                  <c:v>-0.3529106360409473</c:v>
                </c:pt>
                <c:pt idx="209">
                  <c:v>-0.34516747636493733</c:v>
                </c:pt>
                <c:pt idx="210">
                  <c:v>-0.33736959206638673</c:v>
                </c:pt>
                <c:pt idx="211">
                  <c:v>-0.32951821946187887</c:v>
                </c:pt>
                <c:pt idx="212">
                  <c:v>-0.3216146033483066</c:v>
                </c:pt>
                <c:pt idx="213">
                  <c:v>-0.31365999680551682</c:v>
                </c:pt>
                <c:pt idx="214">
                  <c:v>-0.30565566099764141</c:v>
                </c:pt>
                <c:pt idx="215">
                  <c:v>-0.29760286497314437</c:v>
                </c:pt>
                <c:pt idx="216">
                  <c:v>-0.28950288546362091</c:v>
                </c:pt>
                <c:pt idx="217">
                  <c:v>-0.28135700668137892</c:v>
                </c:pt>
                <c:pt idx="218">
                  <c:v>-0.27316652011583176</c:v>
                </c:pt>
                <c:pt idx="219">
                  <c:v>-0.26493272432873932</c:v>
                </c:pt>
                <c:pt idx="220">
                  <c:v>-0.2566569247483288</c:v>
                </c:pt>
                <c:pt idx="221">
                  <c:v>-0.24834043346232332</c:v>
                </c:pt>
                <c:pt idx="222">
                  <c:v>-0.23998456900991766</c:v>
                </c:pt>
                <c:pt idx="223">
                  <c:v>-0.2315906561727315</c:v>
                </c:pt>
                <c:pt idx="224">
                  <c:v>-0.22316002576476962</c:v>
                </c:pt>
                <c:pt idx="225">
                  <c:v>-0.2146940144214288</c:v>
                </c:pt>
                <c:pt idx="226">
                  <c:v>-0.20619396438758186</c:v>
                </c:pt>
                <c:pt idx="227">
                  <c:v>-0.19766122330476929</c:v>
                </c:pt>
                <c:pt idx="228">
                  <c:v>-0.18909714399753813</c:v>
                </c:pt>
                <c:pt idx="229">
                  <c:v>-0.18050308425895928</c:v>
                </c:pt>
                <c:pt idx="230">
                  <c:v>-0.17188040663535414</c:v>
                </c:pt>
                <c:pt idx="231">
                  <c:v>-0.16323047821027037</c:v>
                </c:pt>
                <c:pt idx="232">
                  <c:v>-0.15455467038773846</c:v>
                </c:pt>
                <c:pt idx="233">
                  <c:v>-0.14585435867484037</c:v>
                </c:pt>
                <c:pt idx="234">
                  <c:v>-0.13713092246363062</c:v>
                </c:pt>
                <c:pt idx="235">
                  <c:v>-0.12838574481244119</c:v>
                </c:pt>
                <c:pt idx="236">
                  <c:v>-0.11962021222660266</c:v>
                </c:pt>
                <c:pt idx="237">
                  <c:v>-0.11083571443862125</c:v>
                </c:pt>
                <c:pt idx="238">
                  <c:v>-0.10203364418784465</c:v>
                </c:pt>
                <c:pt idx="239">
                  <c:v>-9.3215396999648023E-2</c:v>
                </c:pt>
                <c:pt idx="240">
                  <c:v>-8.4382370964181122E-2</c:v>
                </c:pt>
                <c:pt idx="241">
                  <c:v>-7.5535966514708952E-2</c:v>
                </c:pt>
                <c:pt idx="242">
                  <c:v>-6.6677586205577982E-2</c:v>
                </c:pt>
                <c:pt idx="243">
                  <c:v>-5.780863448984886E-2</c:v>
                </c:pt>
                <c:pt idx="244">
                  <c:v>-4.8930517496628266E-2</c:v>
                </c:pt>
                <c:pt idx="245">
                  <c:v>-4.0044642808132018E-2</c:v>
                </c:pt>
                <c:pt idx="246">
                  <c:v>-3.1152419236520752E-2</c:v>
                </c:pt>
                <c:pt idx="247">
                  <c:v>-2.2255256600540559E-2</c:v>
                </c:pt>
                <c:pt idx="248">
                  <c:v>-1.3354565502001184E-2</c:v>
                </c:pt>
                <c:pt idx="249">
                  <c:v>-4.4517571021329208E-3</c:v>
                </c:pt>
                <c:pt idx="250">
                  <c:v>4.4517571021451671E-3</c:v>
                </c:pt>
                <c:pt idx="251">
                  <c:v>1.3354565502013114E-2</c:v>
                </c:pt>
                <c:pt idx="252">
                  <c:v>2.2255256600552803E-2</c:v>
                </c:pt>
                <c:pt idx="253">
                  <c:v>3.1152419236532988E-2</c:v>
                </c:pt>
                <c:pt idx="254">
                  <c:v>4.0044642808143932E-2</c:v>
                </c:pt>
                <c:pt idx="255">
                  <c:v>4.8930517496640485E-2</c:v>
                </c:pt>
                <c:pt idx="256">
                  <c:v>5.7808634489861066E-2</c:v>
                </c:pt>
                <c:pt idx="257">
                  <c:v>6.6677586205589862E-2</c:v>
                </c:pt>
                <c:pt idx="258">
                  <c:v>7.5535966514721137E-2</c:v>
                </c:pt>
                <c:pt idx="259">
                  <c:v>8.4382370964193293E-2</c:v>
                </c:pt>
                <c:pt idx="260">
                  <c:v>9.3215396999659847E-2</c:v>
                </c:pt>
                <c:pt idx="261">
                  <c:v>0.10203364418785678</c:v>
                </c:pt>
                <c:pt idx="262">
                  <c:v>0.11083571443863334</c:v>
                </c:pt>
                <c:pt idx="263">
                  <c:v>0.11962021222661441</c:v>
                </c:pt>
                <c:pt idx="264">
                  <c:v>0.12838574481245327</c:v>
                </c:pt>
                <c:pt idx="265">
                  <c:v>0.13713092246364264</c:v>
                </c:pt>
                <c:pt idx="266">
                  <c:v>0.14585435867485205</c:v>
                </c:pt>
                <c:pt idx="267">
                  <c:v>0.15455467038775039</c:v>
                </c:pt>
                <c:pt idx="268">
                  <c:v>0.1632304782102823</c:v>
                </c:pt>
                <c:pt idx="269">
                  <c:v>0.17188040663536572</c:v>
                </c:pt>
                <c:pt idx="270">
                  <c:v>0.18050308425897113</c:v>
                </c:pt>
                <c:pt idx="271">
                  <c:v>0.1890971439975499</c:v>
                </c:pt>
                <c:pt idx="272">
                  <c:v>0.19766122330478073</c:v>
                </c:pt>
                <c:pt idx="273">
                  <c:v>0.2061939643875936</c:v>
                </c:pt>
                <c:pt idx="274">
                  <c:v>0.21469401442144051</c:v>
                </c:pt>
                <c:pt idx="275">
                  <c:v>0.22316002576478094</c:v>
                </c:pt>
                <c:pt idx="276">
                  <c:v>0.2315906561727431</c:v>
                </c:pt>
                <c:pt idx="277">
                  <c:v>0.23998456900992921</c:v>
                </c:pt>
                <c:pt idx="278">
                  <c:v>0.24834043346233445</c:v>
                </c:pt>
                <c:pt idx="279">
                  <c:v>0.25665692474834023</c:v>
                </c:pt>
                <c:pt idx="280">
                  <c:v>0.2649327243287507</c:v>
                </c:pt>
                <c:pt idx="281">
                  <c:v>0.27316652011584275</c:v>
                </c:pt>
                <c:pt idx="282">
                  <c:v>0.28135700668139019</c:v>
                </c:pt>
                <c:pt idx="283">
                  <c:v>0.28950288546363206</c:v>
                </c:pt>
                <c:pt idx="284">
                  <c:v>0.29760286497315519</c:v>
                </c:pt>
                <c:pt idx="285">
                  <c:v>0.30565566099765251</c:v>
                </c:pt>
                <c:pt idx="286">
                  <c:v>0.31365999680552781</c:v>
                </c:pt>
                <c:pt idx="287">
                  <c:v>0.32161460334831726</c:v>
                </c:pt>
                <c:pt idx="288">
                  <c:v>0.32951821946188969</c:v>
                </c:pt>
                <c:pt idx="289">
                  <c:v>0.33736959206639749</c:v>
                </c:pt>
                <c:pt idx="290">
                  <c:v>0.34516747636494771</c:v>
                </c:pt>
                <c:pt idx="291">
                  <c:v>0.35291063604095796</c:v>
                </c:pt>
                <c:pt idx="292">
                  <c:v>0.36059784345416723</c:v>
                </c:pt>
                <c:pt idx="293">
                  <c:v>0.36822787983527433</c:v>
                </c:pt>
                <c:pt idx="294">
                  <c:v>0.37579953547916689</c:v>
                </c:pt>
                <c:pt idx="295">
                  <c:v>0.38331160993671298</c:v>
                </c:pt>
                <c:pt idx="296">
                  <c:v>0.39076291220508869</c:v>
                </c:pt>
                <c:pt idx="297">
                  <c:v>0.39815226091660477</c:v>
                </c:pt>
                <c:pt idx="298">
                  <c:v>0.40547848452600588</c:v>
                </c:pt>
                <c:pt idx="299">
                  <c:v>0.41274042149621487</c:v>
                </c:pt>
                <c:pt idx="300">
                  <c:v>0.41993692048248843</c:v>
                </c:pt>
                <c:pt idx="301">
                  <c:v>0.42706684051495603</c:v>
                </c:pt>
                <c:pt idx="302">
                  <c:v>0.43412905117951678</c:v>
                </c:pt>
                <c:pt idx="303">
                  <c:v>0.44112243279706043</c:v>
                </c:pt>
                <c:pt idx="304">
                  <c:v>0.44804587660098621</c:v>
                </c:pt>
                <c:pt idx="305">
                  <c:v>0.45489828491299378</c:v>
                </c:pt>
                <c:pt idx="306">
                  <c:v>0.46167857131711432</c:v>
                </c:pt>
                <c:pt idx="307">
                  <c:v>0.46838566083195543</c:v>
                </c:pt>
                <c:pt idx="308">
                  <c:v>0.47501849008113572</c:v>
                </c:pt>
                <c:pt idx="309">
                  <c:v>0.4815760074618774</c:v>
                </c:pt>
                <c:pt idx="310">
                  <c:v>0.48805717331173204</c:v>
                </c:pt>
                <c:pt idx="311">
                  <c:v>0.49446096007341517</c:v>
                </c:pt>
                <c:pt idx="312">
                  <c:v>0.50078635245772007</c:v>
                </c:pt>
                <c:pt idx="313">
                  <c:v>0.50703234760448601</c:v>
                </c:pt>
                <c:pt idx="314">
                  <c:v>0.51319795524159828</c:v>
                </c:pt>
                <c:pt idx="315">
                  <c:v>0.5192821978419907</c:v>
                </c:pt>
                <c:pt idx="316">
                  <c:v>0.52528411077862647</c:v>
                </c:pt>
                <c:pt idx="317">
                  <c:v>0.5312027424774366</c:v>
                </c:pt>
                <c:pt idx="318">
                  <c:v>0.5370371545681869</c:v>
                </c:pt>
                <c:pt idx="319">
                  <c:v>0.54278642203325211</c:v>
                </c:pt>
                <c:pt idx="320">
                  <c:v>0.5484496333542721</c:v>
                </c:pt>
                <c:pt idx="321">
                  <c:v>0.5540258906566693</c:v>
                </c:pt>
                <c:pt idx="322">
                  <c:v>0.55951430985200357</c:v>
                </c:pt>
                <c:pt idx="323">
                  <c:v>0.56491402077813757</c:v>
                </c:pt>
                <c:pt idx="324">
                  <c:v>0.57022416733719805</c:v>
                </c:pt>
                <c:pt idx="325">
                  <c:v>0.57544390763130759</c:v>
                </c:pt>
                <c:pt idx="326">
                  <c:v>0.58057241409606009</c:v>
                </c:pt>
                <c:pt idx="327">
                  <c:v>0.58560887363172931</c:v>
                </c:pt>
                <c:pt idx="328">
                  <c:v>0.59055248773218216</c:v>
                </c:pt>
                <c:pt idx="329">
                  <c:v>0.59540247261147627</c:v>
                </c:pt>
                <c:pt idx="330">
                  <c:v>0.60015805932812627</c:v>
                </c:pt>
                <c:pt idx="331">
                  <c:v>0.60481849390701692</c:v>
                </c:pt>
                <c:pt idx="332">
                  <c:v>0.60938303745893996</c:v>
                </c:pt>
                <c:pt idx="333">
                  <c:v>0.6138509662977425</c:v>
                </c:pt>
                <c:pt idx="334">
                  <c:v>0.61822157205506489</c:v>
                </c:pt>
                <c:pt idx="335">
                  <c:v>0.62249416179264749</c:v>
                </c:pt>
                <c:pt idx="336">
                  <c:v>0.62666805811219273</c:v>
                </c:pt>
                <c:pt idx="337">
                  <c:v>0.6307425992627651</c:v>
                </c:pt>
                <c:pt idx="338">
                  <c:v>0.6347171392457065</c:v>
                </c:pt>
                <c:pt idx="339">
                  <c:v>0.6385910479170569</c:v>
                </c:pt>
                <c:pt idx="340">
                  <c:v>0.64236371108746138</c:v>
                </c:pt>
                <c:pt idx="341">
                  <c:v>0.64603453061954552</c:v>
                </c:pt>
                <c:pt idx="342">
                  <c:v>0.64960292452274782</c:v>
                </c:pt>
                <c:pt idx="343">
                  <c:v>0.65306832704559215</c:v>
                </c:pt>
                <c:pt idx="344">
                  <c:v>0.6564301887653835</c:v>
                </c:pt>
                <c:pt idx="345">
                  <c:v>0.65968797667531709</c:v>
                </c:pt>
                <c:pt idx="346">
                  <c:v>0.66284117426898426</c:v>
                </c:pt>
                <c:pt idx="347">
                  <c:v>0.66588928162226124</c:v>
                </c:pt>
                <c:pt idx="348">
                  <c:v>0.6688318154725702</c:v>
                </c:pt>
                <c:pt idx="349">
                  <c:v>0.6716683092954987</c:v>
                </c:pt>
                <c:pt idx="350">
                  <c:v>0.67439831337876344</c:v>
                </c:pt>
                <c:pt idx="351">
                  <c:v>0.67702139489351099</c:v>
                </c:pt>
                <c:pt idx="352">
                  <c:v>0.67953713796294113</c:v>
                </c:pt>
                <c:pt idx="353">
                  <c:v>0.68194514372824044</c:v>
                </c:pt>
                <c:pt idx="354">
                  <c:v>0.68424503041182094</c:v>
                </c:pt>
                <c:pt idx="355">
                  <c:v>0.68643643337784899</c:v>
                </c:pt>
                <c:pt idx="356">
                  <c:v>0.68851900519005516</c:v>
                </c:pt>
                <c:pt idx="357">
                  <c:v>0.69049241566682018</c:v>
                </c:pt>
                <c:pt idx="358">
                  <c:v>0.69235635193352285</c:v>
                </c:pt>
                <c:pt idx="359">
                  <c:v>0.69411051847214456</c:v>
                </c:pt>
                <c:pt idx="360">
                  <c:v>0.6957546371681228</c:v>
                </c:pt>
                <c:pt idx="361">
                  <c:v>0.69728844735444462</c:v>
                </c:pt>
                <c:pt idx="362">
                  <c:v>0.69871170585297415</c:v>
                </c:pt>
                <c:pt idx="363">
                  <c:v>0.70002418701300684</c:v>
                </c:pt>
                <c:pt idx="364">
                  <c:v>0.70122568274704655</c:v>
                </c:pt>
                <c:pt idx="365">
                  <c:v>0.70231600256379512</c:v>
                </c:pt>
                <c:pt idx="366">
                  <c:v>0.70329497359835513</c:v>
                </c:pt>
                <c:pt idx="367">
                  <c:v>0.70416244063963651</c:v>
                </c:pt>
                <c:pt idx="368">
                  <c:v>0.70491826615496367</c:v>
                </c:pt>
                <c:pt idx="369">
                  <c:v>0.7055623303118822</c:v>
                </c:pt>
                <c:pt idx="370">
                  <c:v>0.70609453099715602</c:v>
                </c:pt>
                <c:pt idx="371">
                  <c:v>0.70651478383295829</c:v>
                </c:pt>
                <c:pt idx="372">
                  <c:v>0.7068230221902484</c:v>
                </c:pt>
                <c:pt idx="373">
                  <c:v>0.70701919719933559</c:v>
                </c:pt>
                <c:pt idx="374">
                  <c:v>0.70710327775762771</c:v>
                </c:pt>
                <c:pt idx="375">
                  <c:v>0.70707525053456155</c:v>
                </c:pt>
                <c:pt idx="376">
                  <c:v>0.70693511997371683</c:v>
                </c:pt>
                <c:pt idx="377">
                  <c:v>0.70668290829211178</c:v>
                </c:pt>
                <c:pt idx="378">
                  <c:v>0.70631865547668016</c:v>
                </c:pt>
                <c:pt idx="379">
                  <c:v>0.70584241927793201</c:v>
                </c:pt>
                <c:pt idx="380">
                  <c:v>0.70525427520079775</c:v>
                </c:pt>
                <c:pt idx="381">
                  <c:v>0.70455431649265665</c:v>
                </c:pt>
                <c:pt idx="382">
                  <c:v>0.70374265412855341</c:v>
                </c:pt>
                <c:pt idx="383">
                  <c:v>0.70281941679360327</c:v>
                </c:pt>
                <c:pt idx="384">
                  <c:v>0.70178475086258996</c:v>
                </c:pt>
                <c:pt idx="385">
                  <c:v>0.7006388203767584</c:v>
                </c:pt>
                <c:pt idx="386">
                  <c:v>0.69938180701780661</c:v>
                </c:pt>
                <c:pt idx="387">
                  <c:v>0.69801391007908187</c:v>
                </c:pt>
                <c:pt idx="388">
                  <c:v>0.69653534643398252</c:v>
                </c:pt>
                <c:pt idx="389">
                  <c:v>0.69494635050157427</c:v>
                </c:pt>
                <c:pt idx="390">
                  <c:v>0.6932471742094245</c:v>
                </c:pt>
                <c:pt idx="391">
                  <c:v>0.69143808695366016</c:v>
                </c:pt>
                <c:pt idx="392">
                  <c:v>0.68951937555625564</c:v>
                </c:pt>
                <c:pt idx="393">
                  <c:v>0.68749134421955993</c:v>
                </c:pt>
                <c:pt idx="394">
                  <c:v>0.68535431447806572</c:v>
                </c:pt>
                <c:pt idx="395">
                  <c:v>0.68310862514743165</c:v>
                </c:pt>
                <c:pt idx="396">
                  <c:v>0.68075463227076571</c:v>
                </c:pt>
                <c:pt idx="397">
                  <c:v>0.67829270906217554</c:v>
                </c:pt>
                <c:pt idx="398">
                  <c:v>0.6757232458475968</c:v>
                </c:pt>
                <c:pt idx="399">
                  <c:v>0.67304665000291009</c:v>
                </c:pt>
                <c:pt idx="400">
                  <c:v>0.67026334588935266</c:v>
                </c:pt>
                <c:pt idx="401">
                  <c:v>0.66737377478623783</c:v>
                </c:pt>
                <c:pt idx="402">
                  <c:v>0.66437839482099281</c:v>
                </c:pt>
                <c:pt idx="403">
                  <c:v>0.66127768089652517</c:v>
                </c:pt>
                <c:pt idx="404">
                  <c:v>0.65807212461592768</c:v>
                </c:pt>
                <c:pt idx="405">
                  <c:v>0.65476223420453905</c:v>
                </c:pt>
                <c:pt idx="406">
                  <c:v>0.65134853442936635</c:v>
                </c:pt>
                <c:pt idx="407">
                  <c:v>0.64783156651588503</c:v>
                </c:pt>
                <c:pt idx="408">
                  <c:v>0.64421188806223162</c:v>
                </c:pt>
                <c:pt idx="409">
                  <c:v>0.64049007295079874</c:v>
                </c:pt>
                <c:pt idx="410">
                  <c:v>0.63666671125724794</c:v>
                </c:pt>
                <c:pt idx="411">
                  <c:v>0.63274240915695745</c:v>
                </c:pt>
                <c:pt idx="412">
                  <c:v>0.62871778882891594</c:v>
                </c:pt>
                <c:pt idx="413">
                  <c:v>0.6245934883570774</c:v>
                </c:pt>
                <c:pt idx="414">
                  <c:v>0.620370161629198</c:v>
                </c:pt>
                <c:pt idx="415">
                  <c:v>0.61604847823316478</c:v>
                </c:pt>
                <c:pt idx="416">
                  <c:v>0.61162912335083452</c:v>
                </c:pt>
                <c:pt idx="417">
                  <c:v>0.60711279764940362</c:v>
                </c:pt>
                <c:pt idx="418">
                  <c:v>0.60250021717031943</c:v>
                </c:pt>
                <c:pt idx="419">
                  <c:v>0.59779211321575476</c:v>
                </c:pt>
                <c:pt idx="420">
                  <c:v>0.5929892322326652</c:v>
                </c:pt>
                <c:pt idx="421">
                  <c:v>0.58809233569444275</c:v>
                </c:pt>
                <c:pt idx="422">
                  <c:v>0.58310219998018664</c:v>
                </c:pt>
                <c:pt idx="423">
                  <c:v>0.57801961625161491</c:v>
                </c:pt>
                <c:pt idx="424">
                  <c:v>0.57284539032762749</c:v>
                </c:pt>
                <c:pt idx="425">
                  <c:v>0.56758034255654743</c:v>
                </c:pt>
                <c:pt idx="426">
                  <c:v>0.56222530768606049</c:v>
                </c:pt>
                <c:pt idx="427">
                  <c:v>0.55678113473086865</c:v>
                </c:pt>
                <c:pt idx="428">
                  <c:v>0.55124868683808204</c:v>
                </c:pt>
                <c:pt idx="429">
                  <c:v>0.54562884115037347</c:v>
                </c:pt>
                <c:pt idx="430">
                  <c:v>0.53992248866691073</c:v>
                </c:pt>
                <c:pt idx="431">
                  <c:v>0.53413053410209133</c:v>
                </c:pt>
                <c:pt idx="432">
                  <c:v>0.52825389574210724</c:v>
                </c:pt>
                <c:pt idx="433">
                  <c:v>0.52229350529935392</c:v>
                </c:pt>
                <c:pt idx="434">
                  <c:v>0.51625030776471015</c:v>
                </c:pt>
                <c:pt idx="435">
                  <c:v>0.51012526125771762</c:v>
                </c:pt>
                <c:pt idx="436">
                  <c:v>0.5039193368746735</c:v>
                </c:pt>
                <c:pt idx="437">
                  <c:v>0.49763351853466736</c:v>
                </c:pt>
                <c:pt idx="438">
                  <c:v>0.49126880282358792</c:v>
                </c:pt>
                <c:pt idx="439">
                  <c:v>0.48482619883611777</c:v>
                </c:pt>
                <c:pt idx="440">
                  <c:v>0.47830672801574509</c:v>
                </c:pt>
                <c:pt idx="441">
                  <c:v>0.47171142399282168</c:v>
                </c:pt>
                <c:pt idx="442">
                  <c:v>0.46504133242068391</c:v>
                </c:pt>
                <c:pt idx="443">
                  <c:v>0.45829751080986891</c:v>
                </c:pt>
                <c:pt idx="444">
                  <c:v>0.45148102836045362</c:v>
                </c:pt>
                <c:pt idx="445">
                  <c:v>0.4445929657925371</c:v>
                </c:pt>
                <c:pt idx="446">
                  <c:v>0.43763441517489626</c:v>
                </c:pt>
                <c:pt idx="447">
                  <c:v>0.4306064797518464</c:v>
                </c:pt>
                <c:pt idx="448">
                  <c:v>0.42351027376832595</c:v>
                </c:pt>
                <c:pt idx="449">
                  <c:v>0.41634692229323667</c:v>
                </c:pt>
                <c:pt idx="450">
                  <c:v>0.40911756104107266</c:v>
                </c:pt>
                <c:pt idx="451">
                  <c:v>0.40182333619185656</c:v>
                </c:pt>
                <c:pt idx="452">
                  <c:v>0.39446540420941706</c:v>
                </c:pt>
                <c:pt idx="453">
                  <c:v>0.38704493165804021</c:v>
                </c:pt>
                <c:pt idx="454">
                  <c:v>0.3795630950175144</c:v>
                </c:pt>
                <c:pt idx="455">
                  <c:v>0.37202108049660432</c:v>
                </c:pt>
                <c:pt idx="456">
                  <c:v>0.36442008384498586</c:v>
                </c:pt>
                <c:pt idx="457">
                  <c:v>0.35676131016366486</c:v>
                </c:pt>
                <c:pt idx="458">
                  <c:v>0.34904597371391177</c:v>
                </c:pt>
                <c:pt idx="459">
                  <c:v>0.34127529772475057</c:v>
                </c:pt>
                <c:pt idx="460">
                  <c:v>0.33345051419901955</c:v>
                </c:pt>
                <c:pt idx="461">
                  <c:v>0.32557286371804184</c:v>
                </c:pt>
                <c:pt idx="462">
                  <c:v>0.31764359524494051</c:v>
                </c:pt>
                <c:pt idx="463">
                  <c:v>0.30966396592661993</c:v>
                </c:pt>
                <c:pt idx="464">
                  <c:v>0.3016352408944496</c:v>
                </c:pt>
                <c:pt idx="465">
                  <c:v>0.29355869306368693</c:v>
                </c:pt>
                <c:pt idx="466">
                  <c:v>0.28543560293166137</c:v>
                </c:pt>
                <c:pt idx="467">
                  <c:v>0.2772672583747558</c:v>
                </c:pt>
                <c:pt idx="468">
                  <c:v>0.26905495444422339</c:v>
                </c:pt>
                <c:pt idx="469">
                  <c:v>0.26079999316086211</c:v>
                </c:pt>
                <c:pt idx="470">
                  <c:v>0.25250368330858364</c:v>
                </c:pt>
                <c:pt idx="471">
                  <c:v>0.24416734022691572</c:v>
                </c:pt>
                <c:pt idx="472">
                  <c:v>0.2357922856024596</c:v>
                </c:pt>
                <c:pt idx="473">
                  <c:v>0.22737984725934146</c:v>
                </c:pt>
                <c:pt idx="474">
                  <c:v>0.21893135894869575</c:v>
                </c:pt>
                <c:pt idx="475">
                  <c:v>0.21044816013720369</c:v>
                </c:pt>
                <c:pt idx="476">
                  <c:v>0.20193159579472558</c:v>
                </c:pt>
                <c:pt idx="477">
                  <c:v>0.19338301618106607</c:v>
                </c:pt>
                <c:pt idx="478">
                  <c:v>0.18480377663189507</c:v>
                </c:pt>
                <c:pt idx="479">
                  <c:v>0.17619523734386422</c:v>
                </c:pt>
                <c:pt idx="480">
                  <c:v>0.16755876315895787</c:v>
                </c:pt>
                <c:pt idx="481">
                  <c:v>0.15889572334810215</c:v>
                </c:pt>
                <c:pt idx="482">
                  <c:v>0.15020749139407213</c:v>
                </c:pt>
                <c:pt idx="483">
                  <c:v>0.14149544477373624</c:v>
                </c:pt>
                <c:pt idx="484">
                  <c:v>0.13276096473966234</c:v>
                </c:pt>
                <c:pt idx="485">
                  <c:v>0.12400543610112492</c:v>
                </c:pt>
                <c:pt idx="486">
                  <c:v>0.11523024700455406</c:v>
                </c:pt>
                <c:pt idx="487">
                  <c:v>0.10643678871344975</c:v>
                </c:pt>
                <c:pt idx="488">
                  <c:v>9.7626455387801889E-2</c:v>
                </c:pt>
                <c:pt idx="489">
                  <c:v>8.8800643863056861E-2</c:v>
                </c:pt>
                <c:pt idx="490">
                  <c:v>7.9960753428654108E-2</c:v>
                </c:pt>
                <c:pt idx="491">
                  <c:v>7.1108185606173782E-2</c:v>
                </c:pt>
                <c:pt idx="492">
                  <c:v>6.2244343927136042E-2</c:v>
                </c:pt>
                <c:pt idx="493">
                  <c:v>5.3370633710476109E-2</c:v>
                </c:pt>
                <c:pt idx="494">
                  <c:v>4.4488461839735899E-2</c:v>
                </c:pt>
                <c:pt idx="495">
                  <c:v>3.5599236540013283E-2</c:v>
                </c:pt>
                <c:pt idx="496">
                  <c:v>2.6704367154692928E-2</c:v>
                </c:pt>
                <c:pt idx="497">
                  <c:v>1.7805263921999916E-2</c:v>
                </c:pt>
                <c:pt idx="498">
                  <c:v>8.9033377514170908E-3</c:v>
                </c:pt>
                <c:pt idx="499">
                  <c:v>-9.6479421657968007E-15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CF4E-45A9-A3C2-9DB85ECC1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81823"/>
        <c:axId val="284183487"/>
      </c:scatterChart>
      <c:valAx>
        <c:axId val="284181823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84183487"/>
        <c:crosses val="autoZero"/>
        <c:crossBetween val="midCat"/>
        <c:majorUnit val="0.25"/>
      </c:valAx>
      <c:valAx>
        <c:axId val="284183487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ru-RU"/>
          </a:p>
        </c:txPr>
        <c:crossAx val="284181823"/>
        <c:crosses val="autoZero"/>
        <c:crossBetween val="midCat"/>
        <c:majorUnit val="0.25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6097189395064899"/>
          <c:y val="0.44007602497963616"/>
          <c:w val="0.13216704258451401"/>
          <c:h val="0.19396687483030139"/>
        </c:manualLayout>
      </c:layout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Observations on axes u~1 and u~2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8941"/>
              </a:solidFill>
              <a:ln>
                <a:solidFill>
                  <a:srgbClr val="008941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Obs1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70E-46B0-BAB2-5F626A487B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Obs2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70E-46B0-BAB2-5F626A487B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Obs3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70E-46B0-BAB2-5F626A487B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Obs4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70E-46B0-BAB2-5F626A487B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Obs5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70E-46B0-BAB2-5F626A487B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Obs6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70E-46B0-BAB2-5F626A487B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Obs7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70E-46B0-BAB2-5F626A487B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Obs8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70E-46B0-BAB2-5F626A487B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Obs9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70E-46B0-BAB2-5F626A487B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Obs10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70E-46B0-BAB2-5F626A487B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Obs11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70E-46B0-BAB2-5F626A487B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Obs12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70E-46B0-BAB2-5F626A487B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Obs13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70E-46B0-BAB2-5F626A487B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Obs14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70E-46B0-BAB2-5F626A487B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Obs15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70E-46B0-BAB2-5F626A487B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Obs16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70E-46B0-BAB2-5F626A487B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Obs17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70E-46B0-BAB2-5F626A487B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Obs18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70E-46B0-BAB2-5F626A487B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Obs19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70E-46B0-BAB2-5F626A487B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Obs20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70E-46B0-BAB2-5F626A487B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Obs21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70E-46B0-BAB2-5F626A487B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Obs22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70E-46B0-BAB2-5F626A487B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Obs23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70E-46B0-BAB2-5F626A487B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Obs24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70E-46B0-BAB2-5F626A487B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Obs25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70E-46B0-BAB2-5F626A487B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Obs26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870E-46B0-BAB2-5F626A487B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Obs27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70E-46B0-BAB2-5F626A487B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Obs28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870E-46B0-BAB2-5F626A487B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Obs29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870E-46B0-BAB2-5F626A487B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Obs30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870E-46B0-BAB2-5F626A487B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Obs31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870E-46B0-BAB2-5F626A487B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Obs32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870E-46B0-BAB2-5F626A487B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Obs33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870E-46B0-BAB2-5F626A487B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Obs34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870E-46B0-BAB2-5F626A487B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Obs35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870E-46B0-BAB2-5F626A487B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Obs36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870E-46B0-BAB2-5F626A487B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Obs37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870E-46B0-BAB2-5F626A487B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r>
                      <a:rPr lang="en-US"/>
                      <a:t>Obs38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870E-46B0-BAB2-5F626A487B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r>
                      <a:rPr lang="en-US"/>
                      <a:t>Obs39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870E-46B0-BAB2-5F626A487B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r>
                      <a:rPr lang="en-US"/>
                      <a:t>Obs40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870E-46B0-BAB2-5F626A487B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/>
                      <a:t>Obs41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9-870E-46B0-BAB2-5F626A487B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r>
                      <a:rPr lang="en-US"/>
                      <a:t>Obs42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870E-46B0-BAB2-5F626A487B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r>
                      <a:rPr lang="en-US"/>
                      <a:t>Obs43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870E-46B0-BAB2-5F626A487B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r>
                      <a:rPr lang="en-US"/>
                      <a:t>Obs44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870E-46B0-BAB2-5F626A487B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r>
                      <a:rPr lang="en-US"/>
                      <a:t>Obs45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870E-46B0-BAB2-5F626A487B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/>
                      <a:t>Obs46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870E-46B0-BAB2-5F626A487B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r>
                      <a:rPr lang="en-US"/>
                      <a:t>Obs47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870E-46B0-BAB2-5F626A487B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r>
                      <a:rPr lang="en-US"/>
                      <a:t>Obs48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870E-46B0-BAB2-5F626A487B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r>
                      <a:rPr lang="en-US"/>
                      <a:t>Obs49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870E-46B0-BAB2-5F626A487B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r>
                      <a:rPr lang="en-US"/>
                      <a:t>Obs50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870E-46B0-BAB2-5F626A487B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r>
                      <a:rPr lang="en-US"/>
                      <a:t>Obs51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870E-46B0-BAB2-5F626A487B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r>
                      <a:rPr lang="en-US"/>
                      <a:t>Obs52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870E-46B0-BAB2-5F626A487B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r>
                      <a:rPr lang="en-US"/>
                      <a:t>Obs53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870E-46B0-BAB2-5F626A487B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r>
                      <a:rPr lang="en-US"/>
                      <a:t>Obs54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870E-46B0-BAB2-5F626A487B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r>
                      <a:rPr lang="en-US"/>
                      <a:t>Obs55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870E-46B0-BAB2-5F626A487B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/>
                      <a:t>Obs56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870E-46B0-BAB2-5F626A487B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r>
                      <a:rPr lang="en-US"/>
                      <a:t>Obs57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870E-46B0-BAB2-5F626A487B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r>
                      <a:rPr lang="en-US"/>
                      <a:t>Obs58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870E-46B0-BAB2-5F626A487B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r>
                      <a:rPr lang="en-US"/>
                      <a:t>Obs59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870E-46B0-BAB2-5F626A487B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r>
                      <a:rPr lang="en-US"/>
                      <a:t>Obs60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870E-46B0-BAB2-5F626A487B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r>
                      <a:rPr lang="en-US"/>
                      <a:t>Obs61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870E-46B0-BAB2-5F626A487B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r>
                      <a:rPr lang="en-US"/>
                      <a:t>Obs62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870E-46B0-BAB2-5F626A487B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r>
                      <a:rPr lang="en-US"/>
                      <a:t>Obs63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870E-46B0-BAB2-5F626A487B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r>
                      <a:rPr lang="en-US"/>
                      <a:t>Obs64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870E-46B0-BAB2-5F626A487B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r>
                      <a:rPr lang="en-US"/>
                      <a:t>Obs65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870E-46B0-BAB2-5F626A487B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r>
                      <a:rPr lang="en-US"/>
                      <a:t>Obs66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870E-46B0-BAB2-5F626A487B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r>
                      <a:rPr lang="en-US"/>
                      <a:t>Obs67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870E-46B0-BAB2-5F626A487B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r>
                      <a:rPr lang="en-US"/>
                      <a:t>Obs68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870E-46B0-BAB2-5F626A487B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r>
                      <a:rPr lang="en-US"/>
                      <a:t>Obs69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870E-46B0-BAB2-5F626A487B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r>
                      <a:rPr lang="en-US"/>
                      <a:t>Obs70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870E-46B0-BAB2-5F626A487B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r>
                      <a:rPr lang="en-US"/>
                      <a:t>Obs71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870E-46B0-BAB2-5F626A487B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r>
                      <a:rPr lang="en-US"/>
                      <a:t>Obs72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870E-46B0-BAB2-5F626A487B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r>
                      <a:rPr lang="en-US"/>
                      <a:t>Obs73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870E-46B0-BAB2-5F626A487B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r>
                      <a:rPr lang="en-US"/>
                      <a:t>Obs74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870E-46B0-BAB2-5F626A487B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r>
                      <a:rPr lang="en-US"/>
                      <a:t>Obs75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870E-46B0-BAB2-5F626A487B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r>
                      <a:rPr lang="en-US"/>
                      <a:t>Obs76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870E-46B0-BAB2-5F626A487B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r>
                      <a:rPr lang="en-US"/>
                      <a:t>Obs77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870E-46B0-BAB2-5F626A487B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r>
                      <a:rPr lang="en-US"/>
                      <a:t>Obs78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870E-46B0-BAB2-5F626A487B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r>
                      <a:rPr lang="en-US"/>
                      <a:t>Obs79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870E-46B0-BAB2-5F626A487B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r>
                      <a:rPr lang="en-US"/>
                      <a:t>Obs80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870E-46B0-BAB2-5F626A487B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r>
                      <a:rPr lang="en-US"/>
                      <a:t>Obs81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870E-46B0-BAB2-5F626A487B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r>
                      <a:rPr lang="en-US"/>
                      <a:t>Obs82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870E-46B0-BAB2-5F626A487B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r>
                      <a:rPr lang="en-US"/>
                      <a:t>Obs83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870E-46B0-BAB2-5F626A487B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r>
                      <a:rPr lang="en-US"/>
                      <a:t>Obs84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870E-46B0-BAB2-5F626A487B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r>
                      <a:rPr lang="en-US"/>
                      <a:t>Obs85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870E-46B0-BAB2-5F626A487B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r>
                      <a:rPr lang="en-US"/>
                      <a:t>Obs86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6-870E-46B0-BAB2-5F626A487B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r>
                      <a:rPr lang="en-US"/>
                      <a:t>Obs87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870E-46B0-BAB2-5F626A487B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r>
                      <a:rPr lang="en-US"/>
                      <a:t>Obs88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870E-46B0-BAB2-5F626A487B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r>
                      <a:rPr lang="en-US"/>
                      <a:t>Obs89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9-870E-46B0-BAB2-5F626A487B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r>
                      <a:rPr lang="en-US"/>
                      <a:t>Obs90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870E-46B0-BAB2-5F626A487B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r>
                      <a:rPr lang="en-US"/>
                      <a:t>Obs91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870E-46B0-BAB2-5F626A487B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r>
                      <a:rPr lang="en-US"/>
                      <a:t>Obs92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870E-46B0-BAB2-5F626A487B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r>
                      <a:rPr lang="en-US"/>
                      <a:t>Obs93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870E-46B0-BAB2-5F626A487B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r>
                      <a:rPr lang="en-US"/>
                      <a:t>Obs94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870E-46B0-BAB2-5F626A487B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r>
                      <a:rPr lang="en-US"/>
                      <a:t>Obs95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F-870E-46B0-BAB2-5F626A487B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r>
                      <a:rPr lang="en-US"/>
                      <a:t>Obs96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870E-46B0-BAB2-5F626A487B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r>
                      <a:rPr lang="en-US"/>
                      <a:t>Obs97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870E-46B0-BAB2-5F626A487B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r>
                      <a:rPr lang="en-US"/>
                      <a:t>Obs98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870E-46B0-BAB2-5F626A487B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r>
                      <a:rPr lang="en-US"/>
                      <a:t>Obs99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870E-46B0-BAB2-5F626A487B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r>
                      <a:rPr lang="en-US"/>
                      <a:t>Obs100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870E-46B0-BAB2-5F626A487B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XLSTAT_20211004_124611_1_HID3!$B$2:$B$101</c:f>
              <c:numCache>
                <c:formatCode>General</c:formatCode>
                <c:ptCount val="100"/>
                <c:pt idx="0">
                  <c:v>3.7093071253943619</c:v>
                </c:pt>
                <c:pt idx="1">
                  <c:v>-0.8688362144759213</c:v>
                </c:pt>
                <c:pt idx="2">
                  <c:v>-0.16297222872806069</c:v>
                </c:pt>
                <c:pt idx="3">
                  <c:v>4.3545122691406846</c:v>
                </c:pt>
                <c:pt idx="4">
                  <c:v>5.7116748713339751</c:v>
                </c:pt>
                <c:pt idx="5">
                  <c:v>4.631264919007525</c:v>
                </c:pt>
                <c:pt idx="6">
                  <c:v>3.660173830333326</c:v>
                </c:pt>
                <c:pt idx="7">
                  <c:v>5.9808769251533977</c:v>
                </c:pt>
                <c:pt idx="8">
                  <c:v>4.257046621673072</c:v>
                </c:pt>
                <c:pt idx="9">
                  <c:v>-2.0727844558583697</c:v>
                </c:pt>
                <c:pt idx="10">
                  <c:v>3.6942783322592931</c:v>
                </c:pt>
                <c:pt idx="11">
                  <c:v>8.5298327798602305</c:v>
                </c:pt>
                <c:pt idx="12">
                  <c:v>5.224088185552656</c:v>
                </c:pt>
                <c:pt idx="13">
                  <c:v>3.5235647874984366</c:v>
                </c:pt>
                <c:pt idx="14">
                  <c:v>-4.1527375829341286</c:v>
                </c:pt>
                <c:pt idx="15">
                  <c:v>4.3304535514369613</c:v>
                </c:pt>
                <c:pt idx="16">
                  <c:v>3.5395094673143768</c:v>
                </c:pt>
                <c:pt idx="17">
                  <c:v>3.2775027224130979</c:v>
                </c:pt>
                <c:pt idx="18">
                  <c:v>8.0826740841195548</c:v>
                </c:pt>
                <c:pt idx="19">
                  <c:v>5.224088185552656</c:v>
                </c:pt>
                <c:pt idx="20">
                  <c:v>3.7905912978903444</c:v>
                </c:pt>
                <c:pt idx="21">
                  <c:v>6.2332812377744586</c:v>
                </c:pt>
                <c:pt idx="22">
                  <c:v>4.4690019052416163</c:v>
                </c:pt>
                <c:pt idx="23">
                  <c:v>7.4322541508676698</c:v>
                </c:pt>
                <c:pt idx="24">
                  <c:v>2.4159756880815215</c:v>
                </c:pt>
                <c:pt idx="25">
                  <c:v>-5.8214594712777492</c:v>
                </c:pt>
                <c:pt idx="26">
                  <c:v>3.3759423094807097</c:v>
                </c:pt>
                <c:pt idx="27">
                  <c:v>4.06820465251855</c:v>
                </c:pt>
                <c:pt idx="28">
                  <c:v>-1.1486618536092281</c:v>
                </c:pt>
                <c:pt idx="29">
                  <c:v>5.3518281694567236</c:v>
                </c:pt>
                <c:pt idx="30">
                  <c:v>-6.1476202600371641</c:v>
                </c:pt>
                <c:pt idx="31">
                  <c:v>-2.9476861636124299</c:v>
                </c:pt>
                <c:pt idx="32">
                  <c:v>5.6320935610529181</c:v>
                </c:pt>
                <c:pt idx="33">
                  <c:v>1.9447879489224076</c:v>
                </c:pt>
                <c:pt idx="34">
                  <c:v>-0.41862911427753818</c:v>
                </c:pt>
                <c:pt idx="35">
                  <c:v>0.11133116884134575</c:v>
                </c:pt>
                <c:pt idx="36">
                  <c:v>6.0431702442813666</c:v>
                </c:pt>
                <c:pt idx="37">
                  <c:v>1.9928130237579735</c:v>
                </c:pt>
                <c:pt idx="38">
                  <c:v>-10.779594394006848</c:v>
                </c:pt>
                <c:pt idx="39">
                  <c:v>-6.1476202600371641</c:v>
                </c:pt>
                <c:pt idx="40">
                  <c:v>0.12438337871989477</c:v>
                </c:pt>
                <c:pt idx="41">
                  <c:v>-1.3155496070672303</c:v>
                </c:pt>
                <c:pt idx="42">
                  <c:v>5.2063226517002938</c:v>
                </c:pt>
                <c:pt idx="43">
                  <c:v>-1.883551508261756</c:v>
                </c:pt>
                <c:pt idx="44">
                  <c:v>5.1906873385708492</c:v>
                </c:pt>
                <c:pt idx="45">
                  <c:v>-6.3564792470774814</c:v>
                </c:pt>
                <c:pt idx="46">
                  <c:v>-4.9425688407154658</c:v>
                </c:pt>
                <c:pt idx="47">
                  <c:v>-9.0879400548834095</c:v>
                </c:pt>
                <c:pt idx="48">
                  <c:v>1.4884296032573501</c:v>
                </c:pt>
                <c:pt idx="49">
                  <c:v>-0.38734611773753819</c:v>
                </c:pt>
                <c:pt idx="50">
                  <c:v>-4.2108811229911876</c:v>
                </c:pt>
                <c:pt idx="51">
                  <c:v>-2.8000636855947021</c:v>
                </c:pt>
                <c:pt idx="52">
                  <c:v>3.4994809034784113</c:v>
                </c:pt>
                <c:pt idx="53">
                  <c:v>-3.353711405684829</c:v>
                </c:pt>
                <c:pt idx="54">
                  <c:v>-0.75171803436151108</c:v>
                </c:pt>
                <c:pt idx="55">
                  <c:v>-5.6228974803572696</c:v>
                </c:pt>
                <c:pt idx="56">
                  <c:v>-5.926125818336839</c:v>
                </c:pt>
                <c:pt idx="57">
                  <c:v>-5.6228974803572696</c:v>
                </c:pt>
                <c:pt idx="58">
                  <c:v>-3.4921682474672009</c:v>
                </c:pt>
                <c:pt idx="59">
                  <c:v>-1.0101743034189763</c:v>
                </c:pt>
                <c:pt idx="60">
                  <c:v>-9.463122324255071</c:v>
                </c:pt>
                <c:pt idx="61">
                  <c:v>-2.7289981651821575</c:v>
                </c:pt>
                <c:pt idx="62">
                  <c:v>2.4159756880815215</c:v>
                </c:pt>
                <c:pt idx="63">
                  <c:v>-4.7949463626977362</c:v>
                </c:pt>
                <c:pt idx="64">
                  <c:v>-2.2813430089148441</c:v>
                </c:pt>
                <c:pt idx="65">
                  <c:v>1.1897016686114319</c:v>
                </c:pt>
                <c:pt idx="66">
                  <c:v>-3.0244375746041148</c:v>
                </c:pt>
                <c:pt idx="67">
                  <c:v>1.3641797755118883</c:v>
                </c:pt>
                <c:pt idx="68">
                  <c:v>-5.0981747006773075</c:v>
                </c:pt>
                <c:pt idx="69">
                  <c:v>-3.725583717997663</c:v>
                </c:pt>
                <c:pt idx="70">
                  <c:v>-5.8214594712777492</c:v>
                </c:pt>
                <c:pt idx="71">
                  <c:v>-1.402768625520054</c:v>
                </c:pt>
                <c:pt idx="72">
                  <c:v>-2.6941128005337323</c:v>
                </c:pt>
                <c:pt idx="73">
                  <c:v>-2.5257602880252974</c:v>
                </c:pt>
                <c:pt idx="74">
                  <c:v>3.1755764906443869</c:v>
                </c:pt>
                <c:pt idx="75">
                  <c:v>-3.9850392373441994</c:v>
                </c:pt>
                <c:pt idx="76">
                  <c:v>-7.4320378195643784</c:v>
                </c:pt>
                <c:pt idx="77">
                  <c:v>-0.97180030363634839</c:v>
                </c:pt>
                <c:pt idx="78">
                  <c:v>-0.80518100849166685</c:v>
                </c:pt>
                <c:pt idx="79">
                  <c:v>0.66857415154198452</c:v>
                </c:pt>
                <c:pt idx="80">
                  <c:v>-3.7756372812719632</c:v>
                </c:pt>
                <c:pt idx="81">
                  <c:v>-0.56376948145112671</c:v>
                </c:pt>
                <c:pt idx="82">
                  <c:v>-0.80518100849166685</c:v>
                </c:pt>
                <c:pt idx="83">
                  <c:v>-0.41862911427753818</c:v>
                </c:pt>
                <c:pt idx="84">
                  <c:v>2.0600592452835769</c:v>
                </c:pt>
                <c:pt idx="85">
                  <c:v>-7.2575597126638574</c:v>
                </c:pt>
                <c:pt idx="86">
                  <c:v>-4.1527375829341286</c:v>
                </c:pt>
                <c:pt idx="87">
                  <c:v>-7.755322039023425</c:v>
                </c:pt>
                <c:pt idx="88">
                  <c:v>-2.4932400850046181</c:v>
                </c:pt>
                <c:pt idx="89">
                  <c:v>-1.189485337308074</c:v>
                </c:pt>
                <c:pt idx="90">
                  <c:v>1.8319104483749735</c:v>
                </c:pt>
                <c:pt idx="91">
                  <c:v>-6.2651062601208105</c:v>
                </c:pt>
                <c:pt idx="92">
                  <c:v>-0.80518100849166685</c:v>
                </c:pt>
                <c:pt idx="93">
                  <c:v>-2.9858060234906261</c:v>
                </c:pt>
                <c:pt idx="94">
                  <c:v>-2.157854905831095</c:v>
                </c:pt>
                <c:pt idx="95">
                  <c:v>3.1749858560220647E-2</c:v>
                </c:pt>
                <c:pt idx="96">
                  <c:v>-0.23583706607655189</c:v>
                </c:pt>
                <c:pt idx="97">
                  <c:v>1.6842879703572464</c:v>
                </c:pt>
                <c:pt idx="98">
                  <c:v>-5.4371551424612772</c:v>
                </c:pt>
                <c:pt idx="99">
                  <c:v>1.0983286816547613</c:v>
                </c:pt>
              </c:numCache>
            </c:numRef>
          </c:xVal>
          <c:yVal>
            <c:numRef>
              <c:f>XLSTAT_20211004_124611_1_HID3!$C$2:$C$101</c:f>
              <c:numCache>
                <c:formatCode>General</c:formatCode>
                <c:ptCount val="100"/>
                <c:pt idx="0">
                  <c:v>3.7677289204214897</c:v>
                </c:pt>
                <c:pt idx="1">
                  <c:v>-1.3163448580434665</c:v>
                </c:pt>
                <c:pt idx="2">
                  <c:v>2.0204445043952184</c:v>
                </c:pt>
                <c:pt idx="3">
                  <c:v>5.1951426995084669</c:v>
                </c:pt>
                <c:pt idx="4">
                  <c:v>7.0149364624241271</c:v>
                </c:pt>
                <c:pt idx="5">
                  <c:v>3.8698387951425404</c:v>
                </c:pt>
                <c:pt idx="6">
                  <c:v>1.5402591050341972</c:v>
                </c:pt>
                <c:pt idx="7">
                  <c:v>6.8405667101880798</c:v>
                </c:pt>
                <c:pt idx="8">
                  <c:v>3.33927404245087</c:v>
                </c:pt>
                <c:pt idx="9">
                  <c:v>-3.9645049659884943</c:v>
                </c:pt>
                <c:pt idx="10">
                  <c:v>1.1115736517563786</c:v>
                </c:pt>
                <c:pt idx="11">
                  <c:v>8.3080333996621398</c:v>
                </c:pt>
                <c:pt idx="12">
                  <c:v>3.6925327446010989</c:v>
                </c:pt>
                <c:pt idx="13">
                  <c:v>3.3485146246431063</c:v>
                </c:pt>
                <c:pt idx="14">
                  <c:v>-3.3449147865485025</c:v>
                </c:pt>
                <c:pt idx="15">
                  <c:v>5.7971973180951801</c:v>
                </c:pt>
                <c:pt idx="16">
                  <c:v>0.99431339309510458</c:v>
                </c:pt>
                <c:pt idx="17">
                  <c:v>0.89983487950825392</c:v>
                </c:pt>
                <c:pt idx="18">
                  <c:v>5.2331839125765143</c:v>
                </c:pt>
                <c:pt idx="19">
                  <c:v>3.7922658736591481</c:v>
                </c:pt>
                <c:pt idx="20">
                  <c:v>0.8873649470795133</c:v>
                </c:pt>
                <c:pt idx="21">
                  <c:v>4.0087052421440257</c:v>
                </c:pt>
                <c:pt idx="22">
                  <c:v>5.2560077008898736</c:v>
                </c:pt>
                <c:pt idx="23">
                  <c:v>5.6356661818706932</c:v>
                </c:pt>
                <c:pt idx="24">
                  <c:v>-0.2521076013180914</c:v>
                </c:pt>
                <c:pt idx="25">
                  <c:v>-1.5982830047113146</c:v>
                </c:pt>
                <c:pt idx="26">
                  <c:v>0.87995151198818811</c:v>
                </c:pt>
                <c:pt idx="27">
                  <c:v>4.7574459819849899</c:v>
                </c:pt>
                <c:pt idx="28">
                  <c:v>0.85570732777632297</c:v>
                </c:pt>
                <c:pt idx="29">
                  <c:v>2.7137541189543914</c:v>
                </c:pt>
                <c:pt idx="30">
                  <c:v>-1.9776618944034363</c:v>
                </c:pt>
                <c:pt idx="31">
                  <c:v>-1.1462256900432819</c:v>
                </c:pt>
                <c:pt idx="32">
                  <c:v>3.4001805468192763</c:v>
                </c:pt>
                <c:pt idx="33">
                  <c:v>6.5951285914821716</c:v>
                </c:pt>
                <c:pt idx="34">
                  <c:v>-2.9209074203082515</c:v>
                </c:pt>
                <c:pt idx="35">
                  <c:v>4.793415987916128</c:v>
                </c:pt>
                <c:pt idx="36">
                  <c:v>1.4041675933783522</c:v>
                </c:pt>
                <c:pt idx="37">
                  <c:v>-1.727658530129657</c:v>
                </c:pt>
                <c:pt idx="38">
                  <c:v>-7.277496734282229</c:v>
                </c:pt>
                <c:pt idx="39">
                  <c:v>-4.761641241524635</c:v>
                </c:pt>
                <c:pt idx="40">
                  <c:v>-0.71793391975969878</c:v>
                </c:pt>
                <c:pt idx="41">
                  <c:v>-6.0881416258245364</c:v>
                </c:pt>
                <c:pt idx="42">
                  <c:v>1.8957065497489314</c:v>
                </c:pt>
                <c:pt idx="43">
                  <c:v>0.5413193004117629</c:v>
                </c:pt>
                <c:pt idx="44">
                  <c:v>5.6627380299709609</c:v>
                </c:pt>
                <c:pt idx="45">
                  <c:v>-3.7031456080774179</c:v>
                </c:pt>
                <c:pt idx="46">
                  <c:v>-4.2354530848948624</c:v>
                </c:pt>
                <c:pt idx="47">
                  <c:v>-10.020126294067706</c:v>
                </c:pt>
                <c:pt idx="48">
                  <c:v>-1.982453439761946</c:v>
                </c:pt>
                <c:pt idx="49">
                  <c:v>-4.13871091550903</c:v>
                </c:pt>
                <c:pt idx="50">
                  <c:v>-3.1261649919617756</c:v>
                </c:pt>
                <c:pt idx="51">
                  <c:v>-0.76973998577099401</c:v>
                </c:pt>
                <c:pt idx="52">
                  <c:v>0.12949250670278722</c:v>
                </c:pt>
                <c:pt idx="53">
                  <c:v>-1.8944963561282238</c:v>
                </c:pt>
                <c:pt idx="54">
                  <c:v>-5.046450839270384</c:v>
                </c:pt>
                <c:pt idx="55">
                  <c:v>-3.3417382069105717</c:v>
                </c:pt>
                <c:pt idx="56">
                  <c:v>-4.5060637063046975</c:v>
                </c:pt>
                <c:pt idx="57">
                  <c:v>-3.55273116498695</c:v>
                </c:pt>
                <c:pt idx="58">
                  <c:v>-2.2000729827298167</c:v>
                </c:pt>
                <c:pt idx="59">
                  <c:v>-2.5186389260328732</c:v>
                </c:pt>
                <c:pt idx="60">
                  <c:v>-7.9252744043757595</c:v>
                </c:pt>
                <c:pt idx="61">
                  <c:v>-5.0036932997975372</c:v>
                </c:pt>
                <c:pt idx="62">
                  <c:v>4.4773584120650423</c:v>
                </c:pt>
                <c:pt idx="63">
                  <c:v>-3.4717672606649845</c:v>
                </c:pt>
                <c:pt idx="64">
                  <c:v>-0.65200312885219081</c:v>
                </c:pt>
                <c:pt idx="65">
                  <c:v>-2.6037082689926532</c:v>
                </c:pt>
                <c:pt idx="66">
                  <c:v>0.83708825081021643</c:v>
                </c:pt>
                <c:pt idx="67">
                  <c:v>4.4445536135899664</c:v>
                </c:pt>
                <c:pt idx="68">
                  <c:v>-3.8622261087249661</c:v>
                </c:pt>
                <c:pt idx="69">
                  <c:v>-1.7106369478648147</c:v>
                </c:pt>
                <c:pt idx="70">
                  <c:v>-4.0552846606933182</c:v>
                </c:pt>
                <c:pt idx="71">
                  <c:v>-3.627430486847707</c:v>
                </c:pt>
                <c:pt idx="72">
                  <c:v>-0.4780567609759751</c:v>
                </c:pt>
                <c:pt idx="73">
                  <c:v>-3.5974341315259606</c:v>
                </c:pt>
                <c:pt idx="74">
                  <c:v>0.16955296308969947</c:v>
                </c:pt>
                <c:pt idx="75">
                  <c:v>-2.3801789635479773</c:v>
                </c:pt>
                <c:pt idx="76">
                  <c:v>-5.9434485240727799</c:v>
                </c:pt>
                <c:pt idx="77">
                  <c:v>-3.1547598036188726</c:v>
                </c:pt>
                <c:pt idx="78">
                  <c:v>-3.5758892480446498</c:v>
                </c:pt>
                <c:pt idx="79">
                  <c:v>1.8356718943227803</c:v>
                </c:pt>
                <c:pt idx="80">
                  <c:v>-1.4649065784240227</c:v>
                </c:pt>
                <c:pt idx="81">
                  <c:v>-3.7200324774637332</c:v>
                </c:pt>
                <c:pt idx="82">
                  <c:v>-0.1542979025769618</c:v>
                </c:pt>
                <c:pt idx="83">
                  <c:v>0.25871680813587672</c:v>
                </c:pt>
                <c:pt idx="84">
                  <c:v>-0.69641883801508075</c:v>
                </c:pt>
                <c:pt idx="85">
                  <c:v>-6.3835123069690924</c:v>
                </c:pt>
                <c:pt idx="86">
                  <c:v>-1.7271589003103089</c:v>
                </c:pt>
                <c:pt idx="87">
                  <c:v>-5.6561313765931036</c:v>
                </c:pt>
                <c:pt idx="88">
                  <c:v>-0.47030463669421058</c:v>
                </c:pt>
                <c:pt idx="89">
                  <c:v>0.37501784655178833</c:v>
                </c:pt>
                <c:pt idx="90">
                  <c:v>-2.423019975888804</c:v>
                </c:pt>
                <c:pt idx="91">
                  <c:v>-3.0252915164729171</c:v>
                </c:pt>
                <c:pt idx="92">
                  <c:v>-3.7338688219136524</c:v>
                </c:pt>
                <c:pt idx="93">
                  <c:v>-0.4206484081983502</c:v>
                </c:pt>
                <c:pt idx="94">
                  <c:v>-0.6821065104391103</c:v>
                </c:pt>
                <c:pt idx="95">
                  <c:v>2.9653807125431132E-2</c:v>
                </c:pt>
                <c:pt idx="96">
                  <c:v>-0.50186406539983119</c:v>
                </c:pt>
                <c:pt idx="97">
                  <c:v>0.74049790051111375</c:v>
                </c:pt>
                <c:pt idx="98">
                  <c:v>-3.0656450763911791</c:v>
                </c:pt>
                <c:pt idx="99">
                  <c:v>1.1337221833732509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E-46B0-BAB2-5F626A487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630207"/>
        <c:axId val="285626879"/>
      </c:scatterChart>
      <c:valAx>
        <c:axId val="285630207"/>
        <c:scaling>
          <c:orientation val="minMax"/>
          <c:max val="15"/>
          <c:min val="-1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u~1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85626879"/>
        <c:crosses val="autoZero"/>
        <c:crossBetween val="midCat"/>
        <c:majorUnit val="5"/>
      </c:valAx>
      <c:valAx>
        <c:axId val="285626879"/>
        <c:scaling>
          <c:orientation val="minMax"/>
          <c:max val="10"/>
          <c:min val="-15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u~2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5630207"/>
        <c:crosses val="autoZero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(1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VIP(1)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'PLS-R'!$B$1414:$B$1455</c:f>
              <c:strCache>
                <c:ptCount val="42"/>
                <c:pt idx="0">
                  <c:v>hand</c:v>
                </c:pt>
                <c:pt idx="1">
                  <c:v>LZ-2e</c:v>
                </c:pt>
                <c:pt idx="2">
                  <c:v>pga</c:v>
                </c:pt>
                <c:pt idx="3">
                  <c:v>area_barren</c:v>
                </c:pt>
                <c:pt idx="4">
                  <c:v>ksn</c:v>
                </c:pt>
                <c:pt idx="5">
                  <c:v>LZ-5d</c:v>
                </c:pt>
                <c:pt idx="6">
                  <c:v>area_cropland</c:v>
                </c:pt>
                <c:pt idx="7">
                  <c:v>q</c:v>
                </c:pt>
                <c:pt idx="8">
                  <c:v>cwr</c:v>
                </c:pt>
                <c:pt idx="9">
                  <c:v>KG-Dfc</c:v>
                </c:pt>
                <c:pt idx="10">
                  <c:v>sand</c:v>
                </c:pt>
                <c:pt idx="11">
                  <c:v>SHDI</c:v>
                </c:pt>
                <c:pt idx="12">
                  <c:v>LZ-5e</c:v>
                </c:pt>
                <c:pt idx="13">
                  <c:v>H_station</c:v>
                </c:pt>
                <c:pt idx="14">
                  <c:v>p</c:v>
                </c:pt>
                <c:pt idx="15">
                  <c:v>LZ-1b</c:v>
                </c:pt>
                <c:pt idx="16">
                  <c:v>KG-Cfa</c:v>
                </c:pt>
                <c:pt idx="17">
                  <c:v>dem</c:v>
                </c:pt>
                <c:pt idx="18">
                  <c:v>LZ-2c</c:v>
                </c:pt>
                <c:pt idx="19">
                  <c:v>LZ-2b</c:v>
                </c:pt>
                <c:pt idx="20">
                  <c:v>srad</c:v>
                </c:pt>
                <c:pt idx="21">
                  <c:v>canopy</c:v>
                </c:pt>
                <c:pt idx="22">
                  <c:v>KG-Dfb</c:v>
                </c:pt>
                <c:pt idx="23">
                  <c:v>LZ-2f</c:v>
                </c:pt>
                <c:pt idx="24">
                  <c:v>pop</c:v>
                </c:pt>
                <c:pt idx="25">
                  <c:v>KG-ET</c:v>
                </c:pt>
                <c:pt idx="26">
                  <c:v>KG-Dsb</c:v>
                </c:pt>
                <c:pt idx="27">
                  <c:v>LZ-2a</c:v>
                </c:pt>
                <c:pt idx="28">
                  <c:v>aet</c:v>
                </c:pt>
                <c:pt idx="29">
                  <c:v>KG-Dfa</c:v>
                </c:pt>
                <c:pt idx="30">
                  <c:v>glacier</c:v>
                </c:pt>
                <c:pt idx="31">
                  <c:v>area_forest</c:v>
                </c:pt>
                <c:pt idx="32">
                  <c:v>glored</c:v>
                </c:pt>
                <c:pt idx="33">
                  <c:v>A</c:v>
                </c:pt>
                <c:pt idx="34">
                  <c:v>LZ-6f</c:v>
                </c:pt>
                <c:pt idx="35">
                  <c:v>LZ-2g</c:v>
                </c:pt>
                <c:pt idx="36">
                  <c:v>KG-Csa</c:v>
                </c:pt>
                <c:pt idx="37">
                  <c:v>LZ-6d</c:v>
                </c:pt>
                <c:pt idx="38">
                  <c:v>KG-Cfb</c:v>
                </c:pt>
                <c:pt idx="39">
                  <c:v>LZ-3f</c:v>
                </c:pt>
                <c:pt idx="40">
                  <c:v>KG-Dsa</c:v>
                </c:pt>
                <c:pt idx="41">
                  <c:v>LZ-5f</c:v>
                </c:pt>
              </c:strCache>
            </c:strRef>
          </c:cat>
          <c:val>
            <c:numRef>
              <c:f>'PLS-R'!$C$1414:$C$1455</c:f>
              <c:numCache>
                <c:formatCode>0.000</c:formatCode>
                <c:ptCount val="42"/>
                <c:pt idx="0">
                  <c:v>2.1637548278031211</c:v>
                </c:pt>
                <c:pt idx="1">
                  <c:v>1.6294859418658492</c:v>
                </c:pt>
                <c:pt idx="2">
                  <c:v>2.0325731016140542</c:v>
                </c:pt>
                <c:pt idx="3">
                  <c:v>2.0443284834217712</c:v>
                </c:pt>
                <c:pt idx="4">
                  <c:v>1.8895602483425362</c:v>
                </c:pt>
                <c:pt idx="5">
                  <c:v>1.5333321728781468</c:v>
                </c:pt>
                <c:pt idx="6">
                  <c:v>1.5035440932398147</c:v>
                </c:pt>
                <c:pt idx="7">
                  <c:v>0.98922113035823556</c:v>
                </c:pt>
                <c:pt idx="8">
                  <c:v>1.4828548706794487</c:v>
                </c:pt>
                <c:pt idx="9">
                  <c:v>1.395138127616067</c:v>
                </c:pt>
                <c:pt idx="10">
                  <c:v>1.3152746884145068</c:v>
                </c:pt>
                <c:pt idx="11">
                  <c:v>1.4018637012035475</c:v>
                </c:pt>
                <c:pt idx="12">
                  <c:v>1.1316499750092073</c:v>
                </c:pt>
                <c:pt idx="13">
                  <c:v>3.8495988788279117E-2</c:v>
                </c:pt>
                <c:pt idx="14">
                  <c:v>0.84025914594540574</c:v>
                </c:pt>
                <c:pt idx="15">
                  <c:v>1.1624989012335827</c:v>
                </c:pt>
                <c:pt idx="16">
                  <c:v>0.7304922906390009</c:v>
                </c:pt>
                <c:pt idx="17">
                  <c:v>0.10661823111313912</c:v>
                </c:pt>
                <c:pt idx="18">
                  <c:v>0.87850475710124554</c:v>
                </c:pt>
                <c:pt idx="19">
                  <c:v>0.98784716835469832</c:v>
                </c:pt>
                <c:pt idx="20">
                  <c:v>0.42984356546120567</c:v>
                </c:pt>
                <c:pt idx="21">
                  <c:v>0.74262932772514556</c:v>
                </c:pt>
                <c:pt idx="22">
                  <c:v>0.62932954160721222</c:v>
                </c:pt>
                <c:pt idx="23">
                  <c:v>0.75999872145629455</c:v>
                </c:pt>
                <c:pt idx="24">
                  <c:v>0.40798111317226965</c:v>
                </c:pt>
                <c:pt idx="25">
                  <c:v>0.53482658595239341</c:v>
                </c:pt>
                <c:pt idx="26">
                  <c:v>0.64370963688890848</c:v>
                </c:pt>
                <c:pt idx="27">
                  <c:v>0.26705478302136898</c:v>
                </c:pt>
                <c:pt idx="28">
                  <c:v>5.2098093346443872E-2</c:v>
                </c:pt>
                <c:pt idx="29">
                  <c:v>0.24665789709330121</c:v>
                </c:pt>
                <c:pt idx="30">
                  <c:v>0.44254234087443728</c:v>
                </c:pt>
                <c:pt idx="31">
                  <c:v>0.35271761791386136</c:v>
                </c:pt>
                <c:pt idx="32">
                  <c:v>0.27595075777917666</c:v>
                </c:pt>
                <c:pt idx="33">
                  <c:v>0.16173737387766424</c:v>
                </c:pt>
                <c:pt idx="34">
                  <c:v>0.40338015533510085</c:v>
                </c:pt>
                <c:pt idx="35">
                  <c:v>0.32180828662184319</c:v>
                </c:pt>
                <c:pt idx="36">
                  <c:v>0.38813676346766141</c:v>
                </c:pt>
                <c:pt idx="37">
                  <c:v>0.3321982205292322</c:v>
                </c:pt>
                <c:pt idx="38">
                  <c:v>0.10928139607532154</c:v>
                </c:pt>
                <c:pt idx="39">
                  <c:v>7.3773913570604505E-2</c:v>
                </c:pt>
                <c:pt idx="40">
                  <c:v>0.16460635037841398</c:v>
                </c:pt>
                <c:pt idx="41">
                  <c:v>0.11404231488347596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71-45A0-B822-28919D072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85627711"/>
        <c:axId val="285630207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071-45A0-B822-28919D07282B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071-45A0-B822-28919D072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93167"/>
        <c:axId val="285396495"/>
      </c:scatterChart>
      <c:catAx>
        <c:axId val="28562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285630207"/>
        <c:crosses val="autoZero"/>
        <c:auto val="1"/>
        <c:lblAlgn val="ctr"/>
        <c:lblOffset val="100"/>
        <c:noMultiLvlLbl val="0"/>
      </c:catAx>
      <c:valAx>
        <c:axId val="28563020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5627711"/>
        <c:crosses val="autoZero"/>
        <c:crossBetween val="between"/>
      </c:valAx>
      <c:valAx>
        <c:axId val="285396495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285393167"/>
        <c:crosses val="max"/>
        <c:crossBetween val="midCat"/>
      </c:valAx>
      <c:valAx>
        <c:axId val="285393167"/>
        <c:scaling>
          <c:orientation val="minMax"/>
          <c:max val="42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85396495"/>
        <c:crosses val="max"/>
        <c:crossBetween val="midCat"/>
        <c:majorUnit val="1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(2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VIP(2)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'PLS-R'!$B$1414:$B$1455</c:f>
              <c:strCache>
                <c:ptCount val="42"/>
                <c:pt idx="0">
                  <c:v>hand</c:v>
                </c:pt>
                <c:pt idx="1">
                  <c:v>LZ-2e</c:v>
                </c:pt>
                <c:pt idx="2">
                  <c:v>pga</c:v>
                </c:pt>
                <c:pt idx="3">
                  <c:v>area_barren</c:v>
                </c:pt>
                <c:pt idx="4">
                  <c:v>ksn</c:v>
                </c:pt>
                <c:pt idx="5">
                  <c:v>LZ-5d</c:v>
                </c:pt>
                <c:pt idx="6">
                  <c:v>area_cropland</c:v>
                </c:pt>
                <c:pt idx="7">
                  <c:v>q</c:v>
                </c:pt>
                <c:pt idx="8">
                  <c:v>cwr</c:v>
                </c:pt>
                <c:pt idx="9">
                  <c:v>KG-Dfc</c:v>
                </c:pt>
                <c:pt idx="10">
                  <c:v>sand</c:v>
                </c:pt>
                <c:pt idx="11">
                  <c:v>SHDI</c:v>
                </c:pt>
                <c:pt idx="12">
                  <c:v>LZ-5e</c:v>
                </c:pt>
                <c:pt idx="13">
                  <c:v>H_station</c:v>
                </c:pt>
                <c:pt idx="14">
                  <c:v>p</c:v>
                </c:pt>
                <c:pt idx="15">
                  <c:v>LZ-1b</c:v>
                </c:pt>
                <c:pt idx="16">
                  <c:v>KG-Cfa</c:v>
                </c:pt>
                <c:pt idx="17">
                  <c:v>dem</c:v>
                </c:pt>
                <c:pt idx="18">
                  <c:v>LZ-2c</c:v>
                </c:pt>
                <c:pt idx="19">
                  <c:v>LZ-2b</c:v>
                </c:pt>
                <c:pt idx="20">
                  <c:v>srad</c:v>
                </c:pt>
                <c:pt idx="21">
                  <c:v>canopy</c:v>
                </c:pt>
                <c:pt idx="22">
                  <c:v>KG-Dfb</c:v>
                </c:pt>
                <c:pt idx="23">
                  <c:v>LZ-2f</c:v>
                </c:pt>
                <c:pt idx="24">
                  <c:v>pop</c:v>
                </c:pt>
                <c:pt idx="25">
                  <c:v>KG-ET</c:v>
                </c:pt>
                <c:pt idx="26">
                  <c:v>KG-Dsb</c:v>
                </c:pt>
                <c:pt idx="27">
                  <c:v>LZ-2a</c:v>
                </c:pt>
                <c:pt idx="28">
                  <c:v>aet</c:v>
                </c:pt>
                <c:pt idx="29">
                  <c:v>KG-Dfa</c:v>
                </c:pt>
                <c:pt idx="30">
                  <c:v>glacier</c:v>
                </c:pt>
                <c:pt idx="31">
                  <c:v>area_forest</c:v>
                </c:pt>
                <c:pt idx="32">
                  <c:v>glored</c:v>
                </c:pt>
                <c:pt idx="33">
                  <c:v>A</c:v>
                </c:pt>
                <c:pt idx="34">
                  <c:v>LZ-6f</c:v>
                </c:pt>
                <c:pt idx="35">
                  <c:v>LZ-2g</c:v>
                </c:pt>
                <c:pt idx="36">
                  <c:v>KG-Csa</c:v>
                </c:pt>
                <c:pt idx="37">
                  <c:v>LZ-6d</c:v>
                </c:pt>
                <c:pt idx="38">
                  <c:v>KG-Cfb</c:v>
                </c:pt>
                <c:pt idx="39">
                  <c:v>LZ-3f</c:v>
                </c:pt>
                <c:pt idx="40">
                  <c:v>KG-Dsa</c:v>
                </c:pt>
                <c:pt idx="41">
                  <c:v>LZ-5f</c:v>
                </c:pt>
              </c:strCache>
            </c:strRef>
          </c:cat>
          <c:val>
            <c:numRef>
              <c:f>'PLS-R'!$G$1414:$G$1455</c:f>
              <c:numCache>
                <c:formatCode>0.000</c:formatCode>
                <c:ptCount val="42"/>
                <c:pt idx="0">
                  <c:v>1.9220768187937816</c:v>
                </c:pt>
                <c:pt idx="1">
                  <c:v>1.8622783292916072</c:v>
                </c:pt>
                <c:pt idx="2">
                  <c:v>1.8198025251105054</c:v>
                </c:pt>
                <c:pt idx="3">
                  <c:v>1.7816672476196131</c:v>
                </c:pt>
                <c:pt idx="4">
                  <c:v>1.7165580795069992</c:v>
                </c:pt>
                <c:pt idx="5">
                  <c:v>1.5308207847709787</c:v>
                </c:pt>
                <c:pt idx="6">
                  <c:v>1.3256272921147076</c:v>
                </c:pt>
                <c:pt idx="7">
                  <c:v>1.2702113184200643</c:v>
                </c:pt>
                <c:pt idx="8">
                  <c:v>1.2923638092569996</c:v>
                </c:pt>
                <c:pt idx="9">
                  <c:v>1.2651312474609975</c:v>
                </c:pt>
                <c:pt idx="10">
                  <c:v>1.2446937705538743</c:v>
                </c:pt>
                <c:pt idx="11">
                  <c:v>1.2348975705744267</c:v>
                </c:pt>
                <c:pt idx="12">
                  <c:v>1.2816486744637052</c:v>
                </c:pt>
                <c:pt idx="13">
                  <c:v>1.1701473323235079</c:v>
                </c:pt>
                <c:pt idx="14">
                  <c:v>1.0069345293562324</c:v>
                </c:pt>
                <c:pt idx="15">
                  <c:v>1.0277586109931782</c:v>
                </c:pt>
                <c:pt idx="16">
                  <c:v>1.047080776257606</c:v>
                </c:pt>
                <c:pt idx="17">
                  <c:v>0.89565419200107066</c:v>
                </c:pt>
                <c:pt idx="18">
                  <c:v>0.92319885545119673</c:v>
                </c:pt>
                <c:pt idx="19">
                  <c:v>0.89122662315709589</c:v>
                </c:pt>
                <c:pt idx="20">
                  <c:v>0.69033896302692777</c:v>
                </c:pt>
                <c:pt idx="21">
                  <c:v>0.65561947927974318</c:v>
                </c:pt>
                <c:pt idx="22">
                  <c:v>0.58455420447782769</c:v>
                </c:pt>
                <c:pt idx="23">
                  <c:v>0.69541688210015906</c:v>
                </c:pt>
                <c:pt idx="24">
                  <c:v>0.70057257872338308</c:v>
                </c:pt>
                <c:pt idx="25">
                  <c:v>0.6202393767523624</c:v>
                </c:pt>
                <c:pt idx="26">
                  <c:v>0.58928801146488141</c:v>
                </c:pt>
                <c:pt idx="27">
                  <c:v>0.48756475770297719</c:v>
                </c:pt>
                <c:pt idx="28">
                  <c:v>0.4326640922501479</c:v>
                </c:pt>
                <c:pt idx="29">
                  <c:v>0.54711028090963887</c:v>
                </c:pt>
                <c:pt idx="30">
                  <c:v>0.39338841150240883</c:v>
                </c:pt>
                <c:pt idx="31">
                  <c:v>0.35014332113895652</c:v>
                </c:pt>
                <c:pt idx="32">
                  <c:v>0.24054704128043217</c:v>
                </c:pt>
                <c:pt idx="33">
                  <c:v>0.37136376736412213</c:v>
                </c:pt>
                <c:pt idx="34">
                  <c:v>0.38112030304181899</c:v>
                </c:pt>
                <c:pt idx="35">
                  <c:v>0.33484346837476281</c:v>
                </c:pt>
                <c:pt idx="36">
                  <c:v>0.34132241569196947</c:v>
                </c:pt>
                <c:pt idx="37">
                  <c:v>0.30050089466145424</c:v>
                </c:pt>
                <c:pt idx="38">
                  <c:v>9.5255859339339777E-2</c:v>
                </c:pt>
                <c:pt idx="39">
                  <c:v>0.23354639240887867</c:v>
                </c:pt>
                <c:pt idx="40">
                  <c:v>0.15608984445792518</c:v>
                </c:pt>
                <c:pt idx="41">
                  <c:v>0.12076146792287971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C-44BD-A90F-F11B3D839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85394415"/>
        <c:axId val="285396079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0BC-44BD-A90F-F11B3D83953F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0BC-44BD-A90F-F11B3D839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94831"/>
        <c:axId val="285395663"/>
      </c:scatterChart>
      <c:catAx>
        <c:axId val="285394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285396079"/>
        <c:crosses val="autoZero"/>
        <c:auto val="1"/>
        <c:lblAlgn val="ctr"/>
        <c:lblOffset val="100"/>
        <c:noMultiLvlLbl val="0"/>
      </c:catAx>
      <c:valAx>
        <c:axId val="2853960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5394415"/>
        <c:crosses val="autoZero"/>
        <c:crossBetween val="between"/>
      </c:valAx>
      <c:valAx>
        <c:axId val="285395663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285394831"/>
        <c:crosses val="max"/>
        <c:crossBetween val="midCat"/>
      </c:valAx>
      <c:valAx>
        <c:axId val="285394831"/>
        <c:scaling>
          <c:orientation val="minMax"/>
          <c:max val="42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85395663"/>
        <c:crosses val="max"/>
        <c:crossBetween val="midCat"/>
        <c:majorUnit val="1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(3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VIP(3)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'PLS-R'!$B$1414:$B$1455</c:f>
              <c:strCache>
                <c:ptCount val="42"/>
                <c:pt idx="0">
                  <c:v>hand</c:v>
                </c:pt>
                <c:pt idx="1">
                  <c:v>LZ-2e</c:v>
                </c:pt>
                <c:pt idx="2">
                  <c:v>pga</c:v>
                </c:pt>
                <c:pt idx="3">
                  <c:v>area_barren</c:v>
                </c:pt>
                <c:pt idx="4">
                  <c:v>ksn</c:v>
                </c:pt>
                <c:pt idx="5">
                  <c:v>LZ-5d</c:v>
                </c:pt>
                <c:pt idx="6">
                  <c:v>area_cropland</c:v>
                </c:pt>
                <c:pt idx="7">
                  <c:v>q</c:v>
                </c:pt>
                <c:pt idx="8">
                  <c:v>cwr</c:v>
                </c:pt>
                <c:pt idx="9">
                  <c:v>KG-Dfc</c:v>
                </c:pt>
                <c:pt idx="10">
                  <c:v>sand</c:v>
                </c:pt>
                <c:pt idx="11">
                  <c:v>SHDI</c:v>
                </c:pt>
                <c:pt idx="12">
                  <c:v>LZ-5e</c:v>
                </c:pt>
                <c:pt idx="13">
                  <c:v>H_station</c:v>
                </c:pt>
                <c:pt idx="14">
                  <c:v>p</c:v>
                </c:pt>
                <c:pt idx="15">
                  <c:v>LZ-1b</c:v>
                </c:pt>
                <c:pt idx="16">
                  <c:v>KG-Cfa</c:v>
                </c:pt>
                <c:pt idx="17">
                  <c:v>dem</c:v>
                </c:pt>
                <c:pt idx="18">
                  <c:v>LZ-2c</c:v>
                </c:pt>
                <c:pt idx="19">
                  <c:v>LZ-2b</c:v>
                </c:pt>
                <c:pt idx="20">
                  <c:v>srad</c:v>
                </c:pt>
                <c:pt idx="21">
                  <c:v>canopy</c:v>
                </c:pt>
                <c:pt idx="22">
                  <c:v>KG-Dfb</c:v>
                </c:pt>
                <c:pt idx="23">
                  <c:v>LZ-2f</c:v>
                </c:pt>
                <c:pt idx="24">
                  <c:v>pop</c:v>
                </c:pt>
                <c:pt idx="25">
                  <c:v>KG-ET</c:v>
                </c:pt>
                <c:pt idx="26">
                  <c:v>KG-Dsb</c:v>
                </c:pt>
                <c:pt idx="27">
                  <c:v>LZ-2a</c:v>
                </c:pt>
                <c:pt idx="28">
                  <c:v>aet</c:v>
                </c:pt>
                <c:pt idx="29">
                  <c:v>KG-Dfa</c:v>
                </c:pt>
                <c:pt idx="30">
                  <c:v>glacier</c:v>
                </c:pt>
                <c:pt idx="31">
                  <c:v>area_forest</c:v>
                </c:pt>
                <c:pt idx="32">
                  <c:v>glored</c:v>
                </c:pt>
                <c:pt idx="33">
                  <c:v>A</c:v>
                </c:pt>
                <c:pt idx="34">
                  <c:v>LZ-6f</c:v>
                </c:pt>
                <c:pt idx="35">
                  <c:v>LZ-2g</c:v>
                </c:pt>
                <c:pt idx="36">
                  <c:v>KG-Csa</c:v>
                </c:pt>
                <c:pt idx="37">
                  <c:v>LZ-6d</c:v>
                </c:pt>
                <c:pt idx="38">
                  <c:v>KG-Cfb</c:v>
                </c:pt>
                <c:pt idx="39">
                  <c:v>LZ-3f</c:v>
                </c:pt>
                <c:pt idx="40">
                  <c:v>KG-Dsa</c:v>
                </c:pt>
                <c:pt idx="41">
                  <c:v>LZ-5f</c:v>
                </c:pt>
              </c:strCache>
            </c:strRef>
          </c:cat>
          <c:val>
            <c:numRef>
              <c:f>'PLS-R'!$K$1414:$K$1455</c:f>
              <c:numCache>
                <c:formatCode>0.000</c:formatCode>
                <c:ptCount val="42"/>
                <c:pt idx="0">
                  <c:v>1.8528629477093743</c:v>
                </c:pt>
                <c:pt idx="1">
                  <c:v>1.8412444784858404</c:v>
                </c:pt>
                <c:pt idx="2">
                  <c:v>1.7835440340318833</c:v>
                </c:pt>
                <c:pt idx="3">
                  <c:v>1.7138518140088661</c:v>
                </c:pt>
                <c:pt idx="4">
                  <c:v>1.6575758516131911</c:v>
                </c:pt>
                <c:pt idx="5">
                  <c:v>1.5095726765199147</c:v>
                </c:pt>
                <c:pt idx="6">
                  <c:v>1.3334197020708036</c:v>
                </c:pt>
                <c:pt idx="7">
                  <c:v>1.3350696536951321</c:v>
                </c:pt>
                <c:pt idx="8">
                  <c:v>1.2814605279581162</c:v>
                </c:pt>
                <c:pt idx="9">
                  <c:v>1.2472663861715214</c:v>
                </c:pt>
                <c:pt idx="10">
                  <c:v>1.2444997172950409</c:v>
                </c:pt>
                <c:pt idx="11">
                  <c:v>1.2612288072510074</c:v>
                </c:pt>
                <c:pt idx="12">
                  <c:v>1.2384416491386891</c:v>
                </c:pt>
                <c:pt idx="13">
                  <c:v>1.1283346979671902</c:v>
                </c:pt>
                <c:pt idx="14">
                  <c:v>1.0832737069298715</c:v>
                </c:pt>
                <c:pt idx="15">
                  <c:v>1.0738714386271968</c:v>
                </c:pt>
                <c:pt idx="16">
                  <c:v>1.0512981011406681</c:v>
                </c:pt>
                <c:pt idx="17">
                  <c:v>0.93116087975690698</c:v>
                </c:pt>
                <c:pt idx="18">
                  <c:v>0.91611766403331696</c:v>
                </c:pt>
                <c:pt idx="19">
                  <c:v>0.86406157286172214</c:v>
                </c:pt>
                <c:pt idx="20">
                  <c:v>0.85256387379482257</c:v>
                </c:pt>
                <c:pt idx="21">
                  <c:v>0.65933581164414068</c:v>
                </c:pt>
                <c:pt idx="22">
                  <c:v>0.71531115446733329</c:v>
                </c:pt>
                <c:pt idx="23">
                  <c:v>0.66951582854064018</c:v>
                </c:pt>
                <c:pt idx="24">
                  <c:v>0.68946760241038862</c:v>
                </c:pt>
                <c:pt idx="25">
                  <c:v>0.60503891121836528</c:v>
                </c:pt>
                <c:pt idx="26">
                  <c:v>0.59880792695194196</c:v>
                </c:pt>
                <c:pt idx="27">
                  <c:v>0.48391321113801283</c:v>
                </c:pt>
                <c:pt idx="28">
                  <c:v>0.42238245349605591</c:v>
                </c:pt>
                <c:pt idx="29">
                  <c:v>0.52837199971221249</c:v>
                </c:pt>
                <c:pt idx="30">
                  <c:v>0.49736313401091026</c:v>
                </c:pt>
                <c:pt idx="31">
                  <c:v>0.3523730800452689</c:v>
                </c:pt>
                <c:pt idx="32">
                  <c:v>0.4662449346777775</c:v>
                </c:pt>
                <c:pt idx="33">
                  <c:v>0.45017353851881353</c:v>
                </c:pt>
                <c:pt idx="34">
                  <c:v>0.39030839509324139</c:v>
                </c:pt>
                <c:pt idx="35">
                  <c:v>0.37349012851614627</c:v>
                </c:pt>
                <c:pt idx="36">
                  <c:v>0.33295091563449936</c:v>
                </c:pt>
                <c:pt idx="37">
                  <c:v>0.32687243556190221</c:v>
                </c:pt>
                <c:pt idx="38">
                  <c:v>9.500879847186619E-2</c:v>
                </c:pt>
                <c:pt idx="39">
                  <c:v>0.23238618764240904</c:v>
                </c:pt>
                <c:pt idx="40">
                  <c:v>0.22734937198825136</c:v>
                </c:pt>
                <c:pt idx="41">
                  <c:v>0.11616051919868928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ED-4E7E-B236-92870A28D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85628543"/>
        <c:axId val="285629375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1ED-4E7E-B236-92870A28D8DE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1ED-4E7E-B236-92870A28D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69087"/>
        <c:axId val="285393999"/>
      </c:scatterChart>
      <c:catAx>
        <c:axId val="285628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285629375"/>
        <c:crosses val="autoZero"/>
        <c:auto val="1"/>
        <c:lblAlgn val="ctr"/>
        <c:lblOffset val="100"/>
        <c:noMultiLvlLbl val="0"/>
      </c:catAx>
      <c:valAx>
        <c:axId val="2856293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5628543"/>
        <c:crosses val="autoZero"/>
        <c:crossBetween val="between"/>
      </c:valAx>
      <c:valAx>
        <c:axId val="285393999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284169087"/>
        <c:crosses val="max"/>
        <c:crossBetween val="midCat"/>
      </c:valAx>
      <c:valAx>
        <c:axId val="284169087"/>
        <c:scaling>
          <c:orientation val="minMax"/>
          <c:max val="42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85393999"/>
        <c:crosses val="max"/>
        <c:crossBetween val="midCat"/>
        <c:majorUnit val="1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VIPs (4 Comp / 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VIP(4)</c:v>
          </c:tx>
          <c:spPr>
            <a:solidFill>
              <a:srgbClr val="2A7498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'PLS-R'!$B$1414:$B$1455</c:f>
              <c:strCache>
                <c:ptCount val="42"/>
                <c:pt idx="0">
                  <c:v>hand</c:v>
                </c:pt>
                <c:pt idx="1">
                  <c:v>LZ-2e</c:v>
                </c:pt>
                <c:pt idx="2">
                  <c:v>pga</c:v>
                </c:pt>
                <c:pt idx="3">
                  <c:v>area_barren</c:v>
                </c:pt>
                <c:pt idx="4">
                  <c:v>ksn</c:v>
                </c:pt>
                <c:pt idx="5">
                  <c:v>LZ-5d</c:v>
                </c:pt>
                <c:pt idx="6">
                  <c:v>area_cropland</c:v>
                </c:pt>
                <c:pt idx="7">
                  <c:v>q</c:v>
                </c:pt>
                <c:pt idx="8">
                  <c:v>cwr</c:v>
                </c:pt>
                <c:pt idx="9">
                  <c:v>KG-Dfc</c:v>
                </c:pt>
                <c:pt idx="10">
                  <c:v>sand</c:v>
                </c:pt>
                <c:pt idx="11">
                  <c:v>SHDI</c:v>
                </c:pt>
                <c:pt idx="12">
                  <c:v>LZ-5e</c:v>
                </c:pt>
                <c:pt idx="13">
                  <c:v>H_station</c:v>
                </c:pt>
                <c:pt idx="14">
                  <c:v>p</c:v>
                </c:pt>
                <c:pt idx="15">
                  <c:v>LZ-1b</c:v>
                </c:pt>
                <c:pt idx="16">
                  <c:v>KG-Cfa</c:v>
                </c:pt>
                <c:pt idx="17">
                  <c:v>dem</c:v>
                </c:pt>
                <c:pt idx="18">
                  <c:v>LZ-2c</c:v>
                </c:pt>
                <c:pt idx="19">
                  <c:v>LZ-2b</c:v>
                </c:pt>
                <c:pt idx="20">
                  <c:v>srad</c:v>
                </c:pt>
                <c:pt idx="21">
                  <c:v>canopy</c:v>
                </c:pt>
                <c:pt idx="22">
                  <c:v>KG-Dfb</c:v>
                </c:pt>
                <c:pt idx="23">
                  <c:v>LZ-2f</c:v>
                </c:pt>
                <c:pt idx="24">
                  <c:v>pop</c:v>
                </c:pt>
                <c:pt idx="25">
                  <c:v>KG-ET</c:v>
                </c:pt>
                <c:pt idx="26">
                  <c:v>KG-Dsb</c:v>
                </c:pt>
                <c:pt idx="27">
                  <c:v>LZ-2a</c:v>
                </c:pt>
                <c:pt idx="28">
                  <c:v>aet</c:v>
                </c:pt>
                <c:pt idx="29">
                  <c:v>KG-Dfa</c:v>
                </c:pt>
                <c:pt idx="30">
                  <c:v>glacier</c:v>
                </c:pt>
                <c:pt idx="31">
                  <c:v>area_forest</c:v>
                </c:pt>
                <c:pt idx="32">
                  <c:v>glored</c:v>
                </c:pt>
                <c:pt idx="33">
                  <c:v>A</c:v>
                </c:pt>
                <c:pt idx="34">
                  <c:v>LZ-6f</c:v>
                </c:pt>
                <c:pt idx="35">
                  <c:v>LZ-2g</c:v>
                </c:pt>
                <c:pt idx="36">
                  <c:v>KG-Csa</c:v>
                </c:pt>
                <c:pt idx="37">
                  <c:v>LZ-6d</c:v>
                </c:pt>
                <c:pt idx="38">
                  <c:v>KG-Cfb</c:v>
                </c:pt>
                <c:pt idx="39">
                  <c:v>LZ-3f</c:v>
                </c:pt>
                <c:pt idx="40">
                  <c:v>KG-Dsa</c:v>
                </c:pt>
                <c:pt idx="41">
                  <c:v>LZ-5f</c:v>
                </c:pt>
              </c:strCache>
            </c:strRef>
          </c:cat>
          <c:val>
            <c:numRef>
              <c:f>'PLS-R'!$O$1414:$O$1455</c:f>
              <c:numCache>
                <c:formatCode>0.000</c:formatCode>
                <c:ptCount val="42"/>
                <c:pt idx="0">
                  <c:v>1.8288958278566565</c:v>
                </c:pt>
                <c:pt idx="1">
                  <c:v>1.8210388974776208</c:v>
                </c:pt>
                <c:pt idx="2">
                  <c:v>1.7682056812564453</c:v>
                </c:pt>
                <c:pt idx="3">
                  <c:v>1.7030398207781308</c:v>
                </c:pt>
                <c:pt idx="4">
                  <c:v>1.6367896616226354</c:v>
                </c:pt>
                <c:pt idx="5">
                  <c:v>1.4900400137250689</c:v>
                </c:pt>
                <c:pt idx="6">
                  <c:v>1.3329277080373001</c:v>
                </c:pt>
                <c:pt idx="7">
                  <c:v>1.3206076235599939</c:v>
                </c:pt>
                <c:pt idx="8">
                  <c:v>1.26610394722138</c:v>
                </c:pt>
                <c:pt idx="9">
                  <c:v>1.2564772980263026</c:v>
                </c:pt>
                <c:pt idx="10">
                  <c:v>1.2499238787325628</c:v>
                </c:pt>
                <c:pt idx="11">
                  <c:v>1.2468629822541173</c:v>
                </c:pt>
                <c:pt idx="12">
                  <c:v>1.2307335370459724</c:v>
                </c:pt>
                <c:pt idx="13">
                  <c:v>1.1587379739843453</c:v>
                </c:pt>
                <c:pt idx="14">
                  <c:v>1.0812931512383146</c:v>
                </c:pt>
                <c:pt idx="15">
                  <c:v>1.0674987597165022</c:v>
                </c:pt>
                <c:pt idx="16">
                  <c:v>1.0377062761347193</c:v>
                </c:pt>
                <c:pt idx="17">
                  <c:v>0.92230195942486337</c:v>
                </c:pt>
                <c:pt idx="18">
                  <c:v>0.90623202520612567</c:v>
                </c:pt>
                <c:pt idx="19">
                  <c:v>0.86250975433392985</c:v>
                </c:pt>
                <c:pt idx="20">
                  <c:v>0.84376251952390413</c:v>
                </c:pt>
                <c:pt idx="21">
                  <c:v>0.72536125682236685</c:v>
                </c:pt>
                <c:pt idx="22">
                  <c:v>0.71744416268241529</c:v>
                </c:pt>
                <c:pt idx="23">
                  <c:v>0.70090279863398475</c:v>
                </c:pt>
                <c:pt idx="24">
                  <c:v>0.69123004213432415</c:v>
                </c:pt>
                <c:pt idx="25">
                  <c:v>0.59938769435278494</c:v>
                </c:pt>
                <c:pt idx="26">
                  <c:v>0.59135643063364174</c:v>
                </c:pt>
                <c:pt idx="27">
                  <c:v>0.54212536522393862</c:v>
                </c:pt>
                <c:pt idx="28">
                  <c:v>0.52731104598681555</c:v>
                </c:pt>
                <c:pt idx="29">
                  <c:v>0.52265821197087436</c:v>
                </c:pt>
                <c:pt idx="30">
                  <c:v>0.4977253601906157</c:v>
                </c:pt>
                <c:pt idx="31">
                  <c:v>0.4826217705813084</c:v>
                </c:pt>
                <c:pt idx="32">
                  <c:v>0.47086787200873675</c:v>
                </c:pt>
                <c:pt idx="33">
                  <c:v>0.44562111542182409</c:v>
                </c:pt>
                <c:pt idx="34">
                  <c:v>0.40220286150891926</c:v>
                </c:pt>
                <c:pt idx="35">
                  <c:v>0.39432668992846032</c:v>
                </c:pt>
                <c:pt idx="36">
                  <c:v>0.33671711033648949</c:v>
                </c:pt>
                <c:pt idx="37">
                  <c:v>0.32264205816917707</c:v>
                </c:pt>
                <c:pt idx="38">
                  <c:v>0.28042509323101855</c:v>
                </c:pt>
                <c:pt idx="39">
                  <c:v>0.2686201754374678</c:v>
                </c:pt>
                <c:pt idx="40">
                  <c:v>0.23273023986015484</c:v>
                </c:pt>
                <c:pt idx="41">
                  <c:v>0.13391312159136465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E-4E56-A43A-85EB70375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84170751"/>
        <c:axId val="284170335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0.8</c:v>
              </c:pt>
              <c:pt idx="1">
                <c:v>0.8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B7E-4E56-A43A-85EB70375079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42</c:v>
              </c:pt>
            </c:numLit>
          </c:xVal>
          <c:y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2B7E-4E56-A43A-85EB70375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68671"/>
        <c:axId val="284169503"/>
      </c:scatterChart>
      <c:catAx>
        <c:axId val="284170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284170335"/>
        <c:crosses val="autoZero"/>
        <c:auto val="1"/>
        <c:lblAlgn val="ctr"/>
        <c:lblOffset val="100"/>
        <c:noMultiLvlLbl val="0"/>
      </c:catAx>
      <c:valAx>
        <c:axId val="2841703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4170751"/>
        <c:crosses val="autoZero"/>
        <c:crossBetween val="between"/>
      </c:valAx>
      <c:valAx>
        <c:axId val="284169503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one"/>
        <c:crossAx val="284168671"/>
        <c:crosses val="max"/>
        <c:crossBetween val="midCat"/>
      </c:valAx>
      <c:valAx>
        <c:axId val="284168671"/>
        <c:scaling>
          <c:orientation val="minMax"/>
          <c:max val="42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84169503"/>
        <c:crosses val="max"/>
        <c:crossBetween val="midCat"/>
        <c:majorUnit val="1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E92-4089-9DB6-08B3B8591DA5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EE92-4089-9DB6-08B3B8591DA5}"/>
              </c:ext>
            </c:extLst>
          </c:dPt>
          <c:dPt>
            <c:idx val="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E92-4089-9DB6-08B3B8591DA5}"/>
              </c:ext>
            </c:extLst>
          </c:dPt>
          <c:dPt>
            <c:idx val="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EE92-4089-9DB6-08B3B8591DA5}"/>
              </c:ext>
            </c:extLst>
          </c:dPt>
          <c:dPt>
            <c:idx val="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EE92-4089-9DB6-08B3B8591DA5}"/>
              </c:ext>
            </c:extLst>
          </c:dPt>
          <c:dPt>
            <c:idx val="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EE92-4089-9DB6-08B3B8591DA5}"/>
              </c:ext>
            </c:extLst>
          </c:dPt>
          <c:dPt>
            <c:idx val="6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EE92-4089-9DB6-08B3B8591DA5}"/>
              </c:ext>
            </c:extLst>
          </c:dPt>
          <c:dPt>
            <c:idx val="7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EE92-4089-9DB6-08B3B8591DA5}"/>
              </c:ext>
            </c:extLst>
          </c:dPt>
          <c:dPt>
            <c:idx val="8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EE92-4089-9DB6-08B3B8591DA5}"/>
              </c:ext>
            </c:extLst>
          </c:dPt>
          <c:dPt>
            <c:idx val="9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EE92-4089-9DB6-08B3B8591DA5}"/>
              </c:ext>
            </c:extLst>
          </c:dPt>
          <c:dPt>
            <c:idx val="1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EE92-4089-9DB6-08B3B8591DA5}"/>
              </c:ext>
            </c:extLst>
          </c:dPt>
          <c:dPt>
            <c:idx val="1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EE92-4089-9DB6-08B3B8591DA5}"/>
              </c:ext>
            </c:extLst>
          </c:dPt>
          <c:dPt>
            <c:idx val="1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EE92-4089-9DB6-08B3B8591DA5}"/>
              </c:ext>
            </c:extLst>
          </c:dPt>
          <c:dPt>
            <c:idx val="1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EE92-4089-9DB6-08B3B8591DA5}"/>
              </c:ext>
            </c:extLst>
          </c:dPt>
          <c:dPt>
            <c:idx val="1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EE92-4089-9DB6-08B3B8591DA5}"/>
              </c:ext>
            </c:extLst>
          </c:dPt>
          <c:dPt>
            <c:idx val="1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EE92-4089-9DB6-08B3B8591DA5}"/>
              </c:ext>
            </c:extLst>
          </c:dPt>
          <c:dPt>
            <c:idx val="16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EE92-4089-9DB6-08B3B8591DA5}"/>
              </c:ext>
            </c:extLst>
          </c:dPt>
          <c:dPt>
            <c:idx val="17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EE92-4089-9DB6-08B3B8591DA5}"/>
              </c:ext>
            </c:extLst>
          </c:dPt>
          <c:dPt>
            <c:idx val="18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EE92-4089-9DB6-08B3B8591DA5}"/>
              </c:ext>
            </c:extLst>
          </c:dPt>
          <c:dPt>
            <c:idx val="19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4-EE92-4089-9DB6-08B3B8591DA5}"/>
              </c:ext>
            </c:extLst>
          </c:dPt>
          <c:dPt>
            <c:idx val="2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EE92-4089-9DB6-08B3B8591DA5}"/>
              </c:ext>
            </c:extLst>
          </c:dPt>
          <c:dPt>
            <c:idx val="2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6-EE92-4089-9DB6-08B3B8591DA5}"/>
              </c:ext>
            </c:extLst>
          </c:dPt>
          <c:dPt>
            <c:idx val="2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EE92-4089-9DB6-08B3B8591DA5}"/>
              </c:ext>
            </c:extLst>
          </c:dPt>
          <c:dPt>
            <c:idx val="2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8-EE92-4089-9DB6-08B3B8591DA5}"/>
              </c:ext>
            </c:extLst>
          </c:dPt>
          <c:dPt>
            <c:idx val="2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EE92-4089-9DB6-08B3B8591DA5}"/>
              </c:ext>
            </c:extLst>
          </c:dPt>
          <c:dPt>
            <c:idx val="2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A-EE92-4089-9DB6-08B3B8591DA5}"/>
              </c:ext>
            </c:extLst>
          </c:dPt>
          <c:dPt>
            <c:idx val="26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EE92-4089-9DB6-08B3B8591DA5}"/>
              </c:ext>
            </c:extLst>
          </c:dPt>
          <c:dPt>
            <c:idx val="27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C-EE92-4089-9DB6-08B3B8591DA5}"/>
              </c:ext>
            </c:extLst>
          </c:dPt>
          <c:dPt>
            <c:idx val="28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EE92-4089-9DB6-08B3B8591DA5}"/>
              </c:ext>
            </c:extLst>
          </c:dPt>
          <c:dPt>
            <c:idx val="29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E-EE92-4089-9DB6-08B3B8591DA5}"/>
              </c:ext>
            </c:extLst>
          </c:dPt>
          <c:dPt>
            <c:idx val="30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EE92-4089-9DB6-08B3B8591DA5}"/>
              </c:ext>
            </c:extLst>
          </c:dPt>
          <c:dPt>
            <c:idx val="3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0-EE92-4089-9DB6-08B3B8591DA5}"/>
              </c:ext>
            </c:extLst>
          </c:dPt>
          <c:dPt>
            <c:idx val="3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EE92-4089-9DB6-08B3B8591DA5}"/>
              </c:ext>
            </c:extLst>
          </c:dPt>
          <c:dPt>
            <c:idx val="3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2-EE92-4089-9DB6-08B3B8591DA5}"/>
              </c:ext>
            </c:extLst>
          </c:dPt>
          <c:dPt>
            <c:idx val="3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EE92-4089-9DB6-08B3B8591DA5}"/>
              </c:ext>
            </c:extLst>
          </c:dPt>
          <c:dPt>
            <c:idx val="3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4-EE92-4089-9DB6-08B3B8591DA5}"/>
              </c:ext>
            </c:extLst>
          </c:dPt>
          <c:dPt>
            <c:idx val="36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EE92-4089-9DB6-08B3B8591DA5}"/>
              </c:ext>
            </c:extLst>
          </c:dPt>
          <c:dPt>
            <c:idx val="37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6-EE92-4089-9DB6-08B3B8591DA5}"/>
              </c:ext>
            </c:extLst>
          </c:dPt>
          <c:dPt>
            <c:idx val="38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EE92-4089-9DB6-08B3B8591DA5}"/>
              </c:ext>
            </c:extLst>
          </c:dPt>
          <c:dPt>
            <c:idx val="39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8-EE92-4089-9DB6-08B3B8591DA5}"/>
              </c:ext>
            </c:extLst>
          </c:dPt>
          <c:dPt>
            <c:idx val="4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EE92-4089-9DB6-08B3B8591DA5}"/>
              </c:ext>
            </c:extLst>
          </c:dPt>
          <c:dPt>
            <c:idx val="4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A-EE92-4089-9DB6-08B3B8591D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2"/>
                <c:pt idx="0">
                  <c:v>0.10543553168644186</c:v>
                </c:pt>
                <c:pt idx="1">
                  <c:v>0.11937994478112562</c:v>
                </c:pt>
                <c:pt idx="2">
                  <c:v>0.11166812142848533</c:v>
                </c:pt>
                <c:pt idx="3">
                  <c:v>0.12328354729896522</c:v>
                </c:pt>
                <c:pt idx="4">
                  <c:v>0.12772907162516942</c:v>
                </c:pt>
                <c:pt idx="5">
                  <c:v>0.15052331438324162</c:v>
                </c:pt>
                <c:pt idx="6">
                  <c:v>8.8061529092628987E-2</c:v>
                </c:pt>
                <c:pt idx="7">
                  <c:v>0.14527753426901274</c:v>
                </c:pt>
                <c:pt idx="8">
                  <c:v>3.2171193846020879E-2</c:v>
                </c:pt>
                <c:pt idx="9">
                  <c:v>6.0886424872465719E-2</c:v>
                </c:pt>
                <c:pt idx="10">
                  <c:v>0.10422558917570546</c:v>
                </c:pt>
                <c:pt idx="11">
                  <c:v>0.10403723215165459</c:v>
                </c:pt>
                <c:pt idx="12">
                  <c:v>0.12681824744789111</c:v>
                </c:pt>
                <c:pt idx="13">
                  <c:v>0.12352835240731164</c:v>
                </c:pt>
                <c:pt idx="14">
                  <c:v>0.12895583254480653</c:v>
                </c:pt>
                <c:pt idx="15">
                  <c:v>9.3362917238347595E-2</c:v>
                </c:pt>
                <c:pt idx="16">
                  <c:v>5.5708034365178891E-2</c:v>
                </c:pt>
                <c:pt idx="17">
                  <c:v>0.11985507168781934</c:v>
                </c:pt>
                <c:pt idx="18">
                  <c:v>0.11493369103716404</c:v>
                </c:pt>
                <c:pt idx="19">
                  <c:v>0.11476270624538475</c:v>
                </c:pt>
                <c:pt idx="20">
                  <c:v>9.4080580784385914E-2</c:v>
                </c:pt>
                <c:pt idx="21">
                  <c:v>6.7172457704494717E-2</c:v>
                </c:pt>
                <c:pt idx="22">
                  <c:v>0.17246175779157119</c:v>
                </c:pt>
                <c:pt idx="23">
                  <c:v>0.21023732144596219</c:v>
                </c:pt>
                <c:pt idx="24">
                  <c:v>0.19805500436928195</c:v>
                </c:pt>
                <c:pt idx="25">
                  <c:v>0.13686788590811738</c:v>
                </c:pt>
                <c:pt idx="26">
                  <c:v>2.8481502946564152E-2</c:v>
                </c:pt>
                <c:pt idx="27">
                  <c:v>0.20903923873561148</c:v>
                </c:pt>
                <c:pt idx="28">
                  <c:v>5.892048274794217E-2</c:v>
                </c:pt>
                <c:pt idx="29">
                  <c:v>8.9992442088038416E-2</c:v>
                </c:pt>
                <c:pt idx="30">
                  <c:v>0.20214350074528364</c:v>
                </c:pt>
                <c:pt idx="31">
                  <c:v>0.11435379830913743</c:v>
                </c:pt>
                <c:pt idx="32">
                  <c:v>0.17972696401925667</c:v>
                </c:pt>
                <c:pt idx="33">
                  <c:v>0.12538138687332281</c:v>
                </c:pt>
                <c:pt idx="34">
                  <c:v>0.13744649898874023</c:v>
                </c:pt>
                <c:pt idx="35">
                  <c:v>0.11307120555649867</c:v>
                </c:pt>
                <c:pt idx="36">
                  <c:v>7.95520206741505E-2</c:v>
                </c:pt>
                <c:pt idx="37">
                  <c:v>0.11166988880621347</c:v>
                </c:pt>
                <c:pt idx="38">
                  <c:v>0.12493302002245148</c:v>
                </c:pt>
                <c:pt idx="39">
                  <c:v>0.16218278086409765</c:v>
                </c:pt>
                <c:pt idx="40">
                  <c:v>0.18986975081507285</c:v>
                </c:pt>
                <c:pt idx="41">
                  <c:v>0.19445592573122156</c:v>
                </c:pt>
              </c:numLit>
            </c:plus>
            <c:minus>
              <c:numLit>
                <c:formatCode>General</c:formatCode>
                <c:ptCount val="42"/>
                <c:pt idx="0">
                  <c:v>0.10543553168644186</c:v>
                </c:pt>
                <c:pt idx="1">
                  <c:v>0.11937994478112562</c:v>
                </c:pt>
                <c:pt idx="2">
                  <c:v>0.11166812142848531</c:v>
                </c:pt>
                <c:pt idx="3">
                  <c:v>0.12328354729896523</c:v>
                </c:pt>
                <c:pt idx="4">
                  <c:v>0.12772907162516944</c:v>
                </c:pt>
                <c:pt idx="5">
                  <c:v>0.1505233143832416</c:v>
                </c:pt>
                <c:pt idx="6">
                  <c:v>8.8061529092628973E-2</c:v>
                </c:pt>
                <c:pt idx="7">
                  <c:v>0.14527753426901274</c:v>
                </c:pt>
                <c:pt idx="8">
                  <c:v>3.2171193846020879E-2</c:v>
                </c:pt>
                <c:pt idx="9">
                  <c:v>6.0886424872465733E-2</c:v>
                </c:pt>
                <c:pt idx="10">
                  <c:v>0.10422558917570546</c:v>
                </c:pt>
                <c:pt idx="11">
                  <c:v>0.10403723215165459</c:v>
                </c:pt>
                <c:pt idx="12">
                  <c:v>0.12681824744789111</c:v>
                </c:pt>
                <c:pt idx="13">
                  <c:v>0.12352835240731161</c:v>
                </c:pt>
                <c:pt idx="14">
                  <c:v>0.12895583254480653</c:v>
                </c:pt>
                <c:pt idx="15">
                  <c:v>9.3362917238347581E-2</c:v>
                </c:pt>
                <c:pt idx="16">
                  <c:v>5.5708034365178884E-2</c:v>
                </c:pt>
                <c:pt idx="17">
                  <c:v>0.11985507168781932</c:v>
                </c:pt>
                <c:pt idx="18">
                  <c:v>0.11493369103716405</c:v>
                </c:pt>
                <c:pt idx="19">
                  <c:v>0.11476270624538473</c:v>
                </c:pt>
                <c:pt idx="20">
                  <c:v>9.4080580784385914E-2</c:v>
                </c:pt>
                <c:pt idx="21">
                  <c:v>6.7172457704494717E-2</c:v>
                </c:pt>
                <c:pt idx="22">
                  <c:v>0.17246175779157119</c:v>
                </c:pt>
                <c:pt idx="23">
                  <c:v>0.21023732144596219</c:v>
                </c:pt>
                <c:pt idx="24">
                  <c:v>0.19805500436928195</c:v>
                </c:pt>
                <c:pt idx="25">
                  <c:v>0.13686788590811733</c:v>
                </c:pt>
                <c:pt idx="26">
                  <c:v>2.8481502946564152E-2</c:v>
                </c:pt>
                <c:pt idx="27">
                  <c:v>0.20903923873561153</c:v>
                </c:pt>
                <c:pt idx="28">
                  <c:v>5.8920482747942177E-2</c:v>
                </c:pt>
                <c:pt idx="29">
                  <c:v>8.9992442088038416E-2</c:v>
                </c:pt>
                <c:pt idx="30">
                  <c:v>0.20214350074528364</c:v>
                </c:pt>
                <c:pt idx="31">
                  <c:v>0.11435379830913742</c:v>
                </c:pt>
                <c:pt idx="32">
                  <c:v>0.17972696401925667</c:v>
                </c:pt>
                <c:pt idx="33">
                  <c:v>0.12538138687332281</c:v>
                </c:pt>
                <c:pt idx="34">
                  <c:v>0.13744649898874023</c:v>
                </c:pt>
                <c:pt idx="35">
                  <c:v>0.11307120555649866</c:v>
                </c:pt>
                <c:pt idx="36">
                  <c:v>7.95520206741505E-2</c:v>
                </c:pt>
                <c:pt idx="37">
                  <c:v>0.11166988880621345</c:v>
                </c:pt>
                <c:pt idx="38">
                  <c:v>0.12493302002245146</c:v>
                </c:pt>
                <c:pt idx="39">
                  <c:v>0.16218278086409765</c:v>
                </c:pt>
                <c:pt idx="40">
                  <c:v>0.18986975081507285</c:v>
                </c:pt>
                <c:pt idx="41">
                  <c:v>0.19445592573122156</c:v>
                </c:pt>
              </c:numLit>
            </c:minus>
          </c:errBars>
          <c:cat>
            <c:strRef>
              <c:f>'PLS-R'!$B$1642:$B$1683</c:f>
              <c:strCache>
                <c:ptCount val="42"/>
                <c:pt idx="0">
                  <c:v>A</c:v>
                </c:pt>
                <c:pt idx="1">
                  <c:v>H_station</c:v>
                </c:pt>
                <c:pt idx="2">
                  <c:v>dem</c:v>
                </c:pt>
                <c:pt idx="3">
                  <c:v>area_barren</c:v>
                </c:pt>
                <c:pt idx="4">
                  <c:v>area_cropland</c:v>
                </c:pt>
                <c:pt idx="5">
                  <c:v>area_forest</c:v>
                </c:pt>
                <c:pt idx="6">
                  <c:v>ksn</c:v>
                </c:pt>
                <c:pt idx="7">
                  <c:v>pop</c:v>
                </c:pt>
                <c:pt idx="8">
                  <c:v>glacier</c:v>
                </c:pt>
                <c:pt idx="9">
                  <c:v>glored</c:v>
                </c:pt>
                <c:pt idx="10">
                  <c:v>q</c:v>
                </c:pt>
                <c:pt idx="11">
                  <c:v>p</c:v>
                </c:pt>
                <c:pt idx="12">
                  <c:v>srad</c:v>
                </c:pt>
                <c:pt idx="13">
                  <c:v>aet</c:v>
                </c:pt>
                <c:pt idx="14">
                  <c:v>canopy</c:v>
                </c:pt>
                <c:pt idx="15">
                  <c:v>sand</c:v>
                </c:pt>
                <c:pt idx="16">
                  <c:v>hand</c:v>
                </c:pt>
                <c:pt idx="17">
                  <c:v>pga</c:v>
                </c:pt>
                <c:pt idx="18">
                  <c:v>cwr</c:v>
                </c:pt>
                <c:pt idx="19">
                  <c:v>SHDI</c:v>
                </c:pt>
                <c:pt idx="20">
                  <c:v>KG-Cfa</c:v>
                </c:pt>
                <c:pt idx="21">
                  <c:v>KG-Cfb</c:v>
                </c:pt>
                <c:pt idx="22">
                  <c:v>KG-Csa</c:v>
                </c:pt>
                <c:pt idx="23">
                  <c:v>KG-Dfa</c:v>
                </c:pt>
                <c:pt idx="24">
                  <c:v>KG-Dfb</c:v>
                </c:pt>
                <c:pt idx="25">
                  <c:v>KG-Dfc</c:v>
                </c:pt>
                <c:pt idx="26">
                  <c:v>KG-Dsa</c:v>
                </c:pt>
                <c:pt idx="27">
                  <c:v>KG-Dsb</c:v>
                </c:pt>
                <c:pt idx="28">
                  <c:v>KG-ET</c:v>
                </c:pt>
                <c:pt idx="29">
                  <c:v>LZ-1b</c:v>
                </c:pt>
                <c:pt idx="30">
                  <c:v>LZ-2e</c:v>
                </c:pt>
                <c:pt idx="31">
                  <c:v>LZ-2b</c:v>
                </c:pt>
                <c:pt idx="32">
                  <c:v>LZ-2c</c:v>
                </c:pt>
                <c:pt idx="33">
                  <c:v>LZ-2f</c:v>
                </c:pt>
                <c:pt idx="34">
                  <c:v>LZ-2a</c:v>
                </c:pt>
                <c:pt idx="35">
                  <c:v>LZ-2g</c:v>
                </c:pt>
                <c:pt idx="36">
                  <c:v>LZ-3f</c:v>
                </c:pt>
                <c:pt idx="37">
                  <c:v>LZ-5e</c:v>
                </c:pt>
                <c:pt idx="38">
                  <c:v>LZ-5d</c:v>
                </c:pt>
                <c:pt idx="39">
                  <c:v>LZ-5f</c:v>
                </c:pt>
                <c:pt idx="40">
                  <c:v>LZ-6f</c:v>
                </c:pt>
                <c:pt idx="41">
                  <c:v>LZ-6d</c:v>
                </c:pt>
              </c:strCache>
            </c:strRef>
          </c:cat>
          <c:val>
            <c:numRef>
              <c:f>'PLS-R'!$C$1642:$C$1683</c:f>
              <c:numCache>
                <c:formatCode>0.000</c:formatCode>
                <c:ptCount val="42"/>
                <c:pt idx="0">
                  <c:v>7.6825708024185445E-4</c:v>
                </c:pt>
                <c:pt idx="1">
                  <c:v>-0.14754652875902313</c:v>
                </c:pt>
                <c:pt idx="2">
                  <c:v>7.9093893417501879E-2</c:v>
                </c:pt>
                <c:pt idx="3">
                  <c:v>0.11663341168614262</c:v>
                </c:pt>
                <c:pt idx="4">
                  <c:v>-0.1224893565206302</c:v>
                </c:pt>
                <c:pt idx="5">
                  <c:v>5.3784945341371918E-2</c:v>
                </c:pt>
                <c:pt idx="6">
                  <c:v>7.5388881636574923E-2</c:v>
                </c:pt>
                <c:pt idx="7">
                  <c:v>2.0382433591636651E-2</c:v>
                </c:pt>
                <c:pt idx="8">
                  <c:v>-1.5984791841261357E-2</c:v>
                </c:pt>
                <c:pt idx="9">
                  <c:v>-1.3914713295269557E-2</c:v>
                </c:pt>
                <c:pt idx="10">
                  <c:v>-8.6012613842837565E-2</c:v>
                </c:pt>
                <c:pt idx="11">
                  <c:v>-5.8466965994723091E-2</c:v>
                </c:pt>
                <c:pt idx="12">
                  <c:v>-4.6891016433873764E-2</c:v>
                </c:pt>
                <c:pt idx="13">
                  <c:v>5.977067615541768E-2</c:v>
                </c:pt>
                <c:pt idx="14">
                  <c:v>3.8724128587826812E-2</c:v>
                </c:pt>
                <c:pt idx="15">
                  <c:v>7.5428240180861708E-2</c:v>
                </c:pt>
                <c:pt idx="16">
                  <c:v>0.1067472743239712</c:v>
                </c:pt>
                <c:pt idx="17">
                  <c:v>0.19575140752329695</c:v>
                </c:pt>
                <c:pt idx="18">
                  <c:v>-5.9544646262400303E-2</c:v>
                </c:pt>
                <c:pt idx="19">
                  <c:v>2.4600797458395707E-2</c:v>
                </c:pt>
                <c:pt idx="20">
                  <c:v>1.961582003579521E-2</c:v>
                </c:pt>
                <c:pt idx="21">
                  <c:v>2.6591848715511433E-2</c:v>
                </c:pt>
                <c:pt idx="22">
                  <c:v>-3.9631683598401302E-2</c:v>
                </c:pt>
                <c:pt idx="23">
                  <c:v>7.4057153966184744E-2</c:v>
                </c:pt>
                <c:pt idx="24">
                  <c:v>-1.3150145320313941E-2</c:v>
                </c:pt>
                <c:pt idx="25">
                  <c:v>6.992926384787726E-3</c:v>
                </c:pt>
                <c:pt idx="26">
                  <c:v>2.5647242167250884E-3</c:v>
                </c:pt>
                <c:pt idx="27">
                  <c:v>-4.183009800592237E-2</c:v>
                </c:pt>
                <c:pt idx="28">
                  <c:v>-2.4773431239081795E-2</c:v>
                </c:pt>
                <c:pt idx="29">
                  <c:v>-0.10118585554350362</c:v>
                </c:pt>
                <c:pt idx="30">
                  <c:v>0.2696852682864323</c:v>
                </c:pt>
                <c:pt idx="31">
                  <c:v>6.9730775646397861E-2</c:v>
                </c:pt>
                <c:pt idx="32">
                  <c:v>0.13014844655900468</c:v>
                </c:pt>
                <c:pt idx="33">
                  <c:v>3.7191456897459459E-2</c:v>
                </c:pt>
                <c:pt idx="34">
                  <c:v>-5.8850074784723885E-2</c:v>
                </c:pt>
                <c:pt idx="35">
                  <c:v>-2.6590599830780187E-2</c:v>
                </c:pt>
                <c:pt idx="36">
                  <c:v>3.3644315968753571E-2</c:v>
                </c:pt>
                <c:pt idx="37">
                  <c:v>-0.18365668258189236</c:v>
                </c:pt>
                <c:pt idx="38">
                  <c:v>-0.15023483215779213</c:v>
                </c:pt>
                <c:pt idx="39">
                  <c:v>-1.0280437552255935E-2</c:v>
                </c:pt>
                <c:pt idx="40">
                  <c:v>-6.2044156189734079E-2</c:v>
                </c:pt>
                <c:pt idx="41">
                  <c:v>2.1755981985756472E-3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2-4089-9DB6-08B3B8591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84171999"/>
        <c:axId val="284171167"/>
      </c:barChart>
      <c:catAx>
        <c:axId val="284171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84171167"/>
        <c:crosses val="autoZero"/>
        <c:auto val="1"/>
        <c:lblAlgn val="ctr"/>
        <c:lblOffset val="100"/>
        <c:noMultiLvlLbl val="0"/>
      </c:catAx>
      <c:valAx>
        <c:axId val="2841711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4171999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sy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'PLS-R'!$D$1709:$D$1942</c:f>
              <c:numCache>
                <c:formatCode>0.000</c:formatCode>
                <c:ptCount val="234"/>
                <c:pt idx="0">
                  <c:v>2.88536122003151</c:v>
                </c:pt>
                <c:pt idx="1">
                  <c:v>2.1945143418824702</c:v>
                </c:pt>
                <c:pt idx="2">
                  <c:v>2.3010299956639799</c:v>
                </c:pt>
                <c:pt idx="3">
                  <c:v>2.9827233876685502</c:v>
                </c:pt>
                <c:pt idx="4">
                  <c:v>3.18752072083646</c:v>
                </c:pt>
                <c:pt idx="5">
                  <c:v>3.02448566769917</c:v>
                </c:pt>
                <c:pt idx="6">
                  <c:v>2.8779469516291898</c:v>
                </c:pt>
                <c:pt idx="7">
                  <c:v>3.2281436075977399</c:v>
                </c:pt>
                <c:pt idx="8">
                  <c:v>2.9680157139936401</c:v>
                </c:pt>
                <c:pt idx="9">
                  <c:v>2.0128372247051698</c:v>
                </c:pt>
                <c:pt idx="10">
                  <c:v>2.8830933585756902</c:v>
                </c:pt>
                <c:pt idx="11">
                  <c:v>3.6127838567197399</c:v>
                </c:pt>
                <c:pt idx="12">
                  <c:v>3.1139433523068401</c:v>
                </c:pt>
                <c:pt idx="13">
                  <c:v>2.8573324964312699</c:v>
                </c:pt>
                <c:pt idx="14">
                  <c:v>1.6989700043360201</c:v>
                </c:pt>
                <c:pt idx="15">
                  <c:v>2.9790929006383302</c:v>
                </c:pt>
                <c:pt idx="16">
                  <c:v>2.8597385661971502</c:v>
                </c:pt>
                <c:pt idx="17">
                  <c:v>2.8202014594856402</c:v>
                </c:pt>
                <c:pt idx="18">
                  <c:v>3.5453071164658199</c:v>
                </c:pt>
                <c:pt idx="19">
                  <c:v>3.1139433523068401</c:v>
                </c:pt>
                <c:pt idx="20">
                  <c:v>2.89762709129044</c:v>
                </c:pt>
                <c:pt idx="21">
                  <c:v>3.2662316966898901</c:v>
                </c:pt>
                <c:pt idx="22">
                  <c:v>3</c:v>
                </c:pt>
                <c:pt idx="23">
                  <c:v>3.4471580313422199</c:v>
                </c:pt>
                <c:pt idx="24">
                  <c:v>2.6901960800285099</c:v>
                </c:pt>
                <c:pt idx="25">
                  <c:v>1.4471580313422201</c:v>
                </c:pt>
                <c:pt idx="26">
                  <c:v>2.8350561017201201</c:v>
                </c:pt>
                <c:pt idx="27">
                  <c:v>2.93951925261862</c:v>
                </c:pt>
                <c:pt idx="28">
                  <c:v>2.1522883443830598</c:v>
                </c:pt>
                <c:pt idx="29">
                  <c:v>3.13321945673249</c:v>
                </c:pt>
                <c:pt idx="30">
                  <c:v>1.3979400086720399</c:v>
                </c:pt>
                <c:pt idx="31">
                  <c:v>1.88081359228079</c:v>
                </c:pt>
                <c:pt idx="32">
                  <c:v>3.1755118133634501</c:v>
                </c:pt>
                <c:pt idx="33">
                  <c:v>2.6190933306267401</c:v>
                </c:pt>
                <c:pt idx="34">
                  <c:v>2.2624510897304302</c:v>
                </c:pt>
                <c:pt idx="35">
                  <c:v>2.3424226808222102</c:v>
                </c:pt>
                <c:pt idx="36">
                  <c:v>3.23754373814287</c:v>
                </c:pt>
                <c:pt idx="37">
                  <c:v>2.6263403673750401</c:v>
                </c:pt>
                <c:pt idx="38">
                  <c:v>0.69897000433601897</c:v>
                </c:pt>
                <c:pt idx="39">
                  <c:v>1.3979400086720399</c:v>
                </c:pt>
                <c:pt idx="40">
                  <c:v>2.3443922736851102</c:v>
                </c:pt>
                <c:pt idx="41">
                  <c:v>2.1271047983648099</c:v>
                </c:pt>
                <c:pt idx="42">
                  <c:v>3.1112625136590699</c:v>
                </c:pt>
                <c:pt idx="43">
                  <c:v>2.04139268515822</c:v>
                </c:pt>
                <c:pt idx="44">
                  <c:v>3.1089031276673098</c:v>
                </c:pt>
                <c:pt idx="45">
                  <c:v>1.3664229572259701</c:v>
                </c:pt>
                <c:pt idx="46">
                  <c:v>1.5797835966168099</c:v>
                </c:pt>
                <c:pt idx="47">
                  <c:v>0.95424250943932498</c:v>
                </c:pt>
                <c:pt idx="48">
                  <c:v>2.5502283530550902</c:v>
                </c:pt>
                <c:pt idx="49">
                  <c:v>2.2671717284030102</c:v>
                </c:pt>
                <c:pt idx="50">
                  <c:v>1.6901960800285101</c:v>
                </c:pt>
                <c:pt idx="51">
                  <c:v>1.90308998699194</c:v>
                </c:pt>
                <c:pt idx="52">
                  <c:v>2.85369821177617</c:v>
                </c:pt>
                <c:pt idx="53">
                  <c:v>1.8195439355418701</c:v>
                </c:pt>
                <c:pt idx="54">
                  <c:v>2.2121876044039599</c:v>
                </c:pt>
                <c:pt idx="55">
                  <c:v>1.4771212547196599</c:v>
                </c:pt>
                <c:pt idx="56">
                  <c:v>1.43136376415899</c:v>
                </c:pt>
                <c:pt idx="57">
                  <c:v>1.4771212547196599</c:v>
                </c:pt>
                <c:pt idx="58">
                  <c:v>1.79865064544527</c:v>
                </c:pt>
                <c:pt idx="59">
                  <c:v>2.17318626841227</c:v>
                </c:pt>
                <c:pt idx="60">
                  <c:v>0.89762709129044094</c:v>
                </c:pt>
                <c:pt idx="61">
                  <c:v>1.91381385238372</c:v>
                </c:pt>
                <c:pt idx="62">
                  <c:v>2.6901960800285099</c:v>
                </c:pt>
                <c:pt idx="63">
                  <c:v>1.6020599913279601</c:v>
                </c:pt>
                <c:pt idx="64">
                  <c:v>1.98136550907854</c:v>
                </c:pt>
                <c:pt idx="65">
                  <c:v>2.5051499783199098</c:v>
                </c:pt>
                <c:pt idx="66">
                  <c:v>1.86923171973098</c:v>
                </c:pt>
                <c:pt idx="67">
                  <c:v>2.53147891704225</c:v>
                </c:pt>
                <c:pt idx="68">
                  <c:v>1.5563025007672899</c:v>
                </c:pt>
                <c:pt idx="69">
                  <c:v>1.76342799356294</c:v>
                </c:pt>
                <c:pt idx="70">
                  <c:v>1.4471580313422201</c:v>
                </c:pt>
                <c:pt idx="71">
                  <c:v>2.1139433523068401</c:v>
                </c:pt>
                <c:pt idx="72">
                  <c:v>1.91907809237607</c:v>
                </c:pt>
                <c:pt idx="73">
                  <c:v>1.94448267215017</c:v>
                </c:pt>
                <c:pt idx="74">
                  <c:v>2.80482067872116</c:v>
                </c:pt>
                <c:pt idx="75">
                  <c:v>1.72427586960079</c:v>
                </c:pt>
                <c:pt idx="76">
                  <c:v>1.2041199826559199</c:v>
                </c:pt>
                <c:pt idx="77">
                  <c:v>2.1789769472931702</c:v>
                </c:pt>
                <c:pt idx="78">
                  <c:v>2.2041199826559201</c:v>
                </c:pt>
                <c:pt idx="79">
                  <c:v>2.4265112613645798</c:v>
                </c:pt>
                <c:pt idx="80">
                  <c:v>1.7558748556724899</c:v>
                </c:pt>
                <c:pt idx="81">
                  <c:v>2.2405492482825999</c:v>
                </c:pt>
                <c:pt idx="82">
                  <c:v>2.2041199826559201</c:v>
                </c:pt>
                <c:pt idx="83">
                  <c:v>2.2624510897304302</c:v>
                </c:pt>
                <c:pt idx="84">
                  <c:v>2.63648789635337</c:v>
                </c:pt>
                <c:pt idx="85">
                  <c:v>1.2304489213782701</c:v>
                </c:pt>
                <c:pt idx="86">
                  <c:v>1.6989700043360201</c:v>
                </c:pt>
                <c:pt idx="87">
                  <c:v>1.1553360374650601</c:v>
                </c:pt>
                <c:pt idx="88">
                  <c:v>1.9493900066449099</c:v>
                </c:pt>
                <c:pt idx="89">
                  <c:v>2.14612803567824</c:v>
                </c:pt>
                <c:pt idx="90">
                  <c:v>2.6020599913279598</c:v>
                </c:pt>
                <c:pt idx="91">
                  <c:v>1.3802112417116099</c:v>
                </c:pt>
                <c:pt idx="92">
                  <c:v>2.2041199826559201</c:v>
                </c:pt>
                <c:pt idx="93">
                  <c:v>1.8750612633917001</c:v>
                </c:pt>
                <c:pt idx="94">
                  <c:v>2</c:v>
                </c:pt>
                <c:pt idx="95">
                  <c:v>2.3304137733491901</c:v>
                </c:pt>
                <c:pt idx="96">
                  <c:v>2.2900346113625201</c:v>
                </c:pt>
                <c:pt idx="97">
                  <c:v>2.5797835966168101</c:v>
                </c:pt>
                <c:pt idx="98">
                  <c:v>1.50514997831991</c:v>
                </c:pt>
                <c:pt idx="99">
                  <c:v>2.49136169383427</c:v>
                </c:pt>
                <c:pt idx="100">
                  <c:v>1.82607480270083</c:v>
                </c:pt>
                <c:pt idx="101">
                  <c:v>2.1139433523068401</c:v>
                </c:pt>
                <c:pt idx="102">
                  <c:v>1.9493900066449099</c:v>
                </c:pt>
                <c:pt idx="103">
                  <c:v>2.6127838567197399</c:v>
                </c:pt>
                <c:pt idx="104">
                  <c:v>2.7007037171450201</c:v>
                </c:pt>
                <c:pt idx="105">
                  <c:v>2.2304489213782701</c:v>
                </c:pt>
                <c:pt idx="106">
                  <c:v>1.4771212547196599</c:v>
                </c:pt>
                <c:pt idx="107">
                  <c:v>2.3961993470957399</c:v>
                </c:pt>
                <c:pt idx="108">
                  <c:v>1.9731278535997001</c:v>
                </c:pt>
                <c:pt idx="109">
                  <c:v>2.3096301674259001</c:v>
                </c:pt>
                <c:pt idx="110">
                  <c:v>2.2304489213782701</c:v>
                </c:pt>
                <c:pt idx="111">
                  <c:v>2.4814426285022999</c:v>
                </c:pt>
                <c:pt idx="112">
                  <c:v>2.7084209001347102</c:v>
                </c:pt>
                <c:pt idx="113">
                  <c:v>2.1789769472931702</c:v>
                </c:pt>
                <c:pt idx="114">
                  <c:v>2.33645973384853</c:v>
                </c:pt>
                <c:pt idx="115">
                  <c:v>2.4712917110589401</c:v>
                </c:pt>
                <c:pt idx="116">
                  <c:v>2.0086001717619202</c:v>
                </c:pt>
                <c:pt idx="117">
                  <c:v>2.59769518592551</c:v>
                </c:pt>
                <c:pt idx="118">
                  <c:v>2.4623979978989601</c:v>
                </c:pt>
                <c:pt idx="119">
                  <c:v>2.3201462861110498</c:v>
                </c:pt>
                <c:pt idx="120">
                  <c:v>2.5611013836490599</c:v>
                </c:pt>
                <c:pt idx="121">
                  <c:v>3.17609125905568</c:v>
                </c:pt>
                <c:pt idx="122">
                  <c:v>1.8573324964312701</c:v>
                </c:pt>
                <c:pt idx="123">
                  <c:v>2.3324384599156098</c:v>
                </c:pt>
                <c:pt idx="124">
                  <c:v>2.3263358609287499</c:v>
                </c:pt>
                <c:pt idx="125">
                  <c:v>2.1139433523068401</c:v>
                </c:pt>
                <c:pt idx="126">
                  <c:v>2.2148438480477002</c:v>
                </c:pt>
                <c:pt idx="127">
                  <c:v>2.2405492482825999</c:v>
                </c:pt>
                <c:pt idx="128">
                  <c:v>1.86923171973098</c:v>
                </c:pt>
                <c:pt idx="129">
                  <c:v>2.0334237554869499</c:v>
                </c:pt>
                <c:pt idx="130">
                  <c:v>1.77085201164214</c:v>
                </c:pt>
                <c:pt idx="131">
                  <c:v>1.3802112417116099</c:v>
                </c:pt>
                <c:pt idx="132">
                  <c:v>1.8573324964312701</c:v>
                </c:pt>
                <c:pt idx="133">
                  <c:v>2.17609125905568</c:v>
                </c:pt>
                <c:pt idx="134">
                  <c:v>2.2624510897304302</c:v>
                </c:pt>
                <c:pt idx="135">
                  <c:v>2.63648789635337</c:v>
                </c:pt>
                <c:pt idx="136">
                  <c:v>2.3820170425748701</c:v>
                </c:pt>
                <c:pt idx="137">
                  <c:v>2.1492191126553801</c:v>
                </c:pt>
                <c:pt idx="138">
                  <c:v>2.2174839442139098</c:v>
                </c:pt>
                <c:pt idx="139">
                  <c:v>2.3096301674259001</c:v>
                </c:pt>
                <c:pt idx="140">
                  <c:v>2.3729120029701098</c:v>
                </c:pt>
                <c:pt idx="141">
                  <c:v>2.45636603312904</c:v>
                </c:pt>
                <c:pt idx="142">
                  <c:v>2.5352941200427699</c:v>
                </c:pt>
                <c:pt idx="143">
                  <c:v>2.6541765418779599</c:v>
                </c:pt>
                <c:pt idx="144">
                  <c:v>2.9532763366673001</c:v>
                </c:pt>
                <c:pt idx="145">
                  <c:v>2.6720978579357202</c:v>
                </c:pt>
                <c:pt idx="146">
                  <c:v>2.6127838567197399</c:v>
                </c:pt>
                <c:pt idx="147">
                  <c:v>2.7403626894942401</c:v>
                </c:pt>
                <c:pt idx="148">
                  <c:v>2.43136376415899</c:v>
                </c:pt>
                <c:pt idx="149">
                  <c:v>2.93951925261862</c:v>
                </c:pt>
                <c:pt idx="150">
                  <c:v>3.04139268515822</c:v>
                </c:pt>
                <c:pt idx="151">
                  <c:v>2.43136376415899</c:v>
                </c:pt>
                <c:pt idx="152">
                  <c:v>2.6989700043360201</c:v>
                </c:pt>
                <c:pt idx="153">
                  <c:v>2.36172783601759</c:v>
                </c:pt>
                <c:pt idx="154">
                  <c:v>2.6127838567197399</c:v>
                </c:pt>
                <c:pt idx="155">
                  <c:v>2.82607480270083</c:v>
                </c:pt>
                <c:pt idx="156">
                  <c:v>2.8325089127062402</c:v>
                </c:pt>
                <c:pt idx="157">
                  <c:v>2.7993405494535799</c:v>
                </c:pt>
                <c:pt idx="158">
                  <c:v>2.2304489213782701</c:v>
                </c:pt>
                <c:pt idx="159">
                  <c:v>2.6232492903978999</c:v>
                </c:pt>
                <c:pt idx="160">
                  <c:v>2.5563025007672899</c:v>
                </c:pt>
                <c:pt idx="161">
                  <c:v>1.65321251377534</c:v>
                </c:pt>
                <c:pt idx="162">
                  <c:v>1.93951925261862</c:v>
                </c:pt>
                <c:pt idx="163">
                  <c:v>1.90308998699194</c:v>
                </c:pt>
                <c:pt idx="164">
                  <c:v>1.9777236052888501</c:v>
                </c:pt>
                <c:pt idx="165">
                  <c:v>1.8573324964312701</c:v>
                </c:pt>
                <c:pt idx="166">
                  <c:v>1.77085201164214</c:v>
                </c:pt>
                <c:pt idx="167">
                  <c:v>2.17609125905568</c:v>
                </c:pt>
                <c:pt idx="168">
                  <c:v>2</c:v>
                </c:pt>
                <c:pt idx="169">
                  <c:v>2.3010299956639799</c:v>
                </c:pt>
                <c:pt idx="170">
                  <c:v>2.17609125905568</c:v>
                </c:pt>
                <c:pt idx="171">
                  <c:v>2.1613680022349699</c:v>
                </c:pt>
                <c:pt idx="172">
                  <c:v>2.9493900066449101</c:v>
                </c:pt>
                <c:pt idx="173">
                  <c:v>3.17609125905568</c:v>
                </c:pt>
                <c:pt idx="174">
                  <c:v>3.2185355052165301</c:v>
                </c:pt>
                <c:pt idx="175">
                  <c:v>3.0534626049254601</c:v>
                </c:pt>
                <c:pt idx="176">
                  <c:v>3.29402509409532</c:v>
                </c:pt>
                <c:pt idx="177">
                  <c:v>3.4005379893919501</c:v>
                </c:pt>
                <c:pt idx="178">
                  <c:v>2.7641761323903302</c:v>
                </c:pt>
                <c:pt idx="179">
                  <c:v>2.7701152947871002</c:v>
                </c:pt>
                <c:pt idx="180">
                  <c:v>3.0457140589408702</c:v>
                </c:pt>
                <c:pt idx="181">
                  <c:v>3.14488541828714</c:v>
                </c:pt>
                <c:pt idx="182">
                  <c:v>2.9912260756924902</c:v>
                </c:pt>
                <c:pt idx="183">
                  <c:v>2.6170003411209</c:v>
                </c:pt>
                <c:pt idx="184">
                  <c:v>2.6551384348113798</c:v>
                </c:pt>
                <c:pt idx="185">
                  <c:v>2.2810333672477299</c:v>
                </c:pt>
                <c:pt idx="186">
                  <c:v>1.9777236052888501</c:v>
                </c:pt>
                <c:pt idx="187">
                  <c:v>2.2624510897304302</c:v>
                </c:pt>
                <c:pt idx="188">
                  <c:v>1.91381385238372</c:v>
                </c:pt>
                <c:pt idx="189">
                  <c:v>2.0128372247051698</c:v>
                </c:pt>
                <c:pt idx="190">
                  <c:v>2.0293837776852102</c:v>
                </c:pt>
                <c:pt idx="191">
                  <c:v>2.11727129565576</c:v>
                </c:pt>
                <c:pt idx="192">
                  <c:v>2.3802112417116099</c:v>
                </c:pt>
                <c:pt idx="193">
                  <c:v>2.1139433523068401</c:v>
                </c:pt>
                <c:pt idx="194">
                  <c:v>2.2479732663618099</c:v>
                </c:pt>
                <c:pt idx="195">
                  <c:v>2.0681858617461599</c:v>
                </c:pt>
                <c:pt idx="196">
                  <c:v>2.2304489213782701</c:v>
                </c:pt>
                <c:pt idx="197">
                  <c:v>2.1931245983544598</c:v>
                </c:pt>
                <c:pt idx="198">
                  <c:v>2.47567118832443</c:v>
                </c:pt>
                <c:pt idx="199">
                  <c:v>2.2671717284030102</c:v>
                </c:pt>
                <c:pt idx="200">
                  <c:v>2.02530586526477</c:v>
                </c:pt>
                <c:pt idx="201">
                  <c:v>1.92941892571429</c:v>
                </c:pt>
                <c:pt idx="202">
                  <c:v>2.18184358794477</c:v>
                </c:pt>
                <c:pt idx="203">
                  <c:v>2.1105897102992501</c:v>
                </c:pt>
                <c:pt idx="204">
                  <c:v>2.1003705451175598</c:v>
                </c:pt>
                <c:pt idx="205">
                  <c:v>2.4927603890268402</c:v>
                </c:pt>
                <c:pt idx="206">
                  <c:v>2.5670263661590602</c:v>
                </c:pt>
                <c:pt idx="207">
                  <c:v>2.3729120029701098</c:v>
                </c:pt>
                <c:pt idx="208">
                  <c:v>1.7160033436347999</c:v>
                </c:pt>
                <c:pt idx="209">
                  <c:v>2.0293837776852102</c:v>
                </c:pt>
                <c:pt idx="210">
                  <c:v>2.4065401804339599</c:v>
                </c:pt>
                <c:pt idx="211">
                  <c:v>2.6757783416740901</c:v>
                </c:pt>
                <c:pt idx="212">
                  <c:v>2.5327543789925002</c:v>
                </c:pt>
                <c:pt idx="213">
                  <c:v>2.6627578316815699</c:v>
                </c:pt>
                <c:pt idx="214">
                  <c:v>2.7979596437372001</c:v>
                </c:pt>
                <c:pt idx="215">
                  <c:v>2.4265112613645798</c:v>
                </c:pt>
                <c:pt idx="216">
                  <c:v>2.3710678622717398</c:v>
                </c:pt>
                <c:pt idx="217">
                  <c:v>2.4232458739368101</c:v>
                </c:pt>
                <c:pt idx="218">
                  <c:v>2.3483048630481602</c:v>
                </c:pt>
                <c:pt idx="219">
                  <c:v>3.0425755124401901</c:v>
                </c:pt>
                <c:pt idx="220">
                  <c:v>3.1872386198314802</c:v>
                </c:pt>
                <c:pt idx="221">
                  <c:v>2.5092025223310999</c:v>
                </c:pt>
                <c:pt idx="222">
                  <c:v>2.7024305364455299</c:v>
                </c:pt>
                <c:pt idx="223">
                  <c:v>2.5224442335063202</c:v>
                </c:pt>
                <c:pt idx="224">
                  <c:v>2.5921767573958698</c:v>
                </c:pt>
                <c:pt idx="225">
                  <c:v>2.8549130223078598</c:v>
                </c:pt>
                <c:pt idx="226">
                  <c:v>0.95424250943932498</c:v>
                </c:pt>
                <c:pt idx="227">
                  <c:v>1.88081359228079</c:v>
                </c:pt>
                <c:pt idx="228">
                  <c:v>1.53147891704226</c:v>
                </c:pt>
                <c:pt idx="229">
                  <c:v>1.2041199826559199</c:v>
                </c:pt>
                <c:pt idx="230">
                  <c:v>2.17318626841227</c:v>
                </c:pt>
                <c:pt idx="231">
                  <c:v>2.3926969532596698</c:v>
                </c:pt>
                <c:pt idx="232">
                  <c:v>3.14612803567824</c:v>
                </c:pt>
                <c:pt idx="233">
                  <c:v>2.43136376415899</c:v>
                </c:pt>
              </c:numCache>
            </c:numRef>
          </c:xVal>
          <c:yVal>
            <c:numRef>
              <c:f>'PLS-R'!$G$1709:$G$1942</c:f>
              <c:numCache>
                <c:formatCode>0.000</c:formatCode>
                <c:ptCount val="234"/>
                <c:pt idx="0">
                  <c:v>-0.19212600510431019</c:v>
                </c:pt>
                <c:pt idx="1">
                  <c:v>-1.2034787814656998</c:v>
                </c:pt>
                <c:pt idx="2">
                  <c:v>-0.75863522224044022</c:v>
                </c:pt>
                <c:pt idx="3">
                  <c:v>0.61836522852049092</c:v>
                </c:pt>
                <c:pt idx="4">
                  <c:v>0.43562698996742416</c:v>
                </c:pt>
                <c:pt idx="5">
                  <c:v>-0.11355481508637182</c:v>
                </c:pt>
                <c:pt idx="6">
                  <c:v>-0.1321539476099495</c:v>
                </c:pt>
                <c:pt idx="7">
                  <c:v>1.0062573859969448</c:v>
                </c:pt>
                <c:pt idx="8">
                  <c:v>0.41972657332457136</c:v>
                </c:pt>
                <c:pt idx="9">
                  <c:v>-1.5927146711148896</c:v>
                </c:pt>
                <c:pt idx="10">
                  <c:v>-6.9588793730526358E-2</c:v>
                </c:pt>
                <c:pt idx="11">
                  <c:v>0.9985530036132636</c:v>
                </c:pt>
                <c:pt idx="12">
                  <c:v>-0.1370775366807962</c:v>
                </c:pt>
                <c:pt idx="13">
                  <c:v>7.2246592381874863E-2</c:v>
                </c:pt>
                <c:pt idx="14">
                  <c:v>-1.7964383711563849</c:v>
                </c:pt>
                <c:pt idx="15">
                  <c:v>0.54917641840995624</c:v>
                </c:pt>
                <c:pt idx="16">
                  <c:v>0.12525696886803944</c:v>
                </c:pt>
                <c:pt idx="17">
                  <c:v>-0.13352564986731122</c:v>
                </c:pt>
                <c:pt idx="18">
                  <c:v>0.62597806224794506</c:v>
                </c:pt>
                <c:pt idx="19">
                  <c:v>0.12178254305652121</c:v>
                </c:pt>
                <c:pt idx="20">
                  <c:v>0.21227913869797979</c:v>
                </c:pt>
                <c:pt idx="21">
                  <c:v>0.643862422143056</c:v>
                </c:pt>
                <c:pt idx="22">
                  <c:v>6.9086293373640445E-2</c:v>
                </c:pt>
                <c:pt idx="23">
                  <c:v>0.41120940902768938</c:v>
                </c:pt>
                <c:pt idx="24">
                  <c:v>-0.92940640948231135</c:v>
                </c:pt>
                <c:pt idx="25">
                  <c:v>-0.27228265102449989</c:v>
                </c:pt>
                <c:pt idx="26">
                  <c:v>0.24078300951573364</c:v>
                </c:pt>
                <c:pt idx="27">
                  <c:v>0.50505454046584575</c:v>
                </c:pt>
                <c:pt idx="28">
                  <c:v>-0.50438673153573976</c:v>
                </c:pt>
                <c:pt idx="29">
                  <c:v>0.81956928645312277</c:v>
                </c:pt>
                <c:pt idx="30">
                  <c:v>-0.36561363841642458</c:v>
                </c:pt>
                <c:pt idx="31">
                  <c:v>-0.48698759825549787</c:v>
                </c:pt>
                <c:pt idx="32">
                  <c:v>0.75860748736748873</c:v>
                </c:pt>
                <c:pt idx="33">
                  <c:v>1.7242417249057529</c:v>
                </c:pt>
                <c:pt idx="34">
                  <c:v>-0.9179835554534248</c:v>
                </c:pt>
                <c:pt idx="35">
                  <c:v>1.3070127624850907</c:v>
                </c:pt>
                <c:pt idx="36">
                  <c:v>0.86410313237912739</c:v>
                </c:pt>
                <c:pt idx="37">
                  <c:v>1.9717545529263931E-2</c:v>
                </c:pt>
                <c:pt idx="38">
                  <c:v>-1.6348140620755094</c:v>
                </c:pt>
                <c:pt idx="39">
                  <c:v>-1.1694850474952281</c:v>
                </c:pt>
                <c:pt idx="40">
                  <c:v>-0.54827112487597762</c:v>
                </c:pt>
                <c:pt idx="41">
                  <c:v>-1.1573972413635378</c:v>
                </c:pt>
                <c:pt idx="42">
                  <c:v>0.46706895907718776</c:v>
                </c:pt>
                <c:pt idx="43">
                  <c:v>0.36463534218014049</c:v>
                </c:pt>
                <c:pt idx="44">
                  <c:v>1.1876393496221334</c:v>
                </c:pt>
                <c:pt idx="45">
                  <c:v>-0.96958845521659376</c:v>
                </c:pt>
                <c:pt idx="46">
                  <c:v>-1.0751085789132093</c:v>
                </c:pt>
                <c:pt idx="47">
                  <c:v>-1.6009238030078026</c:v>
                </c:pt>
                <c:pt idx="48">
                  <c:v>-0.3169931047187266</c:v>
                </c:pt>
                <c:pt idx="49">
                  <c:v>-1.0361652859975818</c:v>
                </c:pt>
                <c:pt idx="50">
                  <c:v>-0.71798483570690463</c:v>
                </c:pt>
                <c:pt idx="51">
                  <c:v>0.31997081720421489</c:v>
                </c:pt>
                <c:pt idx="52">
                  <c:v>0.35055101155226381</c:v>
                </c:pt>
                <c:pt idx="53">
                  <c:v>-0.53419793781934533</c:v>
                </c:pt>
                <c:pt idx="54">
                  <c:v>-0.53123731477604696</c:v>
                </c:pt>
                <c:pt idx="55">
                  <c:v>-0.14820176060572127</c:v>
                </c:pt>
                <c:pt idx="56">
                  <c:v>-0.93835040613779397</c:v>
                </c:pt>
                <c:pt idx="57">
                  <c:v>-0.65874294727521787</c:v>
                </c:pt>
                <c:pt idx="58">
                  <c:v>-0.37887424545405451</c:v>
                </c:pt>
                <c:pt idx="59">
                  <c:v>-0.35728238275427221</c:v>
                </c:pt>
                <c:pt idx="60">
                  <c:v>-1.3522667326566895</c:v>
                </c:pt>
                <c:pt idx="61">
                  <c:v>-0.79019829790588181</c:v>
                </c:pt>
                <c:pt idx="62">
                  <c:v>1.4089816027849911</c:v>
                </c:pt>
                <c:pt idx="63">
                  <c:v>-0.32737466212366384</c:v>
                </c:pt>
                <c:pt idx="64">
                  <c:v>0.29932278312507626</c:v>
                </c:pt>
                <c:pt idx="65">
                  <c:v>3.7385165786542329E-2</c:v>
                </c:pt>
                <c:pt idx="66">
                  <c:v>0.43438277262289776</c:v>
                </c:pt>
                <c:pt idx="67">
                  <c:v>1.5167672829844534</c:v>
                </c:pt>
                <c:pt idx="68">
                  <c:v>-0.42037135451387464</c:v>
                </c:pt>
                <c:pt idx="69">
                  <c:v>0.19605360635261429</c:v>
                </c:pt>
                <c:pt idx="70">
                  <c:v>-0.71563046686505261</c:v>
                </c:pt>
                <c:pt idx="71">
                  <c:v>-0.86053921600330641</c:v>
                </c:pt>
                <c:pt idx="72">
                  <c:v>-8.3263258909505606E-3</c:v>
                </c:pt>
                <c:pt idx="73">
                  <c:v>-0.74970155790171877</c:v>
                </c:pt>
                <c:pt idx="74">
                  <c:v>1.02579067544846</c:v>
                </c:pt>
                <c:pt idx="75">
                  <c:v>-9.4483527033515508E-3</c:v>
                </c:pt>
                <c:pt idx="76">
                  <c:v>-0.8613631129398277</c:v>
                </c:pt>
                <c:pt idx="77">
                  <c:v>-9.8821863746026431E-2</c:v>
                </c:pt>
                <c:pt idx="78">
                  <c:v>-8.2632239076842487E-2</c:v>
                </c:pt>
                <c:pt idx="79">
                  <c:v>0.58450655079445535</c:v>
                </c:pt>
                <c:pt idx="80">
                  <c:v>0.22091504033847692</c:v>
                </c:pt>
                <c:pt idx="81">
                  <c:v>-2.2150106456687971E-2</c:v>
                </c:pt>
                <c:pt idx="82">
                  <c:v>-0.27391315235175351</c:v>
                </c:pt>
                <c:pt idx="83">
                  <c:v>0.1612916046234848</c:v>
                </c:pt>
                <c:pt idx="84">
                  <c:v>0.67552484960433024</c:v>
                </c:pt>
                <c:pt idx="85">
                  <c:v>-1.079304303113799</c:v>
                </c:pt>
                <c:pt idx="86">
                  <c:v>1.0613980374152194E-2</c:v>
                </c:pt>
                <c:pt idx="87">
                  <c:v>-0.60081737113098999</c:v>
                </c:pt>
                <c:pt idx="88">
                  <c:v>0.33664524721368566</c:v>
                </c:pt>
                <c:pt idx="89">
                  <c:v>0.3739409675477891</c:v>
                </c:pt>
                <c:pt idx="90">
                  <c:v>-0.21858977994727316</c:v>
                </c:pt>
                <c:pt idx="91">
                  <c:v>6.0361427033189467E-2</c:v>
                </c:pt>
                <c:pt idx="92">
                  <c:v>-0.30312232588093485</c:v>
                </c:pt>
                <c:pt idx="93">
                  <c:v>0.27363921330727514</c:v>
                </c:pt>
                <c:pt idx="94">
                  <c:v>0.1768535149272136</c:v>
                </c:pt>
                <c:pt idx="95">
                  <c:v>0.4737481217735432</c:v>
                </c:pt>
                <c:pt idx="96">
                  <c:v>0.14744135134452294</c:v>
                </c:pt>
                <c:pt idx="97">
                  <c:v>0.22976467398363598</c:v>
                </c:pt>
                <c:pt idx="98">
                  <c:v>-0.26804005519787444</c:v>
                </c:pt>
                <c:pt idx="99">
                  <c:v>-7.2603032787993516E-2</c:v>
                </c:pt>
                <c:pt idx="100">
                  <c:v>-0.81286443446359735</c:v>
                </c:pt>
                <c:pt idx="101">
                  <c:v>-0.60303993210138807</c:v>
                </c:pt>
                <c:pt idx="102">
                  <c:v>1.0017272337235448</c:v>
                </c:pt>
                <c:pt idx="103">
                  <c:v>-7.3614824373849669E-2</c:v>
                </c:pt>
                <c:pt idx="104">
                  <c:v>0.62159843111520263</c:v>
                </c:pt>
                <c:pt idx="105">
                  <c:v>-0.83719891361807974</c:v>
                </c:pt>
                <c:pt idx="106">
                  <c:v>-0.29903217768169754</c:v>
                </c:pt>
                <c:pt idx="107">
                  <c:v>0.19308544462913199</c:v>
                </c:pt>
                <c:pt idx="108">
                  <c:v>-0.66405536744410576</c:v>
                </c:pt>
                <c:pt idx="109">
                  <c:v>0.18481327450641571</c:v>
                </c:pt>
                <c:pt idx="110">
                  <c:v>-0.16946584412434432</c:v>
                </c:pt>
                <c:pt idx="111">
                  <c:v>-0.41251965196651735</c:v>
                </c:pt>
                <c:pt idx="112">
                  <c:v>0.37650168461943573</c:v>
                </c:pt>
                <c:pt idx="113">
                  <c:v>1.1370419051903932E-2</c:v>
                </c:pt>
                <c:pt idx="114">
                  <c:v>0.29010579166177247</c:v>
                </c:pt>
                <c:pt idx="115">
                  <c:v>-3.0463597203680595E-2</c:v>
                </c:pt>
                <c:pt idx="116">
                  <c:v>-0.36115189081661164</c:v>
                </c:pt>
                <c:pt idx="117">
                  <c:v>0.32684637378166609</c:v>
                </c:pt>
                <c:pt idx="118">
                  <c:v>-7.4319125871997946E-2</c:v>
                </c:pt>
                <c:pt idx="119">
                  <c:v>-0.33627595858088638</c:v>
                </c:pt>
                <c:pt idx="120">
                  <c:v>0.20982377568747745</c:v>
                </c:pt>
                <c:pt idx="121">
                  <c:v>1.8623143195466294</c:v>
                </c:pt>
                <c:pt idx="122">
                  <c:v>-4.8754929901665564E-2</c:v>
                </c:pt>
                <c:pt idx="123">
                  <c:v>0.21893166707815218</c:v>
                </c:pt>
                <c:pt idx="124">
                  <c:v>3.3311842947967199E-2</c:v>
                </c:pt>
                <c:pt idx="125">
                  <c:v>-0.2529519244300481</c:v>
                </c:pt>
                <c:pt idx="126">
                  <c:v>0.56485911892592688</c:v>
                </c:pt>
                <c:pt idx="127">
                  <c:v>-7.4942926700441476E-2</c:v>
                </c:pt>
                <c:pt idx="128">
                  <c:v>-0.62084763647552232</c:v>
                </c:pt>
                <c:pt idx="129">
                  <c:v>-6.0193215701533791E-2</c:v>
                </c:pt>
                <c:pt idx="130">
                  <c:v>-1.0068950373417549</c:v>
                </c:pt>
                <c:pt idx="131">
                  <c:v>-1.2410792628514014</c:v>
                </c:pt>
                <c:pt idx="132">
                  <c:v>-0.91322761958143639</c:v>
                </c:pt>
                <c:pt idx="133">
                  <c:v>0.17393769083281638</c:v>
                </c:pt>
                <c:pt idx="134">
                  <c:v>0.12183874003777685</c:v>
                </c:pt>
                <c:pt idx="135">
                  <c:v>0.74922042408093381</c:v>
                </c:pt>
                <c:pt idx="136">
                  <c:v>0.12957779030752001</c:v>
                </c:pt>
                <c:pt idx="137">
                  <c:v>-0.11205074737559052</c:v>
                </c:pt>
                <c:pt idx="138">
                  <c:v>-7.0037288885753834E-2</c:v>
                </c:pt>
                <c:pt idx="139">
                  <c:v>7.8882366259625844E-2</c:v>
                </c:pt>
                <c:pt idx="140">
                  <c:v>0.21793218606330392</c:v>
                </c:pt>
                <c:pt idx="141">
                  <c:v>0.35896445347873956</c:v>
                </c:pt>
                <c:pt idx="142">
                  <c:v>4.3479756597163521E-2</c:v>
                </c:pt>
                <c:pt idx="143">
                  <c:v>5.2741376479330568E-2</c:v>
                </c:pt>
                <c:pt idx="144">
                  <c:v>0.57851668909632448</c:v>
                </c:pt>
                <c:pt idx="145">
                  <c:v>-0.11127060303595433</c:v>
                </c:pt>
                <c:pt idx="146">
                  <c:v>-0.2323330427234864</c:v>
                </c:pt>
                <c:pt idx="147">
                  <c:v>0.23839299634681377</c:v>
                </c:pt>
                <c:pt idx="148">
                  <c:v>-0.40094459920396769</c:v>
                </c:pt>
                <c:pt idx="149">
                  <c:v>0.52600289608786188</c:v>
                </c:pt>
                <c:pt idx="150">
                  <c:v>0.74283099366702554</c:v>
                </c:pt>
                <c:pt idx="151">
                  <c:v>-0.42940214693799</c:v>
                </c:pt>
                <c:pt idx="152">
                  <c:v>0.23280117879725701</c:v>
                </c:pt>
                <c:pt idx="153">
                  <c:v>-0.49568781711426241</c:v>
                </c:pt>
                <c:pt idx="154">
                  <c:v>3.201170978349261E-2</c:v>
                </c:pt>
                <c:pt idx="155">
                  <c:v>0.42783240520068555</c:v>
                </c:pt>
                <c:pt idx="156">
                  <c:v>0.71500940965093007</c:v>
                </c:pt>
                <c:pt idx="157">
                  <c:v>0.68849912225840237</c:v>
                </c:pt>
                <c:pt idx="158">
                  <c:v>-0.13112584287575174</c:v>
                </c:pt>
                <c:pt idx="159">
                  <c:v>0.61989794547167409</c:v>
                </c:pt>
                <c:pt idx="160">
                  <c:v>0.53854541937118738</c:v>
                </c:pt>
                <c:pt idx="161">
                  <c:v>-0.16873167896896632</c:v>
                </c:pt>
                <c:pt idx="162">
                  <c:v>0.29445345015938085</c:v>
                </c:pt>
                <c:pt idx="163">
                  <c:v>7.9855536167526622E-2</c:v>
                </c:pt>
                <c:pt idx="164">
                  <c:v>0.18399096756727826</c:v>
                </c:pt>
                <c:pt idx="165">
                  <c:v>-0.29514913775734142</c:v>
                </c:pt>
                <c:pt idx="166">
                  <c:v>-8.0822515704555578E-2</c:v>
                </c:pt>
                <c:pt idx="167">
                  <c:v>0.58199696527111133</c:v>
                </c:pt>
                <c:pt idx="168">
                  <c:v>0.45116230201124691</c:v>
                </c:pt>
                <c:pt idx="169">
                  <c:v>0.69927870449148999</c:v>
                </c:pt>
                <c:pt idx="170">
                  <c:v>0.20595124011301003</c:v>
                </c:pt>
                <c:pt idx="171">
                  <c:v>0.52816362639305992</c:v>
                </c:pt>
                <c:pt idx="172">
                  <c:v>-0.12906191753304244</c:v>
                </c:pt>
                <c:pt idx="173">
                  <c:v>0.39309341674425186</c:v>
                </c:pt>
                <c:pt idx="174">
                  <c:v>0.48576497048948131</c:v>
                </c:pt>
                <c:pt idx="175">
                  <c:v>0.12568424046813925</c:v>
                </c:pt>
                <c:pt idx="176">
                  <c:v>0.60144207945422989</c:v>
                </c:pt>
                <c:pt idx="177">
                  <c:v>0.72882446161704562</c:v>
                </c:pt>
                <c:pt idx="178">
                  <c:v>-0.18604737612421388</c:v>
                </c:pt>
                <c:pt idx="179">
                  <c:v>-0.32989261706401429</c:v>
                </c:pt>
                <c:pt idx="180">
                  <c:v>0.62925922069691353</c:v>
                </c:pt>
                <c:pt idx="181">
                  <c:v>0.75585007548269467</c:v>
                </c:pt>
                <c:pt idx="182">
                  <c:v>0.40919830413854896</c:v>
                </c:pt>
                <c:pt idx="183">
                  <c:v>-0.29485770893690599</c:v>
                </c:pt>
                <c:pt idx="184">
                  <c:v>7.4764396962730184E-2</c:v>
                </c:pt>
                <c:pt idx="185">
                  <c:v>1.2105155999067465</c:v>
                </c:pt>
                <c:pt idx="186">
                  <c:v>0.64285714395633942</c:v>
                </c:pt>
                <c:pt idx="187">
                  <c:v>-0.21357575423072692</c:v>
                </c:pt>
                <c:pt idx="188">
                  <c:v>-0.78277867819215119</c:v>
                </c:pt>
                <c:pt idx="189">
                  <c:v>-3.199302025361879E-2</c:v>
                </c:pt>
                <c:pt idx="190">
                  <c:v>-0.51473978838138168</c:v>
                </c:pt>
                <c:pt idx="191">
                  <c:v>-0.1548740099194417</c:v>
                </c:pt>
                <c:pt idx="192">
                  <c:v>0.10800875103210306</c:v>
                </c:pt>
                <c:pt idx="193">
                  <c:v>-0.32776436089693656</c:v>
                </c:pt>
                <c:pt idx="194">
                  <c:v>-7.303726072321147E-2</c:v>
                </c:pt>
                <c:pt idx="195">
                  <c:v>-0.27206777224842593</c:v>
                </c:pt>
                <c:pt idx="196">
                  <c:v>3.7100104850281606E-3</c:v>
                </c:pt>
                <c:pt idx="197">
                  <c:v>0.35806494079933804</c:v>
                </c:pt>
                <c:pt idx="198">
                  <c:v>1.1138546864792445</c:v>
                </c:pt>
                <c:pt idx="199">
                  <c:v>0.4801569229381597</c:v>
                </c:pt>
                <c:pt idx="200">
                  <c:v>-1.1355062829796463E-2</c:v>
                </c:pt>
                <c:pt idx="201">
                  <c:v>-0.19035574725904131</c:v>
                </c:pt>
                <c:pt idx="202">
                  <c:v>0.31314673870830756</c:v>
                </c:pt>
                <c:pt idx="203">
                  <c:v>3.1859712708035108E-2</c:v>
                </c:pt>
                <c:pt idx="204">
                  <c:v>-0.39105371421358454</c:v>
                </c:pt>
                <c:pt idx="205">
                  <c:v>-0.1528813231734775</c:v>
                </c:pt>
                <c:pt idx="206">
                  <c:v>-2.7898507116788172E-2</c:v>
                </c:pt>
                <c:pt idx="207">
                  <c:v>6.7887528131643657E-2</c:v>
                </c:pt>
                <c:pt idx="208">
                  <c:v>8.4983667999828635E-2</c:v>
                </c:pt>
                <c:pt idx="209">
                  <c:v>0.51499937413319874</c:v>
                </c:pt>
                <c:pt idx="210">
                  <c:v>-0.27691450075216967</c:v>
                </c:pt>
                <c:pt idx="211">
                  <c:v>3.8918375507965883E-2</c:v>
                </c:pt>
                <c:pt idx="212">
                  <c:v>6.8480873610635443E-2</c:v>
                </c:pt>
                <c:pt idx="213">
                  <c:v>0.40085682524702038</c:v>
                </c:pt>
                <c:pt idx="214">
                  <c:v>0.21946312642319904</c:v>
                </c:pt>
                <c:pt idx="215">
                  <c:v>-0.51558999588786425</c:v>
                </c:pt>
                <c:pt idx="216">
                  <c:v>-0.63883875802838741</c:v>
                </c:pt>
                <c:pt idx="217">
                  <c:v>-0.28963063757864566</c:v>
                </c:pt>
                <c:pt idx="218">
                  <c:v>-0.70943123027097599</c:v>
                </c:pt>
                <c:pt idx="219">
                  <c:v>3.1882831448256072E-2</c:v>
                </c:pt>
                <c:pt idx="220">
                  <c:v>0.11260721141638513</c:v>
                </c:pt>
                <c:pt idx="221">
                  <c:v>-0.19252569913349271</c:v>
                </c:pt>
                <c:pt idx="222">
                  <c:v>0.16750096955286156</c:v>
                </c:pt>
                <c:pt idx="223">
                  <c:v>0.10801710476597821</c:v>
                </c:pt>
                <c:pt idx="224">
                  <c:v>0.17405265663837699</c:v>
                </c:pt>
                <c:pt idx="225">
                  <c:v>0.36119245717366188</c:v>
                </c:pt>
                <c:pt idx="226">
                  <c:v>-1.4673230492348859</c:v>
                </c:pt>
                <c:pt idx="227">
                  <c:v>0.26353792409511934</c:v>
                </c:pt>
                <c:pt idx="228">
                  <c:v>-0.37451177096846078</c:v>
                </c:pt>
                <c:pt idx="229">
                  <c:v>-0.9506094008553938</c:v>
                </c:pt>
                <c:pt idx="230">
                  <c:v>0.30334884813906926</c:v>
                </c:pt>
                <c:pt idx="231">
                  <c:v>0.35412130095995503</c:v>
                </c:pt>
                <c:pt idx="232">
                  <c:v>0.17663652679109584</c:v>
                </c:pt>
                <c:pt idx="233">
                  <c:v>1.4309531504769355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1-4550-B06A-D662CA6F364B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2.1945143418824702</c:v>
              </c:pt>
            </c:numLit>
          </c:xVal>
          <c:yVal>
            <c:numLit>
              <c:formatCode>General</c:formatCode>
              <c:ptCount val="1"/>
              <c:pt idx="0">
                <c:v>-1.2034787814656998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E41-4550-B06A-D662CA6F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71583"/>
        <c:axId val="285393583"/>
      </c:scatterChart>
      <c:valAx>
        <c:axId val="284171583"/>
        <c:scaling>
          <c:orientation val="minMax"/>
          <c:max val="4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85393583"/>
        <c:crosses val="autoZero"/>
        <c:crossBetween val="midCat"/>
      </c:valAx>
      <c:valAx>
        <c:axId val="285393583"/>
        <c:scaling>
          <c:orientation val="minMax"/>
          <c:max val="2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417158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Pred(sy)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'PLS-R'!$E$1709:$E$1942</c:f>
              <c:numCache>
                <c:formatCode>0.000</c:formatCode>
                <c:ptCount val="234"/>
                <c:pt idx="0">
                  <c:v>2.9876677378838647</c:v>
                </c:pt>
                <c:pt idx="1">
                  <c:v>2.835363160729786</c:v>
                </c:pt>
                <c:pt idx="2">
                  <c:v>2.7050009618297954</c:v>
                </c:pt>
                <c:pt idx="3">
                  <c:v>2.6534457698022966</c:v>
                </c:pt>
                <c:pt idx="4">
                  <c:v>2.9555506634677404</c:v>
                </c:pt>
                <c:pt idx="5">
                  <c:v>3.0849532640068502</c:v>
                </c:pt>
                <c:pt idx="6">
                  <c:v>2.9483185298706465</c:v>
                </c:pt>
                <c:pt idx="7">
                  <c:v>2.6923145865931772</c:v>
                </c:pt>
                <c:pt idx="8">
                  <c:v>2.7445125804973483</c:v>
                </c:pt>
                <c:pt idx="9">
                  <c:v>2.8609529800171871</c:v>
                </c:pt>
                <c:pt idx="10">
                  <c:v>2.9201491812075644</c:v>
                </c:pt>
                <c:pt idx="11">
                  <c:v>3.0810573960814822</c:v>
                </c:pt>
                <c:pt idx="12">
                  <c:v>3.1869367268683768</c:v>
                </c:pt>
                <c:pt idx="13">
                  <c:v>2.8188614040391955</c:v>
                </c:pt>
                <c:pt idx="14">
                  <c:v>2.6555680150508247</c:v>
                </c:pt>
                <c:pt idx="15">
                  <c:v>2.6866581153335174</c:v>
                </c:pt>
                <c:pt idx="16">
                  <c:v>2.7930396083196234</c:v>
                </c:pt>
                <c:pt idx="17">
                  <c:v>2.8913034650391345</c:v>
                </c:pt>
                <c:pt idx="18">
                  <c:v>3.2119756876163943</c:v>
                </c:pt>
                <c:pt idx="19">
                  <c:v>3.0490945156875977</c:v>
                </c:pt>
                <c:pt idx="20">
                  <c:v>2.7845890906246984</c:v>
                </c:pt>
                <c:pt idx="21">
                  <c:v>2.9233769001740537</c:v>
                </c:pt>
                <c:pt idx="22">
                  <c:v>2.9632117572915444</c:v>
                </c:pt>
                <c:pt idx="23">
                  <c:v>3.2281902621279124</c:v>
                </c:pt>
                <c:pt idx="24">
                  <c:v>3.1851021879870403</c:v>
                </c:pt>
                <c:pt idx="25">
                  <c:v>1.5921477212220494</c:v>
                </c:pt>
                <c:pt idx="26">
                  <c:v>2.7068398758729693</c:v>
                </c:pt>
                <c:pt idx="27">
                  <c:v>2.670579234152465</c:v>
                </c:pt>
                <c:pt idx="28">
                  <c:v>2.4208727566094832</c:v>
                </c:pt>
                <c:pt idx="29">
                  <c:v>2.6968012852817536</c:v>
                </c:pt>
                <c:pt idx="30">
                  <c:v>1.5926281676508638</c:v>
                </c:pt>
                <c:pt idx="31">
                  <c:v>2.1401330185487319</c:v>
                </c:pt>
                <c:pt idx="32">
                  <c:v>2.7715556159337731</c:v>
                </c:pt>
                <c:pt idx="33">
                  <c:v>1.7009398161398681</c:v>
                </c:pt>
                <c:pt idx="34">
                  <c:v>2.7512745623945003</c:v>
                </c:pt>
                <c:pt idx="35">
                  <c:v>1.6464423295634705</c:v>
                </c:pt>
                <c:pt idx="36">
                  <c:v>2.7774114281464994</c:v>
                </c:pt>
                <c:pt idx="37">
                  <c:v>2.6158408338912773</c:v>
                </c:pt>
                <c:pt idx="38">
                  <c:v>1.5695035582721606</c:v>
                </c:pt>
                <c:pt idx="39">
                  <c:v>2.020687266778372</c:v>
                </c:pt>
                <c:pt idx="40">
                  <c:v>2.6363449929153937</c:v>
                </c:pt>
                <c:pt idx="41">
                  <c:v>2.7434153361888658</c:v>
                </c:pt>
                <c:pt idx="42">
                  <c:v>2.8625497026360764</c:v>
                </c:pt>
                <c:pt idx="43">
                  <c:v>1.8472254659725698</c:v>
                </c:pt>
                <c:pt idx="44">
                  <c:v>2.4764887584708632</c:v>
                </c:pt>
                <c:pt idx="45">
                  <c:v>1.8827258832624414</c:v>
                </c:pt>
                <c:pt idx="46">
                  <c:v>2.1522756700458445</c:v>
                </c:pt>
                <c:pt idx="47">
                  <c:v>1.8067296027079018</c:v>
                </c:pt>
                <c:pt idx="48">
                  <c:v>2.7190262245841024</c:v>
                </c:pt>
                <c:pt idx="49">
                  <c:v>2.818926615891292</c:v>
                </c:pt>
                <c:pt idx="50">
                  <c:v>2.0725208380543063</c:v>
                </c:pt>
                <c:pt idx="51">
                  <c:v>1.7327064925515971</c:v>
                </c:pt>
                <c:pt idx="52">
                  <c:v>2.6670308561411984</c:v>
                </c:pt>
                <c:pt idx="53">
                  <c:v>2.1040027251395297</c:v>
                </c:pt>
                <c:pt idx="54">
                  <c:v>2.4950698711666766</c:v>
                </c:pt>
                <c:pt idx="55">
                  <c:v>1.556038244946609</c:v>
                </c:pt>
                <c:pt idx="56">
                  <c:v>1.9310325233422139</c:v>
                </c:pt>
                <c:pt idx="57">
                  <c:v>1.8278998859566702</c:v>
                </c:pt>
                <c:pt idx="58">
                  <c:v>2.00040003764909</c:v>
                </c:pt>
                <c:pt idx="59">
                  <c:v>2.3634380588960027</c:v>
                </c:pt>
                <c:pt idx="60">
                  <c:v>1.6177050450821484</c:v>
                </c:pt>
                <c:pt idx="61">
                  <c:v>2.3345920610791899</c:v>
                </c:pt>
                <c:pt idx="62">
                  <c:v>1.9399176290676408</c:v>
                </c:pt>
                <c:pt idx="63">
                  <c:v>1.7763860108419722</c:v>
                </c:pt>
                <c:pt idx="64">
                  <c:v>1.8219770304664114</c:v>
                </c:pt>
                <c:pt idx="65">
                  <c:v>2.4852424903727286</c:v>
                </c:pt>
                <c:pt idx="66">
                  <c:v>1.6379242043429822</c:v>
                </c:pt>
                <c:pt idx="67">
                  <c:v>1.7238049166888478</c:v>
                </c:pt>
                <c:pt idx="68">
                  <c:v>1.7801489783008375</c:v>
                </c:pt>
                <c:pt idx="69">
                  <c:v>1.6590300398999651</c:v>
                </c:pt>
                <c:pt idx="70">
                  <c:v>1.8282290950655757</c:v>
                </c:pt>
                <c:pt idx="71">
                  <c:v>2.5721778875895311</c:v>
                </c:pt>
                <c:pt idx="72">
                  <c:v>1.9235118357828751</c:v>
                </c:pt>
                <c:pt idx="73">
                  <c:v>2.3436964890187828</c:v>
                </c:pt>
                <c:pt idx="74">
                  <c:v>2.258590240038123</c:v>
                </c:pt>
                <c:pt idx="75">
                  <c:v>1.7293070888987501</c:v>
                </c:pt>
                <c:pt idx="76">
                  <c:v>1.6627932405706614</c:v>
                </c:pt>
                <c:pt idx="77">
                  <c:v>2.2315992914784184</c:v>
                </c:pt>
                <c:pt idx="78">
                  <c:v>2.2481214005675936</c:v>
                </c:pt>
                <c:pt idx="79">
                  <c:v>2.1152632871967683</c:v>
                </c:pt>
                <c:pt idx="80">
                  <c:v>1.6382382634476564</c:v>
                </c:pt>
                <c:pt idx="81">
                  <c:v>2.2523441131183746</c:v>
                </c:pt>
                <c:pt idx="82">
                  <c:v>2.3499779095714093</c:v>
                </c:pt>
                <c:pt idx="83">
                  <c:v>2.1765637970711751</c:v>
                </c:pt>
                <c:pt idx="84">
                  <c:v>2.2767729527764575</c:v>
                </c:pt>
                <c:pt idx="85">
                  <c:v>1.805175205280781</c:v>
                </c:pt>
                <c:pt idx="86">
                  <c:v>1.6933180918214015</c:v>
                </c:pt>
                <c:pt idx="87">
                  <c:v>1.4752694742335239</c:v>
                </c:pt>
                <c:pt idx="88">
                  <c:v>1.770127428550506</c:v>
                </c:pt>
                <c:pt idx="89">
                  <c:v>1.9470055990701185</c:v>
                </c:pt>
                <c:pt idx="90">
                  <c:v>2.718458389412469</c:v>
                </c:pt>
                <c:pt idx="91">
                  <c:v>1.3480689639964623</c:v>
                </c:pt>
                <c:pt idx="92">
                  <c:v>2.3655317063179417</c:v>
                </c:pt>
                <c:pt idx="93">
                  <c:v>1.7293492081906057</c:v>
                </c:pt>
                <c:pt idx="94">
                  <c:v>1.9058260370722364</c:v>
                </c:pt>
                <c:pt idx="95">
                  <c:v>2.0781443283491225</c:v>
                </c:pt>
                <c:pt idx="96">
                  <c:v>2.2115225367721276</c:v>
                </c:pt>
                <c:pt idx="97">
                  <c:v>2.4574346011854784</c:v>
                </c:pt>
                <c:pt idx="98">
                  <c:v>1.6478804987268649</c:v>
                </c:pt>
                <c:pt idx="99">
                  <c:v>2.5300225896668107</c:v>
                </c:pt>
                <c:pt idx="100">
                  <c:v>2.2589226607034139</c:v>
                </c:pt>
                <c:pt idx="101">
                  <c:v>2.4350602960840115</c:v>
                </c:pt>
                <c:pt idx="102">
                  <c:v>1.4159732780532399</c:v>
                </c:pt>
                <c:pt idx="103">
                  <c:v>2.6519835285180071</c:v>
                </c:pt>
                <c:pt idx="104">
                  <c:v>2.3697044286553828</c:v>
                </c:pt>
                <c:pt idx="105">
                  <c:v>2.6762548160854331</c:v>
                </c:pt>
                <c:pt idx="106">
                  <c:v>1.6363549868102811</c:v>
                </c:pt>
                <c:pt idx="107">
                  <c:v>2.2933819305921532</c:v>
                </c:pt>
                <c:pt idx="108">
                  <c:v>2.3267353325429458</c:v>
                </c:pt>
                <c:pt idx="109">
                  <c:v>2.2112176565459842</c:v>
                </c:pt>
                <c:pt idx="110">
                  <c:v>2.3206889719006272</c:v>
                </c:pt>
                <c:pt idx="111">
                  <c:v>2.7011080981270199</c:v>
                </c:pt>
                <c:pt idx="112">
                  <c:v>2.5079348894145728</c:v>
                </c:pt>
                <c:pt idx="113">
                  <c:v>2.1729222334656964</c:v>
                </c:pt>
                <c:pt idx="114">
                  <c:v>2.1819792753723197</c:v>
                </c:pt>
                <c:pt idx="115">
                  <c:v>2.4875134846261009</c:v>
                </c:pt>
                <c:pt idx="116">
                  <c:v>2.2009124636100807</c:v>
                </c:pt>
                <c:pt idx="117">
                  <c:v>2.4236504783591566</c:v>
                </c:pt>
                <c:pt idx="118">
                  <c:v>2.5019727081193017</c:v>
                </c:pt>
                <c:pt idx="119">
                  <c:v>2.4992122191230579</c:v>
                </c:pt>
                <c:pt idx="120">
                  <c:v>2.449370856375749</c:v>
                </c:pt>
                <c:pt idx="121">
                  <c:v>2.1844145046467656</c:v>
                </c:pt>
                <c:pt idx="122">
                  <c:v>1.8832943494540659</c:v>
                </c:pt>
                <c:pt idx="123">
                  <c:v>2.215858007965775</c:v>
                </c:pt>
                <c:pt idx="124">
                  <c:v>2.308597405099198</c:v>
                </c:pt>
                <c:pt idx="125">
                  <c:v>2.2486394886182155</c:v>
                </c:pt>
                <c:pt idx="126">
                  <c:v>1.9140580720509235</c:v>
                </c:pt>
                <c:pt idx="127">
                  <c:v>2.2804561305613613</c:v>
                </c:pt>
                <c:pt idx="128">
                  <c:v>2.1998312123410004</c:v>
                </c:pt>
                <c:pt idx="129">
                  <c:v>2.0654764611756784</c:v>
                </c:pt>
                <c:pt idx="130">
                  <c:v>2.3070205800632846</c:v>
                </c:pt>
                <c:pt idx="131">
                  <c:v>2.0410822034128038</c:v>
                </c:pt>
                <c:pt idx="132">
                  <c:v>2.3436234475976487</c:v>
                </c:pt>
                <c:pt idx="133">
                  <c:v>2.0834699636577794</c:v>
                </c:pt>
                <c:pt idx="134">
                  <c:v>2.1975723283882802</c:v>
                </c:pt>
                <c:pt idx="135">
                  <c:v>2.2375302817921896</c:v>
                </c:pt>
                <c:pt idx="136">
                  <c:v>2.3130172603217201</c:v>
                </c:pt>
                <c:pt idx="137">
                  <c:v>2.2088857974465759</c:v>
                </c:pt>
                <c:pt idx="138">
                  <c:v>2.2547785891623158</c:v>
                </c:pt>
                <c:pt idx="139">
                  <c:v>2.2676255454717045</c:v>
                </c:pt>
                <c:pt idx="140">
                  <c:v>2.2568637716440954</c:v>
                </c:pt>
                <c:pt idx="141">
                  <c:v>2.2652185450612756</c:v>
                </c:pt>
                <c:pt idx="142">
                  <c:v>2.5121412808833408</c:v>
                </c:pt>
                <c:pt idx="143">
                  <c:v>2.6260919180842635</c:v>
                </c:pt>
                <c:pt idx="144">
                  <c:v>2.6452179457754239</c:v>
                </c:pt>
                <c:pt idx="145">
                  <c:v>2.7313491182206544</c:v>
                </c:pt>
                <c:pt idx="146">
                  <c:v>2.7365005007533121</c:v>
                </c:pt>
                <c:pt idx="147">
                  <c:v>2.6134191384461136</c:v>
                </c:pt>
                <c:pt idx="148">
                  <c:v>2.644865553122933</c:v>
                </c:pt>
                <c:pt idx="149">
                  <c:v>2.659424298009085</c:v>
                </c:pt>
                <c:pt idx="150">
                  <c:v>2.6458374230081669</c:v>
                </c:pt>
                <c:pt idx="151">
                  <c:v>2.660019111402065</c:v>
                </c:pt>
                <c:pt idx="152">
                  <c:v>2.5750040792560713</c:v>
                </c:pt>
                <c:pt idx="153">
                  <c:v>2.6256801025692318</c:v>
                </c:pt>
                <c:pt idx="154">
                  <c:v>2.5957377178762702</c:v>
                </c:pt>
                <c:pt idx="155">
                  <c:v>2.5982553381951488</c:v>
                </c:pt>
                <c:pt idx="156">
                  <c:v>2.4517685600749588</c:v>
                </c:pt>
                <c:pt idx="157">
                  <c:v>2.4327168448467145</c:v>
                </c:pt>
                <c:pt idx="158">
                  <c:v>2.3002730369517437</c:v>
                </c:pt>
                <c:pt idx="159">
                  <c:v>2.2931555053811157</c:v>
                </c:pt>
                <c:pt idx="160">
                  <c:v>2.269528690364639</c:v>
                </c:pt>
                <c:pt idx="161">
                  <c:v>1.743061623568281</c:v>
                </c:pt>
                <c:pt idx="162">
                  <c:v>1.7827236791143319</c:v>
                </c:pt>
                <c:pt idx="163">
                  <c:v>1.8605671549989631</c:v>
                </c:pt>
                <c:pt idx="164">
                  <c:v>1.8797489703721766</c:v>
                </c:pt>
                <c:pt idx="165">
                  <c:v>2.0144985214817805</c:v>
                </c:pt>
                <c:pt idx="166">
                  <c:v>1.8138897573200925</c:v>
                </c:pt>
                <c:pt idx="167">
                  <c:v>1.8661796316047359</c:v>
                </c:pt>
                <c:pt idx="168">
                  <c:v>1.7597574358558943</c:v>
                </c:pt>
                <c:pt idx="169">
                  <c:v>1.9286661960524245</c:v>
                </c:pt>
                <c:pt idx="170">
                  <c:v>2.0664228452878683</c:v>
                </c:pt>
                <c:pt idx="171">
                  <c:v>1.8801224652593318</c:v>
                </c:pt>
                <c:pt idx="172">
                  <c:v>3.0181150882026335</c:v>
                </c:pt>
                <c:pt idx="173">
                  <c:v>2.9667702010554651</c:v>
                </c:pt>
                <c:pt idx="174">
                  <c:v>2.9598671245439143</c:v>
                </c:pt>
                <c:pt idx="175">
                  <c:v>2.9865361262104511</c:v>
                </c:pt>
                <c:pt idx="176">
                  <c:v>2.9737590020301963</c:v>
                </c:pt>
                <c:pt idx="177">
                  <c:v>3.0124411632846537</c:v>
                </c:pt>
                <c:pt idx="178">
                  <c:v>2.8632457986570161</c:v>
                </c:pt>
                <c:pt idx="179">
                  <c:v>2.9457821177072754</c:v>
                </c:pt>
                <c:pt idx="180">
                  <c:v>2.7106354231204075</c:v>
                </c:pt>
                <c:pt idx="181">
                  <c:v>2.7423975343638247</c:v>
                </c:pt>
                <c:pt idx="182">
                  <c:v>2.7733292137618273</c:v>
                </c:pt>
                <c:pt idx="183">
                  <c:v>2.7740111812041053</c:v>
                </c:pt>
                <c:pt idx="184">
                  <c:v>2.6153266190791196</c:v>
                </c:pt>
                <c:pt idx="185">
                  <c:v>1.6364374638187518</c:v>
                </c:pt>
                <c:pt idx="186">
                  <c:v>1.6354041163733566</c:v>
                </c:pt>
                <c:pt idx="187">
                  <c:v>2.3761795342539758</c:v>
                </c:pt>
                <c:pt idx="188">
                  <c:v>2.330641135975176</c:v>
                </c:pt>
                <c:pt idx="189">
                  <c:v>2.0298734114303896</c:v>
                </c:pt>
                <c:pt idx="190">
                  <c:v>2.3034811614348274</c:v>
                </c:pt>
                <c:pt idx="191">
                  <c:v>2.1997412385043953</c:v>
                </c:pt>
                <c:pt idx="192">
                  <c:v>2.3226969077739579</c:v>
                </c:pt>
                <c:pt idx="193">
                  <c:v>2.2884768852414492</c:v>
                </c:pt>
                <c:pt idx="194">
                  <c:v>2.2868653872592879</c:v>
                </c:pt>
                <c:pt idx="195">
                  <c:v>2.2130611293262668</c:v>
                </c:pt>
                <c:pt idx="196">
                  <c:v>2.2284733519923723</c:v>
                </c:pt>
                <c:pt idx="197">
                  <c:v>2.0024560980736097</c:v>
                </c:pt>
                <c:pt idx="198">
                  <c:v>1.8825469295581647</c:v>
                </c:pt>
                <c:pt idx="199">
                  <c:v>2.0114896161255271</c:v>
                </c:pt>
                <c:pt idx="200">
                  <c:v>2.0313524019503189</c:v>
                </c:pt>
                <c:pt idx="201">
                  <c:v>2.0307827866069479</c:v>
                </c:pt>
                <c:pt idx="202">
                  <c:v>2.0150938947073844</c:v>
                </c:pt>
                <c:pt idx="203">
                  <c:v>2.093624509439711</c:v>
                </c:pt>
                <c:pt idx="204">
                  <c:v>2.3086054676763288</c:v>
                </c:pt>
                <c:pt idx="205">
                  <c:v>2.5741692321974834</c:v>
                </c:pt>
                <c:pt idx="206">
                  <c:v>2.5818822369967851</c:v>
                </c:pt>
                <c:pt idx="207">
                  <c:v>2.3367620991349605</c:v>
                </c:pt>
                <c:pt idx="208">
                  <c:v>1.6707497969186089</c:v>
                </c:pt>
                <c:pt idx="209">
                  <c:v>1.7551481653062198</c:v>
                </c:pt>
                <c:pt idx="210">
                  <c:v>2.5539963163141417</c:v>
                </c:pt>
                <c:pt idx="211">
                  <c:v>2.6550544241777123</c:v>
                </c:pt>
                <c:pt idx="212">
                  <c:v>2.4962885204805954</c:v>
                </c:pt>
                <c:pt idx="213">
                  <c:v>2.4493027820847861</c:v>
                </c:pt>
                <c:pt idx="214">
                  <c:v>2.6810961912901536</c:v>
                </c:pt>
                <c:pt idx="215">
                  <c:v>2.7010613780453427</c:v>
                </c:pt>
                <c:pt idx="216">
                  <c:v>2.7112475728087024</c:v>
                </c:pt>
                <c:pt idx="217">
                  <c:v>2.5774733142978432</c:v>
                </c:pt>
                <c:pt idx="218">
                  <c:v>2.7260748519954152</c:v>
                </c:pt>
                <c:pt idx="219">
                  <c:v>3.0255980009212591</c:v>
                </c:pt>
                <c:pt idx="220">
                  <c:v>3.1272756196180551</c:v>
                </c:pt>
                <c:pt idx="221">
                  <c:v>2.6117218760476564</c:v>
                </c:pt>
                <c:pt idx="222">
                  <c:v>2.613236775702195</c:v>
                </c:pt>
                <c:pt idx="223">
                  <c:v>2.4649254512305925</c:v>
                </c:pt>
                <c:pt idx="224">
                  <c:v>2.4994942430534928</c:v>
                </c:pt>
                <c:pt idx="225">
                  <c:v>2.6625791289970056</c:v>
                </c:pt>
                <c:pt idx="226">
                  <c:v>1.7355876045513479</c:v>
                </c:pt>
                <c:pt idx="227">
                  <c:v>1.7404804430979315</c:v>
                </c:pt>
                <c:pt idx="228">
                  <c:v>1.7309053047491172</c:v>
                </c:pt>
                <c:pt idx="229">
                  <c:v>1.7103166195267434</c:v>
                </c:pt>
                <c:pt idx="230">
                  <c:v>2.0116539223314707</c:v>
                </c:pt>
                <c:pt idx="231">
                  <c:v>2.2041284292907823</c:v>
                </c:pt>
                <c:pt idx="232">
                  <c:v>3.0520696182780558</c:v>
                </c:pt>
                <c:pt idx="233">
                  <c:v>1.6693855303656546</c:v>
                </c:pt>
              </c:numCache>
            </c:numRef>
          </c:xVal>
          <c:yVal>
            <c:numRef>
              <c:f>'PLS-R'!$G$1709:$G$1942</c:f>
              <c:numCache>
                <c:formatCode>0.000</c:formatCode>
                <c:ptCount val="234"/>
                <c:pt idx="0">
                  <c:v>-0.19212600510431019</c:v>
                </c:pt>
                <c:pt idx="1">
                  <c:v>-1.2034787814656998</c:v>
                </c:pt>
                <c:pt idx="2">
                  <c:v>-0.75863522224044022</c:v>
                </c:pt>
                <c:pt idx="3">
                  <c:v>0.61836522852049092</c:v>
                </c:pt>
                <c:pt idx="4">
                  <c:v>0.43562698996742416</c:v>
                </c:pt>
                <c:pt idx="5">
                  <c:v>-0.11355481508637182</c:v>
                </c:pt>
                <c:pt idx="6">
                  <c:v>-0.1321539476099495</c:v>
                </c:pt>
                <c:pt idx="7">
                  <c:v>1.0062573859969448</c:v>
                </c:pt>
                <c:pt idx="8">
                  <c:v>0.41972657332457136</c:v>
                </c:pt>
                <c:pt idx="9">
                  <c:v>-1.5927146711148896</c:v>
                </c:pt>
                <c:pt idx="10">
                  <c:v>-6.9588793730526358E-2</c:v>
                </c:pt>
                <c:pt idx="11">
                  <c:v>0.9985530036132636</c:v>
                </c:pt>
                <c:pt idx="12">
                  <c:v>-0.1370775366807962</c:v>
                </c:pt>
                <c:pt idx="13">
                  <c:v>7.2246592381874863E-2</c:v>
                </c:pt>
                <c:pt idx="14">
                  <c:v>-1.7964383711563849</c:v>
                </c:pt>
                <c:pt idx="15">
                  <c:v>0.54917641840995624</c:v>
                </c:pt>
                <c:pt idx="16">
                  <c:v>0.12525696886803944</c:v>
                </c:pt>
                <c:pt idx="17">
                  <c:v>-0.13352564986731122</c:v>
                </c:pt>
                <c:pt idx="18">
                  <c:v>0.62597806224794506</c:v>
                </c:pt>
                <c:pt idx="19">
                  <c:v>0.12178254305652121</c:v>
                </c:pt>
                <c:pt idx="20">
                  <c:v>0.21227913869797979</c:v>
                </c:pt>
                <c:pt idx="21">
                  <c:v>0.643862422143056</c:v>
                </c:pt>
                <c:pt idx="22">
                  <c:v>6.9086293373640445E-2</c:v>
                </c:pt>
                <c:pt idx="23">
                  <c:v>0.41120940902768938</c:v>
                </c:pt>
                <c:pt idx="24">
                  <c:v>-0.92940640948231135</c:v>
                </c:pt>
                <c:pt idx="25">
                  <c:v>-0.27228265102449989</c:v>
                </c:pt>
                <c:pt idx="26">
                  <c:v>0.24078300951573364</c:v>
                </c:pt>
                <c:pt idx="27">
                  <c:v>0.50505454046584575</c:v>
                </c:pt>
                <c:pt idx="28">
                  <c:v>-0.50438673153573976</c:v>
                </c:pt>
                <c:pt idx="29">
                  <c:v>0.81956928645312277</c:v>
                </c:pt>
                <c:pt idx="30">
                  <c:v>-0.36561363841642458</c:v>
                </c:pt>
                <c:pt idx="31">
                  <c:v>-0.48698759825549787</c:v>
                </c:pt>
                <c:pt idx="32">
                  <c:v>0.75860748736748873</c:v>
                </c:pt>
                <c:pt idx="33">
                  <c:v>1.7242417249057529</c:v>
                </c:pt>
                <c:pt idx="34">
                  <c:v>-0.9179835554534248</c:v>
                </c:pt>
                <c:pt idx="35">
                  <c:v>1.3070127624850907</c:v>
                </c:pt>
                <c:pt idx="36">
                  <c:v>0.86410313237912739</c:v>
                </c:pt>
                <c:pt idx="37">
                  <c:v>1.9717545529263931E-2</c:v>
                </c:pt>
                <c:pt idx="38">
                  <c:v>-1.6348140620755094</c:v>
                </c:pt>
                <c:pt idx="39">
                  <c:v>-1.1694850474952281</c:v>
                </c:pt>
                <c:pt idx="40">
                  <c:v>-0.54827112487597762</c:v>
                </c:pt>
                <c:pt idx="41">
                  <c:v>-1.1573972413635378</c:v>
                </c:pt>
                <c:pt idx="42">
                  <c:v>0.46706895907718776</c:v>
                </c:pt>
                <c:pt idx="43">
                  <c:v>0.36463534218014049</c:v>
                </c:pt>
                <c:pt idx="44">
                  <c:v>1.1876393496221334</c:v>
                </c:pt>
                <c:pt idx="45">
                  <c:v>-0.96958845521659376</c:v>
                </c:pt>
                <c:pt idx="46">
                  <c:v>-1.0751085789132093</c:v>
                </c:pt>
                <c:pt idx="47">
                  <c:v>-1.6009238030078026</c:v>
                </c:pt>
                <c:pt idx="48">
                  <c:v>-0.3169931047187266</c:v>
                </c:pt>
                <c:pt idx="49">
                  <c:v>-1.0361652859975818</c:v>
                </c:pt>
                <c:pt idx="50">
                  <c:v>-0.71798483570690463</c:v>
                </c:pt>
                <c:pt idx="51">
                  <c:v>0.31997081720421489</c:v>
                </c:pt>
                <c:pt idx="52">
                  <c:v>0.35055101155226381</c:v>
                </c:pt>
                <c:pt idx="53">
                  <c:v>-0.53419793781934533</c:v>
                </c:pt>
                <c:pt idx="54">
                  <c:v>-0.53123731477604696</c:v>
                </c:pt>
                <c:pt idx="55">
                  <c:v>-0.14820176060572127</c:v>
                </c:pt>
                <c:pt idx="56">
                  <c:v>-0.93835040613779397</c:v>
                </c:pt>
                <c:pt idx="57">
                  <c:v>-0.65874294727521787</c:v>
                </c:pt>
                <c:pt idx="58">
                  <c:v>-0.37887424545405451</c:v>
                </c:pt>
                <c:pt idx="59">
                  <c:v>-0.35728238275427221</c:v>
                </c:pt>
                <c:pt idx="60">
                  <c:v>-1.3522667326566895</c:v>
                </c:pt>
                <c:pt idx="61">
                  <c:v>-0.79019829790588181</c:v>
                </c:pt>
                <c:pt idx="62">
                  <c:v>1.4089816027849911</c:v>
                </c:pt>
                <c:pt idx="63">
                  <c:v>-0.32737466212366384</c:v>
                </c:pt>
                <c:pt idx="64">
                  <c:v>0.29932278312507626</c:v>
                </c:pt>
                <c:pt idx="65">
                  <c:v>3.7385165786542329E-2</c:v>
                </c:pt>
                <c:pt idx="66">
                  <c:v>0.43438277262289776</c:v>
                </c:pt>
                <c:pt idx="67">
                  <c:v>1.5167672829844534</c:v>
                </c:pt>
                <c:pt idx="68">
                  <c:v>-0.42037135451387464</c:v>
                </c:pt>
                <c:pt idx="69">
                  <c:v>0.19605360635261429</c:v>
                </c:pt>
                <c:pt idx="70">
                  <c:v>-0.71563046686505261</c:v>
                </c:pt>
                <c:pt idx="71">
                  <c:v>-0.86053921600330641</c:v>
                </c:pt>
                <c:pt idx="72">
                  <c:v>-8.3263258909505606E-3</c:v>
                </c:pt>
                <c:pt idx="73">
                  <c:v>-0.74970155790171877</c:v>
                </c:pt>
                <c:pt idx="74">
                  <c:v>1.02579067544846</c:v>
                </c:pt>
                <c:pt idx="75">
                  <c:v>-9.4483527033515508E-3</c:v>
                </c:pt>
                <c:pt idx="76">
                  <c:v>-0.8613631129398277</c:v>
                </c:pt>
                <c:pt idx="77">
                  <c:v>-9.8821863746026431E-2</c:v>
                </c:pt>
                <c:pt idx="78">
                  <c:v>-8.2632239076842487E-2</c:v>
                </c:pt>
                <c:pt idx="79">
                  <c:v>0.58450655079445535</c:v>
                </c:pt>
                <c:pt idx="80">
                  <c:v>0.22091504033847692</c:v>
                </c:pt>
                <c:pt idx="81">
                  <c:v>-2.2150106456687971E-2</c:v>
                </c:pt>
                <c:pt idx="82">
                  <c:v>-0.27391315235175351</c:v>
                </c:pt>
                <c:pt idx="83">
                  <c:v>0.1612916046234848</c:v>
                </c:pt>
                <c:pt idx="84">
                  <c:v>0.67552484960433024</c:v>
                </c:pt>
                <c:pt idx="85">
                  <c:v>-1.079304303113799</c:v>
                </c:pt>
                <c:pt idx="86">
                  <c:v>1.0613980374152194E-2</c:v>
                </c:pt>
                <c:pt idx="87">
                  <c:v>-0.60081737113098999</c:v>
                </c:pt>
                <c:pt idx="88">
                  <c:v>0.33664524721368566</c:v>
                </c:pt>
                <c:pt idx="89">
                  <c:v>0.3739409675477891</c:v>
                </c:pt>
                <c:pt idx="90">
                  <c:v>-0.21858977994727316</c:v>
                </c:pt>
                <c:pt idx="91">
                  <c:v>6.0361427033189467E-2</c:v>
                </c:pt>
                <c:pt idx="92">
                  <c:v>-0.30312232588093485</c:v>
                </c:pt>
                <c:pt idx="93">
                  <c:v>0.27363921330727514</c:v>
                </c:pt>
                <c:pt idx="94">
                  <c:v>0.1768535149272136</c:v>
                </c:pt>
                <c:pt idx="95">
                  <c:v>0.4737481217735432</c:v>
                </c:pt>
                <c:pt idx="96">
                  <c:v>0.14744135134452294</c:v>
                </c:pt>
                <c:pt idx="97">
                  <c:v>0.22976467398363598</c:v>
                </c:pt>
                <c:pt idx="98">
                  <c:v>-0.26804005519787444</c:v>
                </c:pt>
                <c:pt idx="99">
                  <c:v>-7.2603032787993516E-2</c:v>
                </c:pt>
                <c:pt idx="100">
                  <c:v>-0.81286443446359735</c:v>
                </c:pt>
                <c:pt idx="101">
                  <c:v>-0.60303993210138807</c:v>
                </c:pt>
                <c:pt idx="102">
                  <c:v>1.0017272337235448</c:v>
                </c:pt>
                <c:pt idx="103">
                  <c:v>-7.3614824373849669E-2</c:v>
                </c:pt>
                <c:pt idx="104">
                  <c:v>0.62159843111520263</c:v>
                </c:pt>
                <c:pt idx="105">
                  <c:v>-0.83719891361807974</c:v>
                </c:pt>
                <c:pt idx="106">
                  <c:v>-0.29903217768169754</c:v>
                </c:pt>
                <c:pt idx="107">
                  <c:v>0.19308544462913199</c:v>
                </c:pt>
                <c:pt idx="108">
                  <c:v>-0.66405536744410576</c:v>
                </c:pt>
                <c:pt idx="109">
                  <c:v>0.18481327450641571</c:v>
                </c:pt>
                <c:pt idx="110">
                  <c:v>-0.16946584412434432</c:v>
                </c:pt>
                <c:pt idx="111">
                  <c:v>-0.41251965196651735</c:v>
                </c:pt>
                <c:pt idx="112">
                  <c:v>0.37650168461943573</c:v>
                </c:pt>
                <c:pt idx="113">
                  <c:v>1.1370419051903932E-2</c:v>
                </c:pt>
                <c:pt idx="114">
                  <c:v>0.29010579166177247</c:v>
                </c:pt>
                <c:pt idx="115">
                  <c:v>-3.0463597203680595E-2</c:v>
                </c:pt>
                <c:pt idx="116">
                  <c:v>-0.36115189081661164</c:v>
                </c:pt>
                <c:pt idx="117">
                  <c:v>0.32684637378166609</c:v>
                </c:pt>
                <c:pt idx="118">
                  <c:v>-7.4319125871997946E-2</c:v>
                </c:pt>
                <c:pt idx="119">
                  <c:v>-0.33627595858088638</c:v>
                </c:pt>
                <c:pt idx="120">
                  <c:v>0.20982377568747745</c:v>
                </c:pt>
                <c:pt idx="121">
                  <c:v>1.8623143195466294</c:v>
                </c:pt>
                <c:pt idx="122">
                  <c:v>-4.8754929901665564E-2</c:v>
                </c:pt>
                <c:pt idx="123">
                  <c:v>0.21893166707815218</c:v>
                </c:pt>
                <c:pt idx="124">
                  <c:v>3.3311842947967199E-2</c:v>
                </c:pt>
                <c:pt idx="125">
                  <c:v>-0.2529519244300481</c:v>
                </c:pt>
                <c:pt idx="126">
                  <c:v>0.56485911892592688</c:v>
                </c:pt>
                <c:pt idx="127">
                  <c:v>-7.4942926700441476E-2</c:v>
                </c:pt>
                <c:pt idx="128">
                  <c:v>-0.62084763647552232</c:v>
                </c:pt>
                <c:pt idx="129">
                  <c:v>-6.0193215701533791E-2</c:v>
                </c:pt>
                <c:pt idx="130">
                  <c:v>-1.0068950373417549</c:v>
                </c:pt>
                <c:pt idx="131">
                  <c:v>-1.2410792628514014</c:v>
                </c:pt>
                <c:pt idx="132">
                  <c:v>-0.91322761958143639</c:v>
                </c:pt>
                <c:pt idx="133">
                  <c:v>0.17393769083281638</c:v>
                </c:pt>
                <c:pt idx="134">
                  <c:v>0.12183874003777685</c:v>
                </c:pt>
                <c:pt idx="135">
                  <c:v>0.74922042408093381</c:v>
                </c:pt>
                <c:pt idx="136">
                  <c:v>0.12957779030752001</c:v>
                </c:pt>
                <c:pt idx="137">
                  <c:v>-0.11205074737559052</c:v>
                </c:pt>
                <c:pt idx="138">
                  <c:v>-7.0037288885753834E-2</c:v>
                </c:pt>
                <c:pt idx="139">
                  <c:v>7.8882366259625844E-2</c:v>
                </c:pt>
                <c:pt idx="140">
                  <c:v>0.21793218606330392</c:v>
                </c:pt>
                <c:pt idx="141">
                  <c:v>0.35896445347873956</c:v>
                </c:pt>
                <c:pt idx="142">
                  <c:v>4.3479756597163521E-2</c:v>
                </c:pt>
                <c:pt idx="143">
                  <c:v>5.2741376479330568E-2</c:v>
                </c:pt>
                <c:pt idx="144">
                  <c:v>0.57851668909632448</c:v>
                </c:pt>
                <c:pt idx="145">
                  <c:v>-0.11127060303595433</c:v>
                </c:pt>
                <c:pt idx="146">
                  <c:v>-0.2323330427234864</c:v>
                </c:pt>
                <c:pt idx="147">
                  <c:v>0.23839299634681377</c:v>
                </c:pt>
                <c:pt idx="148">
                  <c:v>-0.40094459920396769</c:v>
                </c:pt>
                <c:pt idx="149">
                  <c:v>0.52600289608786188</c:v>
                </c:pt>
                <c:pt idx="150">
                  <c:v>0.74283099366702554</c:v>
                </c:pt>
                <c:pt idx="151">
                  <c:v>-0.42940214693799</c:v>
                </c:pt>
                <c:pt idx="152">
                  <c:v>0.23280117879725701</c:v>
                </c:pt>
                <c:pt idx="153">
                  <c:v>-0.49568781711426241</c:v>
                </c:pt>
                <c:pt idx="154">
                  <c:v>3.201170978349261E-2</c:v>
                </c:pt>
                <c:pt idx="155">
                  <c:v>0.42783240520068555</c:v>
                </c:pt>
                <c:pt idx="156">
                  <c:v>0.71500940965093007</c:v>
                </c:pt>
                <c:pt idx="157">
                  <c:v>0.68849912225840237</c:v>
                </c:pt>
                <c:pt idx="158">
                  <c:v>-0.13112584287575174</c:v>
                </c:pt>
                <c:pt idx="159">
                  <c:v>0.61989794547167409</c:v>
                </c:pt>
                <c:pt idx="160">
                  <c:v>0.53854541937118738</c:v>
                </c:pt>
                <c:pt idx="161">
                  <c:v>-0.16873167896896632</c:v>
                </c:pt>
                <c:pt idx="162">
                  <c:v>0.29445345015938085</c:v>
                </c:pt>
                <c:pt idx="163">
                  <c:v>7.9855536167526622E-2</c:v>
                </c:pt>
                <c:pt idx="164">
                  <c:v>0.18399096756727826</c:v>
                </c:pt>
                <c:pt idx="165">
                  <c:v>-0.29514913775734142</c:v>
                </c:pt>
                <c:pt idx="166">
                  <c:v>-8.0822515704555578E-2</c:v>
                </c:pt>
                <c:pt idx="167">
                  <c:v>0.58199696527111133</c:v>
                </c:pt>
                <c:pt idx="168">
                  <c:v>0.45116230201124691</c:v>
                </c:pt>
                <c:pt idx="169">
                  <c:v>0.69927870449148999</c:v>
                </c:pt>
                <c:pt idx="170">
                  <c:v>0.20595124011301003</c:v>
                </c:pt>
                <c:pt idx="171">
                  <c:v>0.52816362639305992</c:v>
                </c:pt>
                <c:pt idx="172">
                  <c:v>-0.12906191753304244</c:v>
                </c:pt>
                <c:pt idx="173">
                  <c:v>0.39309341674425186</c:v>
                </c:pt>
                <c:pt idx="174">
                  <c:v>0.48576497048948131</c:v>
                </c:pt>
                <c:pt idx="175">
                  <c:v>0.12568424046813925</c:v>
                </c:pt>
                <c:pt idx="176">
                  <c:v>0.60144207945422989</c:v>
                </c:pt>
                <c:pt idx="177">
                  <c:v>0.72882446161704562</c:v>
                </c:pt>
                <c:pt idx="178">
                  <c:v>-0.18604737612421388</c:v>
                </c:pt>
                <c:pt idx="179">
                  <c:v>-0.32989261706401429</c:v>
                </c:pt>
                <c:pt idx="180">
                  <c:v>0.62925922069691353</c:v>
                </c:pt>
                <c:pt idx="181">
                  <c:v>0.75585007548269467</c:v>
                </c:pt>
                <c:pt idx="182">
                  <c:v>0.40919830413854896</c:v>
                </c:pt>
                <c:pt idx="183">
                  <c:v>-0.29485770893690599</c:v>
                </c:pt>
                <c:pt idx="184">
                  <c:v>7.4764396962730184E-2</c:v>
                </c:pt>
                <c:pt idx="185">
                  <c:v>1.2105155999067465</c:v>
                </c:pt>
                <c:pt idx="186">
                  <c:v>0.64285714395633942</c:v>
                </c:pt>
                <c:pt idx="187">
                  <c:v>-0.21357575423072692</c:v>
                </c:pt>
                <c:pt idx="188">
                  <c:v>-0.78277867819215119</c:v>
                </c:pt>
                <c:pt idx="189">
                  <c:v>-3.199302025361879E-2</c:v>
                </c:pt>
                <c:pt idx="190">
                  <c:v>-0.51473978838138168</c:v>
                </c:pt>
                <c:pt idx="191">
                  <c:v>-0.1548740099194417</c:v>
                </c:pt>
                <c:pt idx="192">
                  <c:v>0.10800875103210306</c:v>
                </c:pt>
                <c:pt idx="193">
                  <c:v>-0.32776436089693656</c:v>
                </c:pt>
                <c:pt idx="194">
                  <c:v>-7.303726072321147E-2</c:v>
                </c:pt>
                <c:pt idx="195">
                  <c:v>-0.27206777224842593</c:v>
                </c:pt>
                <c:pt idx="196">
                  <c:v>3.7100104850281606E-3</c:v>
                </c:pt>
                <c:pt idx="197">
                  <c:v>0.35806494079933804</c:v>
                </c:pt>
                <c:pt idx="198">
                  <c:v>1.1138546864792445</c:v>
                </c:pt>
                <c:pt idx="199">
                  <c:v>0.4801569229381597</c:v>
                </c:pt>
                <c:pt idx="200">
                  <c:v>-1.1355062829796463E-2</c:v>
                </c:pt>
                <c:pt idx="201">
                  <c:v>-0.19035574725904131</c:v>
                </c:pt>
                <c:pt idx="202">
                  <c:v>0.31314673870830756</c:v>
                </c:pt>
                <c:pt idx="203">
                  <c:v>3.1859712708035108E-2</c:v>
                </c:pt>
                <c:pt idx="204">
                  <c:v>-0.39105371421358454</c:v>
                </c:pt>
                <c:pt idx="205">
                  <c:v>-0.1528813231734775</c:v>
                </c:pt>
                <c:pt idx="206">
                  <c:v>-2.7898507116788172E-2</c:v>
                </c:pt>
                <c:pt idx="207">
                  <c:v>6.7887528131643657E-2</c:v>
                </c:pt>
                <c:pt idx="208">
                  <c:v>8.4983667999828635E-2</c:v>
                </c:pt>
                <c:pt idx="209">
                  <c:v>0.51499937413319874</c:v>
                </c:pt>
                <c:pt idx="210">
                  <c:v>-0.27691450075216967</c:v>
                </c:pt>
                <c:pt idx="211">
                  <c:v>3.8918375507965883E-2</c:v>
                </c:pt>
                <c:pt idx="212">
                  <c:v>6.8480873610635443E-2</c:v>
                </c:pt>
                <c:pt idx="213">
                  <c:v>0.40085682524702038</c:v>
                </c:pt>
                <c:pt idx="214">
                  <c:v>0.21946312642319904</c:v>
                </c:pt>
                <c:pt idx="215">
                  <c:v>-0.51558999588786425</c:v>
                </c:pt>
                <c:pt idx="216">
                  <c:v>-0.63883875802838741</c:v>
                </c:pt>
                <c:pt idx="217">
                  <c:v>-0.28963063757864566</c:v>
                </c:pt>
                <c:pt idx="218">
                  <c:v>-0.70943123027097599</c:v>
                </c:pt>
                <c:pt idx="219">
                  <c:v>3.1882831448256072E-2</c:v>
                </c:pt>
                <c:pt idx="220">
                  <c:v>0.11260721141638513</c:v>
                </c:pt>
                <c:pt idx="221">
                  <c:v>-0.19252569913349271</c:v>
                </c:pt>
                <c:pt idx="222">
                  <c:v>0.16750096955286156</c:v>
                </c:pt>
                <c:pt idx="223">
                  <c:v>0.10801710476597821</c:v>
                </c:pt>
                <c:pt idx="224">
                  <c:v>0.17405265663837699</c:v>
                </c:pt>
                <c:pt idx="225">
                  <c:v>0.36119245717366188</c:v>
                </c:pt>
                <c:pt idx="226">
                  <c:v>-1.4673230492348859</c:v>
                </c:pt>
                <c:pt idx="227">
                  <c:v>0.26353792409511934</c:v>
                </c:pt>
                <c:pt idx="228">
                  <c:v>-0.37451177096846078</c:v>
                </c:pt>
                <c:pt idx="229">
                  <c:v>-0.9506094008553938</c:v>
                </c:pt>
                <c:pt idx="230">
                  <c:v>0.30334884813906926</c:v>
                </c:pt>
                <c:pt idx="231">
                  <c:v>0.35412130095995503</c:v>
                </c:pt>
                <c:pt idx="232">
                  <c:v>0.17663652679109584</c:v>
                </c:pt>
                <c:pt idx="233">
                  <c:v>1.4309531504769355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EF7-A46A-D9E1EB5AC700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2.835363160729786</c:v>
              </c:pt>
            </c:numLit>
          </c:xVal>
          <c:yVal>
            <c:numLit>
              <c:formatCode>General</c:formatCode>
              <c:ptCount val="1"/>
              <c:pt idx="0">
                <c:v>-1.2034787814656998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76C-4EF7-A46A-D9E1EB5AC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174031"/>
        <c:axId val="289176527"/>
      </c:scatterChart>
      <c:valAx>
        <c:axId val="289174031"/>
        <c:scaling>
          <c:orientation val="minMax"/>
          <c:max val="3.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Pred(sy)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89176527"/>
        <c:crosses val="autoZero"/>
        <c:crossBetween val="midCat"/>
      </c:valAx>
      <c:valAx>
        <c:axId val="289176527"/>
        <c:scaling>
          <c:orientation val="minMax"/>
          <c:max val="2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91740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Pred(sy) - sy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'PLS-R'!$E$1709:$E$1942</c:f>
              <c:numCache>
                <c:formatCode>0.000</c:formatCode>
                <c:ptCount val="234"/>
                <c:pt idx="0">
                  <c:v>2.9876677378838647</c:v>
                </c:pt>
                <c:pt idx="1">
                  <c:v>2.835363160729786</c:v>
                </c:pt>
                <c:pt idx="2">
                  <c:v>2.7050009618297954</c:v>
                </c:pt>
                <c:pt idx="3">
                  <c:v>2.6534457698022966</c:v>
                </c:pt>
                <c:pt idx="4">
                  <c:v>2.9555506634677404</c:v>
                </c:pt>
                <c:pt idx="5">
                  <c:v>3.0849532640068502</c:v>
                </c:pt>
                <c:pt idx="6">
                  <c:v>2.9483185298706465</c:v>
                </c:pt>
                <c:pt idx="7">
                  <c:v>2.6923145865931772</c:v>
                </c:pt>
                <c:pt idx="8">
                  <c:v>2.7445125804973483</c:v>
                </c:pt>
                <c:pt idx="9">
                  <c:v>2.8609529800171871</c:v>
                </c:pt>
                <c:pt idx="10">
                  <c:v>2.9201491812075644</c:v>
                </c:pt>
                <c:pt idx="11">
                  <c:v>3.0810573960814822</c:v>
                </c:pt>
                <c:pt idx="12">
                  <c:v>3.1869367268683768</c:v>
                </c:pt>
                <c:pt idx="13">
                  <c:v>2.8188614040391955</c:v>
                </c:pt>
                <c:pt idx="14">
                  <c:v>2.6555680150508247</c:v>
                </c:pt>
                <c:pt idx="15">
                  <c:v>2.6866581153335174</c:v>
                </c:pt>
                <c:pt idx="16">
                  <c:v>2.7930396083196234</c:v>
                </c:pt>
                <c:pt idx="17">
                  <c:v>2.8913034650391345</c:v>
                </c:pt>
                <c:pt idx="18">
                  <c:v>3.2119756876163943</c:v>
                </c:pt>
                <c:pt idx="19">
                  <c:v>3.0490945156875977</c:v>
                </c:pt>
                <c:pt idx="20">
                  <c:v>2.7845890906246984</c:v>
                </c:pt>
                <c:pt idx="21">
                  <c:v>2.9233769001740537</c:v>
                </c:pt>
                <c:pt idx="22">
                  <c:v>2.9632117572915444</c:v>
                </c:pt>
                <c:pt idx="23">
                  <c:v>3.2281902621279124</c:v>
                </c:pt>
                <c:pt idx="24">
                  <c:v>3.1851021879870403</c:v>
                </c:pt>
                <c:pt idx="25">
                  <c:v>1.5921477212220494</c:v>
                </c:pt>
                <c:pt idx="26">
                  <c:v>2.7068398758729693</c:v>
                </c:pt>
                <c:pt idx="27">
                  <c:v>2.670579234152465</c:v>
                </c:pt>
                <c:pt idx="28">
                  <c:v>2.4208727566094832</c:v>
                </c:pt>
                <c:pt idx="29">
                  <c:v>2.6968012852817536</c:v>
                </c:pt>
                <c:pt idx="30">
                  <c:v>1.5926281676508638</c:v>
                </c:pt>
                <c:pt idx="31">
                  <c:v>2.1401330185487319</c:v>
                </c:pt>
                <c:pt idx="32">
                  <c:v>2.7715556159337731</c:v>
                </c:pt>
                <c:pt idx="33">
                  <c:v>1.7009398161398681</c:v>
                </c:pt>
                <c:pt idx="34">
                  <c:v>2.7512745623945003</c:v>
                </c:pt>
                <c:pt idx="35">
                  <c:v>1.6464423295634705</c:v>
                </c:pt>
                <c:pt idx="36">
                  <c:v>2.7774114281464994</c:v>
                </c:pt>
                <c:pt idx="37">
                  <c:v>2.6158408338912773</c:v>
                </c:pt>
                <c:pt idx="38">
                  <c:v>1.5695035582721606</c:v>
                </c:pt>
                <c:pt idx="39">
                  <c:v>2.020687266778372</c:v>
                </c:pt>
                <c:pt idx="40">
                  <c:v>2.6363449929153937</c:v>
                </c:pt>
                <c:pt idx="41">
                  <c:v>2.7434153361888658</c:v>
                </c:pt>
                <c:pt idx="42">
                  <c:v>2.8625497026360764</c:v>
                </c:pt>
                <c:pt idx="43">
                  <c:v>1.8472254659725698</c:v>
                </c:pt>
                <c:pt idx="44">
                  <c:v>2.4764887584708632</c:v>
                </c:pt>
                <c:pt idx="45">
                  <c:v>1.8827258832624414</c:v>
                </c:pt>
                <c:pt idx="46">
                  <c:v>2.1522756700458445</c:v>
                </c:pt>
                <c:pt idx="47">
                  <c:v>1.8067296027079018</c:v>
                </c:pt>
                <c:pt idx="48">
                  <c:v>2.7190262245841024</c:v>
                </c:pt>
                <c:pt idx="49">
                  <c:v>2.818926615891292</c:v>
                </c:pt>
                <c:pt idx="50">
                  <c:v>2.0725208380543063</c:v>
                </c:pt>
                <c:pt idx="51">
                  <c:v>1.7327064925515971</c:v>
                </c:pt>
                <c:pt idx="52">
                  <c:v>2.6670308561411984</c:v>
                </c:pt>
                <c:pt idx="53">
                  <c:v>2.1040027251395297</c:v>
                </c:pt>
                <c:pt idx="54">
                  <c:v>2.4950698711666766</c:v>
                </c:pt>
                <c:pt idx="55">
                  <c:v>1.556038244946609</c:v>
                </c:pt>
                <c:pt idx="56">
                  <c:v>1.9310325233422139</c:v>
                </c:pt>
                <c:pt idx="57">
                  <c:v>1.8278998859566702</c:v>
                </c:pt>
                <c:pt idx="58">
                  <c:v>2.00040003764909</c:v>
                </c:pt>
                <c:pt idx="59">
                  <c:v>2.3634380588960027</c:v>
                </c:pt>
                <c:pt idx="60">
                  <c:v>1.6177050450821484</c:v>
                </c:pt>
                <c:pt idx="61">
                  <c:v>2.3345920610791899</c:v>
                </c:pt>
                <c:pt idx="62">
                  <c:v>1.9399176290676408</c:v>
                </c:pt>
                <c:pt idx="63">
                  <c:v>1.7763860108419722</c:v>
                </c:pt>
                <c:pt idx="64">
                  <c:v>1.8219770304664114</c:v>
                </c:pt>
                <c:pt idx="65">
                  <c:v>2.4852424903727286</c:v>
                </c:pt>
                <c:pt idx="66">
                  <c:v>1.6379242043429822</c:v>
                </c:pt>
                <c:pt idx="67">
                  <c:v>1.7238049166888478</c:v>
                </c:pt>
                <c:pt idx="68">
                  <c:v>1.7801489783008375</c:v>
                </c:pt>
                <c:pt idx="69">
                  <c:v>1.6590300398999651</c:v>
                </c:pt>
                <c:pt idx="70">
                  <c:v>1.8282290950655757</c:v>
                </c:pt>
                <c:pt idx="71">
                  <c:v>2.5721778875895311</c:v>
                </c:pt>
                <c:pt idx="72">
                  <c:v>1.9235118357828751</c:v>
                </c:pt>
                <c:pt idx="73">
                  <c:v>2.3436964890187828</c:v>
                </c:pt>
                <c:pt idx="74">
                  <c:v>2.258590240038123</c:v>
                </c:pt>
                <c:pt idx="75">
                  <c:v>1.7293070888987501</c:v>
                </c:pt>
                <c:pt idx="76">
                  <c:v>1.6627932405706614</c:v>
                </c:pt>
                <c:pt idx="77">
                  <c:v>2.2315992914784184</c:v>
                </c:pt>
                <c:pt idx="78">
                  <c:v>2.2481214005675936</c:v>
                </c:pt>
                <c:pt idx="79">
                  <c:v>2.1152632871967683</c:v>
                </c:pt>
                <c:pt idx="80">
                  <c:v>1.6382382634476564</c:v>
                </c:pt>
                <c:pt idx="81">
                  <c:v>2.2523441131183746</c:v>
                </c:pt>
                <c:pt idx="82">
                  <c:v>2.3499779095714093</c:v>
                </c:pt>
                <c:pt idx="83">
                  <c:v>2.1765637970711751</c:v>
                </c:pt>
                <c:pt idx="84">
                  <c:v>2.2767729527764575</c:v>
                </c:pt>
                <c:pt idx="85">
                  <c:v>1.805175205280781</c:v>
                </c:pt>
                <c:pt idx="86">
                  <c:v>1.6933180918214015</c:v>
                </c:pt>
                <c:pt idx="87">
                  <c:v>1.4752694742335239</c:v>
                </c:pt>
                <c:pt idx="88">
                  <c:v>1.770127428550506</c:v>
                </c:pt>
                <c:pt idx="89">
                  <c:v>1.9470055990701185</c:v>
                </c:pt>
                <c:pt idx="90">
                  <c:v>2.718458389412469</c:v>
                </c:pt>
                <c:pt idx="91">
                  <c:v>1.3480689639964623</c:v>
                </c:pt>
                <c:pt idx="92">
                  <c:v>2.3655317063179417</c:v>
                </c:pt>
                <c:pt idx="93">
                  <c:v>1.7293492081906057</c:v>
                </c:pt>
                <c:pt idx="94">
                  <c:v>1.9058260370722364</c:v>
                </c:pt>
                <c:pt idx="95">
                  <c:v>2.0781443283491225</c:v>
                </c:pt>
                <c:pt idx="96">
                  <c:v>2.2115225367721276</c:v>
                </c:pt>
                <c:pt idx="97">
                  <c:v>2.4574346011854784</c:v>
                </c:pt>
                <c:pt idx="98">
                  <c:v>1.6478804987268649</c:v>
                </c:pt>
                <c:pt idx="99">
                  <c:v>2.5300225896668107</c:v>
                </c:pt>
                <c:pt idx="100">
                  <c:v>2.2589226607034139</c:v>
                </c:pt>
                <c:pt idx="101">
                  <c:v>2.4350602960840115</c:v>
                </c:pt>
                <c:pt idx="102">
                  <c:v>1.4159732780532399</c:v>
                </c:pt>
                <c:pt idx="103">
                  <c:v>2.6519835285180071</c:v>
                </c:pt>
                <c:pt idx="104">
                  <c:v>2.3697044286553828</c:v>
                </c:pt>
                <c:pt idx="105">
                  <c:v>2.6762548160854331</c:v>
                </c:pt>
                <c:pt idx="106">
                  <c:v>1.6363549868102811</c:v>
                </c:pt>
                <c:pt idx="107">
                  <c:v>2.2933819305921532</c:v>
                </c:pt>
                <c:pt idx="108">
                  <c:v>2.3267353325429458</c:v>
                </c:pt>
                <c:pt idx="109">
                  <c:v>2.2112176565459842</c:v>
                </c:pt>
                <c:pt idx="110">
                  <c:v>2.3206889719006272</c:v>
                </c:pt>
                <c:pt idx="111">
                  <c:v>2.7011080981270199</c:v>
                </c:pt>
                <c:pt idx="112">
                  <c:v>2.5079348894145728</c:v>
                </c:pt>
                <c:pt idx="113">
                  <c:v>2.1729222334656964</c:v>
                </c:pt>
                <c:pt idx="114">
                  <c:v>2.1819792753723197</c:v>
                </c:pt>
                <c:pt idx="115">
                  <c:v>2.4875134846261009</c:v>
                </c:pt>
                <c:pt idx="116">
                  <c:v>2.2009124636100807</c:v>
                </c:pt>
                <c:pt idx="117">
                  <c:v>2.4236504783591566</c:v>
                </c:pt>
                <c:pt idx="118">
                  <c:v>2.5019727081193017</c:v>
                </c:pt>
                <c:pt idx="119">
                  <c:v>2.4992122191230579</c:v>
                </c:pt>
                <c:pt idx="120">
                  <c:v>2.449370856375749</c:v>
                </c:pt>
                <c:pt idx="121">
                  <c:v>2.1844145046467656</c:v>
                </c:pt>
                <c:pt idx="122">
                  <c:v>1.8832943494540659</c:v>
                </c:pt>
                <c:pt idx="123">
                  <c:v>2.215858007965775</c:v>
                </c:pt>
                <c:pt idx="124">
                  <c:v>2.308597405099198</c:v>
                </c:pt>
                <c:pt idx="125">
                  <c:v>2.2486394886182155</c:v>
                </c:pt>
                <c:pt idx="126">
                  <c:v>1.9140580720509235</c:v>
                </c:pt>
                <c:pt idx="127">
                  <c:v>2.2804561305613613</c:v>
                </c:pt>
                <c:pt idx="128">
                  <c:v>2.1998312123410004</c:v>
                </c:pt>
                <c:pt idx="129">
                  <c:v>2.0654764611756784</c:v>
                </c:pt>
                <c:pt idx="130">
                  <c:v>2.3070205800632846</c:v>
                </c:pt>
                <c:pt idx="131">
                  <c:v>2.0410822034128038</c:v>
                </c:pt>
                <c:pt idx="132">
                  <c:v>2.3436234475976487</c:v>
                </c:pt>
                <c:pt idx="133">
                  <c:v>2.0834699636577794</c:v>
                </c:pt>
                <c:pt idx="134">
                  <c:v>2.1975723283882802</c:v>
                </c:pt>
                <c:pt idx="135">
                  <c:v>2.2375302817921896</c:v>
                </c:pt>
                <c:pt idx="136">
                  <c:v>2.3130172603217201</c:v>
                </c:pt>
                <c:pt idx="137">
                  <c:v>2.2088857974465759</c:v>
                </c:pt>
                <c:pt idx="138">
                  <c:v>2.2547785891623158</c:v>
                </c:pt>
                <c:pt idx="139">
                  <c:v>2.2676255454717045</c:v>
                </c:pt>
                <c:pt idx="140">
                  <c:v>2.2568637716440954</c:v>
                </c:pt>
                <c:pt idx="141">
                  <c:v>2.2652185450612756</c:v>
                </c:pt>
                <c:pt idx="142">
                  <c:v>2.5121412808833408</c:v>
                </c:pt>
                <c:pt idx="143">
                  <c:v>2.6260919180842635</c:v>
                </c:pt>
                <c:pt idx="144">
                  <c:v>2.6452179457754239</c:v>
                </c:pt>
                <c:pt idx="145">
                  <c:v>2.7313491182206544</c:v>
                </c:pt>
                <c:pt idx="146">
                  <c:v>2.7365005007533121</c:v>
                </c:pt>
                <c:pt idx="147">
                  <c:v>2.6134191384461136</c:v>
                </c:pt>
                <c:pt idx="148">
                  <c:v>2.644865553122933</c:v>
                </c:pt>
                <c:pt idx="149">
                  <c:v>2.659424298009085</c:v>
                </c:pt>
                <c:pt idx="150">
                  <c:v>2.6458374230081669</c:v>
                </c:pt>
                <c:pt idx="151">
                  <c:v>2.660019111402065</c:v>
                </c:pt>
                <c:pt idx="152">
                  <c:v>2.5750040792560713</c:v>
                </c:pt>
                <c:pt idx="153">
                  <c:v>2.6256801025692318</c:v>
                </c:pt>
                <c:pt idx="154">
                  <c:v>2.5957377178762702</c:v>
                </c:pt>
                <c:pt idx="155">
                  <c:v>2.5982553381951488</c:v>
                </c:pt>
                <c:pt idx="156">
                  <c:v>2.4517685600749588</c:v>
                </c:pt>
                <c:pt idx="157">
                  <c:v>2.4327168448467145</c:v>
                </c:pt>
                <c:pt idx="158">
                  <c:v>2.3002730369517437</c:v>
                </c:pt>
                <c:pt idx="159">
                  <c:v>2.2931555053811157</c:v>
                </c:pt>
                <c:pt idx="160">
                  <c:v>2.269528690364639</c:v>
                </c:pt>
                <c:pt idx="161">
                  <c:v>1.743061623568281</c:v>
                </c:pt>
                <c:pt idx="162">
                  <c:v>1.7827236791143319</c:v>
                </c:pt>
                <c:pt idx="163">
                  <c:v>1.8605671549989631</c:v>
                </c:pt>
                <c:pt idx="164">
                  <c:v>1.8797489703721766</c:v>
                </c:pt>
                <c:pt idx="165">
                  <c:v>2.0144985214817805</c:v>
                </c:pt>
                <c:pt idx="166">
                  <c:v>1.8138897573200925</c:v>
                </c:pt>
                <c:pt idx="167">
                  <c:v>1.8661796316047359</c:v>
                </c:pt>
                <c:pt idx="168">
                  <c:v>1.7597574358558943</c:v>
                </c:pt>
                <c:pt idx="169">
                  <c:v>1.9286661960524245</c:v>
                </c:pt>
                <c:pt idx="170">
                  <c:v>2.0664228452878683</c:v>
                </c:pt>
                <c:pt idx="171">
                  <c:v>1.8801224652593318</c:v>
                </c:pt>
                <c:pt idx="172">
                  <c:v>3.0181150882026335</c:v>
                </c:pt>
                <c:pt idx="173">
                  <c:v>2.9667702010554651</c:v>
                </c:pt>
                <c:pt idx="174">
                  <c:v>2.9598671245439143</c:v>
                </c:pt>
                <c:pt idx="175">
                  <c:v>2.9865361262104511</c:v>
                </c:pt>
                <c:pt idx="176">
                  <c:v>2.9737590020301963</c:v>
                </c:pt>
                <c:pt idx="177">
                  <c:v>3.0124411632846537</c:v>
                </c:pt>
                <c:pt idx="178">
                  <c:v>2.8632457986570161</c:v>
                </c:pt>
                <c:pt idx="179">
                  <c:v>2.9457821177072754</c:v>
                </c:pt>
                <c:pt idx="180">
                  <c:v>2.7106354231204075</c:v>
                </c:pt>
                <c:pt idx="181">
                  <c:v>2.7423975343638247</c:v>
                </c:pt>
                <c:pt idx="182">
                  <c:v>2.7733292137618273</c:v>
                </c:pt>
                <c:pt idx="183">
                  <c:v>2.7740111812041053</c:v>
                </c:pt>
                <c:pt idx="184">
                  <c:v>2.6153266190791196</c:v>
                </c:pt>
                <c:pt idx="185">
                  <c:v>1.6364374638187518</c:v>
                </c:pt>
                <c:pt idx="186">
                  <c:v>1.6354041163733566</c:v>
                </c:pt>
                <c:pt idx="187">
                  <c:v>2.3761795342539758</c:v>
                </c:pt>
                <c:pt idx="188">
                  <c:v>2.330641135975176</c:v>
                </c:pt>
                <c:pt idx="189">
                  <c:v>2.0298734114303896</c:v>
                </c:pt>
                <c:pt idx="190">
                  <c:v>2.3034811614348274</c:v>
                </c:pt>
                <c:pt idx="191">
                  <c:v>2.1997412385043953</c:v>
                </c:pt>
                <c:pt idx="192">
                  <c:v>2.3226969077739579</c:v>
                </c:pt>
                <c:pt idx="193">
                  <c:v>2.2884768852414492</c:v>
                </c:pt>
                <c:pt idx="194">
                  <c:v>2.2868653872592879</c:v>
                </c:pt>
                <c:pt idx="195">
                  <c:v>2.2130611293262668</c:v>
                </c:pt>
                <c:pt idx="196">
                  <c:v>2.2284733519923723</c:v>
                </c:pt>
                <c:pt idx="197">
                  <c:v>2.0024560980736097</c:v>
                </c:pt>
                <c:pt idx="198">
                  <c:v>1.8825469295581647</c:v>
                </c:pt>
                <c:pt idx="199">
                  <c:v>2.0114896161255271</c:v>
                </c:pt>
                <c:pt idx="200">
                  <c:v>2.0313524019503189</c:v>
                </c:pt>
                <c:pt idx="201">
                  <c:v>2.0307827866069479</c:v>
                </c:pt>
                <c:pt idx="202">
                  <c:v>2.0150938947073844</c:v>
                </c:pt>
                <c:pt idx="203">
                  <c:v>2.093624509439711</c:v>
                </c:pt>
                <c:pt idx="204">
                  <c:v>2.3086054676763288</c:v>
                </c:pt>
                <c:pt idx="205">
                  <c:v>2.5741692321974834</c:v>
                </c:pt>
                <c:pt idx="206">
                  <c:v>2.5818822369967851</c:v>
                </c:pt>
                <c:pt idx="207">
                  <c:v>2.3367620991349605</c:v>
                </c:pt>
                <c:pt idx="208">
                  <c:v>1.6707497969186089</c:v>
                </c:pt>
                <c:pt idx="209">
                  <c:v>1.7551481653062198</c:v>
                </c:pt>
                <c:pt idx="210">
                  <c:v>2.5539963163141417</c:v>
                </c:pt>
                <c:pt idx="211">
                  <c:v>2.6550544241777123</c:v>
                </c:pt>
                <c:pt idx="212">
                  <c:v>2.4962885204805954</c:v>
                </c:pt>
                <c:pt idx="213">
                  <c:v>2.4493027820847861</c:v>
                </c:pt>
                <c:pt idx="214">
                  <c:v>2.6810961912901536</c:v>
                </c:pt>
                <c:pt idx="215">
                  <c:v>2.7010613780453427</c:v>
                </c:pt>
                <c:pt idx="216">
                  <c:v>2.7112475728087024</c:v>
                </c:pt>
                <c:pt idx="217">
                  <c:v>2.5774733142978432</c:v>
                </c:pt>
                <c:pt idx="218">
                  <c:v>2.7260748519954152</c:v>
                </c:pt>
                <c:pt idx="219">
                  <c:v>3.0255980009212591</c:v>
                </c:pt>
                <c:pt idx="220">
                  <c:v>3.1272756196180551</c:v>
                </c:pt>
                <c:pt idx="221">
                  <c:v>2.6117218760476564</c:v>
                </c:pt>
                <c:pt idx="222">
                  <c:v>2.613236775702195</c:v>
                </c:pt>
                <c:pt idx="223">
                  <c:v>2.4649254512305925</c:v>
                </c:pt>
                <c:pt idx="224">
                  <c:v>2.4994942430534928</c:v>
                </c:pt>
                <c:pt idx="225">
                  <c:v>2.6625791289970056</c:v>
                </c:pt>
                <c:pt idx="226">
                  <c:v>1.7355876045513479</c:v>
                </c:pt>
                <c:pt idx="227">
                  <c:v>1.7404804430979315</c:v>
                </c:pt>
                <c:pt idx="228">
                  <c:v>1.7309053047491172</c:v>
                </c:pt>
                <c:pt idx="229">
                  <c:v>1.7103166195267434</c:v>
                </c:pt>
                <c:pt idx="230">
                  <c:v>2.0116539223314707</c:v>
                </c:pt>
                <c:pt idx="231">
                  <c:v>2.2041284292907823</c:v>
                </c:pt>
                <c:pt idx="232">
                  <c:v>3.0520696182780558</c:v>
                </c:pt>
                <c:pt idx="233">
                  <c:v>1.6693855303656546</c:v>
                </c:pt>
              </c:numCache>
            </c:numRef>
          </c:xVal>
          <c:yVal>
            <c:numRef>
              <c:f>'PLS-R'!$D$1709:$D$1942</c:f>
              <c:numCache>
                <c:formatCode>0.000</c:formatCode>
                <c:ptCount val="234"/>
                <c:pt idx="0">
                  <c:v>2.88536122003151</c:v>
                </c:pt>
                <c:pt idx="1">
                  <c:v>2.1945143418824702</c:v>
                </c:pt>
                <c:pt idx="2">
                  <c:v>2.3010299956639799</c:v>
                </c:pt>
                <c:pt idx="3">
                  <c:v>2.9827233876685502</c:v>
                </c:pt>
                <c:pt idx="4">
                  <c:v>3.18752072083646</c:v>
                </c:pt>
                <c:pt idx="5">
                  <c:v>3.02448566769917</c:v>
                </c:pt>
                <c:pt idx="6">
                  <c:v>2.8779469516291898</c:v>
                </c:pt>
                <c:pt idx="7">
                  <c:v>3.2281436075977399</c:v>
                </c:pt>
                <c:pt idx="8">
                  <c:v>2.9680157139936401</c:v>
                </c:pt>
                <c:pt idx="9">
                  <c:v>2.0128372247051698</c:v>
                </c:pt>
                <c:pt idx="10">
                  <c:v>2.8830933585756902</c:v>
                </c:pt>
                <c:pt idx="11">
                  <c:v>3.6127838567197399</c:v>
                </c:pt>
                <c:pt idx="12">
                  <c:v>3.1139433523068401</c:v>
                </c:pt>
                <c:pt idx="13">
                  <c:v>2.8573324964312699</c:v>
                </c:pt>
                <c:pt idx="14">
                  <c:v>1.6989700043360201</c:v>
                </c:pt>
                <c:pt idx="15">
                  <c:v>2.9790929006383302</c:v>
                </c:pt>
                <c:pt idx="16">
                  <c:v>2.8597385661971502</c:v>
                </c:pt>
                <c:pt idx="17">
                  <c:v>2.8202014594856402</c:v>
                </c:pt>
                <c:pt idx="18">
                  <c:v>3.5453071164658199</c:v>
                </c:pt>
                <c:pt idx="19">
                  <c:v>3.1139433523068401</c:v>
                </c:pt>
                <c:pt idx="20">
                  <c:v>2.89762709129044</c:v>
                </c:pt>
                <c:pt idx="21">
                  <c:v>3.2662316966898901</c:v>
                </c:pt>
                <c:pt idx="22">
                  <c:v>3</c:v>
                </c:pt>
                <c:pt idx="23">
                  <c:v>3.4471580313422199</c:v>
                </c:pt>
                <c:pt idx="24">
                  <c:v>2.6901960800285099</c:v>
                </c:pt>
                <c:pt idx="25">
                  <c:v>1.4471580313422201</c:v>
                </c:pt>
                <c:pt idx="26">
                  <c:v>2.8350561017201201</c:v>
                </c:pt>
                <c:pt idx="27">
                  <c:v>2.93951925261862</c:v>
                </c:pt>
                <c:pt idx="28">
                  <c:v>2.1522883443830598</c:v>
                </c:pt>
                <c:pt idx="29">
                  <c:v>3.13321945673249</c:v>
                </c:pt>
                <c:pt idx="30">
                  <c:v>1.3979400086720399</c:v>
                </c:pt>
                <c:pt idx="31">
                  <c:v>1.88081359228079</c:v>
                </c:pt>
                <c:pt idx="32">
                  <c:v>3.1755118133634501</c:v>
                </c:pt>
                <c:pt idx="33">
                  <c:v>2.6190933306267401</c:v>
                </c:pt>
                <c:pt idx="34">
                  <c:v>2.2624510897304302</c:v>
                </c:pt>
                <c:pt idx="35">
                  <c:v>2.3424226808222102</c:v>
                </c:pt>
                <c:pt idx="36">
                  <c:v>3.23754373814287</c:v>
                </c:pt>
                <c:pt idx="37">
                  <c:v>2.6263403673750401</c:v>
                </c:pt>
                <c:pt idx="38">
                  <c:v>0.69897000433601897</c:v>
                </c:pt>
                <c:pt idx="39">
                  <c:v>1.3979400086720399</c:v>
                </c:pt>
                <c:pt idx="40">
                  <c:v>2.3443922736851102</c:v>
                </c:pt>
                <c:pt idx="41">
                  <c:v>2.1271047983648099</c:v>
                </c:pt>
                <c:pt idx="42">
                  <c:v>3.1112625136590699</c:v>
                </c:pt>
                <c:pt idx="43">
                  <c:v>2.04139268515822</c:v>
                </c:pt>
                <c:pt idx="44">
                  <c:v>3.1089031276673098</c:v>
                </c:pt>
                <c:pt idx="45">
                  <c:v>1.3664229572259701</c:v>
                </c:pt>
                <c:pt idx="46">
                  <c:v>1.5797835966168099</c:v>
                </c:pt>
                <c:pt idx="47">
                  <c:v>0.95424250943932498</c:v>
                </c:pt>
                <c:pt idx="48">
                  <c:v>2.5502283530550902</c:v>
                </c:pt>
                <c:pt idx="49">
                  <c:v>2.2671717284030102</c:v>
                </c:pt>
                <c:pt idx="50">
                  <c:v>1.6901960800285101</c:v>
                </c:pt>
                <c:pt idx="51">
                  <c:v>1.90308998699194</c:v>
                </c:pt>
                <c:pt idx="52">
                  <c:v>2.85369821177617</c:v>
                </c:pt>
                <c:pt idx="53">
                  <c:v>1.8195439355418701</c:v>
                </c:pt>
                <c:pt idx="54">
                  <c:v>2.2121876044039599</c:v>
                </c:pt>
                <c:pt idx="55">
                  <c:v>1.4771212547196599</c:v>
                </c:pt>
                <c:pt idx="56">
                  <c:v>1.43136376415899</c:v>
                </c:pt>
                <c:pt idx="57">
                  <c:v>1.4771212547196599</c:v>
                </c:pt>
                <c:pt idx="58">
                  <c:v>1.79865064544527</c:v>
                </c:pt>
                <c:pt idx="59">
                  <c:v>2.17318626841227</c:v>
                </c:pt>
                <c:pt idx="60">
                  <c:v>0.89762709129044094</c:v>
                </c:pt>
                <c:pt idx="61">
                  <c:v>1.91381385238372</c:v>
                </c:pt>
                <c:pt idx="62">
                  <c:v>2.6901960800285099</c:v>
                </c:pt>
                <c:pt idx="63">
                  <c:v>1.6020599913279601</c:v>
                </c:pt>
                <c:pt idx="64">
                  <c:v>1.98136550907854</c:v>
                </c:pt>
                <c:pt idx="65">
                  <c:v>2.5051499783199098</c:v>
                </c:pt>
                <c:pt idx="66">
                  <c:v>1.86923171973098</c:v>
                </c:pt>
                <c:pt idx="67">
                  <c:v>2.53147891704225</c:v>
                </c:pt>
                <c:pt idx="68">
                  <c:v>1.5563025007672899</c:v>
                </c:pt>
                <c:pt idx="69">
                  <c:v>1.76342799356294</c:v>
                </c:pt>
                <c:pt idx="70">
                  <c:v>1.4471580313422201</c:v>
                </c:pt>
                <c:pt idx="71">
                  <c:v>2.1139433523068401</c:v>
                </c:pt>
                <c:pt idx="72">
                  <c:v>1.91907809237607</c:v>
                </c:pt>
                <c:pt idx="73">
                  <c:v>1.94448267215017</c:v>
                </c:pt>
                <c:pt idx="74">
                  <c:v>2.80482067872116</c:v>
                </c:pt>
                <c:pt idx="75">
                  <c:v>1.72427586960079</c:v>
                </c:pt>
                <c:pt idx="76">
                  <c:v>1.2041199826559199</c:v>
                </c:pt>
                <c:pt idx="77">
                  <c:v>2.1789769472931702</c:v>
                </c:pt>
                <c:pt idx="78">
                  <c:v>2.2041199826559201</c:v>
                </c:pt>
                <c:pt idx="79">
                  <c:v>2.4265112613645798</c:v>
                </c:pt>
                <c:pt idx="80">
                  <c:v>1.7558748556724899</c:v>
                </c:pt>
                <c:pt idx="81">
                  <c:v>2.2405492482825999</c:v>
                </c:pt>
                <c:pt idx="82">
                  <c:v>2.2041199826559201</c:v>
                </c:pt>
                <c:pt idx="83">
                  <c:v>2.2624510897304302</c:v>
                </c:pt>
                <c:pt idx="84">
                  <c:v>2.63648789635337</c:v>
                </c:pt>
                <c:pt idx="85">
                  <c:v>1.2304489213782701</c:v>
                </c:pt>
                <c:pt idx="86">
                  <c:v>1.6989700043360201</c:v>
                </c:pt>
                <c:pt idx="87">
                  <c:v>1.1553360374650601</c:v>
                </c:pt>
                <c:pt idx="88">
                  <c:v>1.9493900066449099</c:v>
                </c:pt>
                <c:pt idx="89">
                  <c:v>2.14612803567824</c:v>
                </c:pt>
                <c:pt idx="90">
                  <c:v>2.6020599913279598</c:v>
                </c:pt>
                <c:pt idx="91">
                  <c:v>1.3802112417116099</c:v>
                </c:pt>
                <c:pt idx="92">
                  <c:v>2.2041199826559201</c:v>
                </c:pt>
                <c:pt idx="93">
                  <c:v>1.8750612633917001</c:v>
                </c:pt>
                <c:pt idx="94">
                  <c:v>2</c:v>
                </c:pt>
                <c:pt idx="95">
                  <c:v>2.3304137733491901</c:v>
                </c:pt>
                <c:pt idx="96">
                  <c:v>2.2900346113625201</c:v>
                </c:pt>
                <c:pt idx="97">
                  <c:v>2.5797835966168101</c:v>
                </c:pt>
                <c:pt idx="98">
                  <c:v>1.50514997831991</c:v>
                </c:pt>
                <c:pt idx="99">
                  <c:v>2.49136169383427</c:v>
                </c:pt>
                <c:pt idx="100">
                  <c:v>1.82607480270083</c:v>
                </c:pt>
                <c:pt idx="101">
                  <c:v>2.1139433523068401</c:v>
                </c:pt>
                <c:pt idx="102">
                  <c:v>1.9493900066449099</c:v>
                </c:pt>
                <c:pt idx="103">
                  <c:v>2.6127838567197399</c:v>
                </c:pt>
                <c:pt idx="104">
                  <c:v>2.7007037171450201</c:v>
                </c:pt>
                <c:pt idx="105">
                  <c:v>2.2304489213782701</c:v>
                </c:pt>
                <c:pt idx="106">
                  <c:v>1.4771212547196599</c:v>
                </c:pt>
                <c:pt idx="107">
                  <c:v>2.3961993470957399</c:v>
                </c:pt>
                <c:pt idx="108">
                  <c:v>1.9731278535997001</c:v>
                </c:pt>
                <c:pt idx="109">
                  <c:v>2.3096301674259001</c:v>
                </c:pt>
                <c:pt idx="110">
                  <c:v>2.2304489213782701</c:v>
                </c:pt>
                <c:pt idx="111">
                  <c:v>2.4814426285022999</c:v>
                </c:pt>
                <c:pt idx="112">
                  <c:v>2.7084209001347102</c:v>
                </c:pt>
                <c:pt idx="113">
                  <c:v>2.1789769472931702</c:v>
                </c:pt>
                <c:pt idx="114">
                  <c:v>2.33645973384853</c:v>
                </c:pt>
                <c:pt idx="115">
                  <c:v>2.4712917110589401</c:v>
                </c:pt>
                <c:pt idx="116">
                  <c:v>2.0086001717619202</c:v>
                </c:pt>
                <c:pt idx="117">
                  <c:v>2.59769518592551</c:v>
                </c:pt>
                <c:pt idx="118">
                  <c:v>2.4623979978989601</c:v>
                </c:pt>
                <c:pt idx="119">
                  <c:v>2.3201462861110498</c:v>
                </c:pt>
                <c:pt idx="120">
                  <c:v>2.5611013836490599</c:v>
                </c:pt>
                <c:pt idx="121">
                  <c:v>3.17609125905568</c:v>
                </c:pt>
                <c:pt idx="122">
                  <c:v>1.8573324964312701</c:v>
                </c:pt>
                <c:pt idx="123">
                  <c:v>2.3324384599156098</c:v>
                </c:pt>
                <c:pt idx="124">
                  <c:v>2.3263358609287499</c:v>
                </c:pt>
                <c:pt idx="125">
                  <c:v>2.1139433523068401</c:v>
                </c:pt>
                <c:pt idx="126">
                  <c:v>2.2148438480477002</c:v>
                </c:pt>
                <c:pt idx="127">
                  <c:v>2.2405492482825999</c:v>
                </c:pt>
                <c:pt idx="128">
                  <c:v>1.86923171973098</c:v>
                </c:pt>
                <c:pt idx="129">
                  <c:v>2.0334237554869499</c:v>
                </c:pt>
                <c:pt idx="130">
                  <c:v>1.77085201164214</c:v>
                </c:pt>
                <c:pt idx="131">
                  <c:v>1.3802112417116099</c:v>
                </c:pt>
                <c:pt idx="132">
                  <c:v>1.8573324964312701</c:v>
                </c:pt>
                <c:pt idx="133">
                  <c:v>2.17609125905568</c:v>
                </c:pt>
                <c:pt idx="134">
                  <c:v>2.2624510897304302</c:v>
                </c:pt>
                <c:pt idx="135">
                  <c:v>2.63648789635337</c:v>
                </c:pt>
                <c:pt idx="136">
                  <c:v>2.3820170425748701</c:v>
                </c:pt>
                <c:pt idx="137">
                  <c:v>2.1492191126553801</c:v>
                </c:pt>
                <c:pt idx="138">
                  <c:v>2.2174839442139098</c:v>
                </c:pt>
                <c:pt idx="139">
                  <c:v>2.3096301674259001</c:v>
                </c:pt>
                <c:pt idx="140">
                  <c:v>2.3729120029701098</c:v>
                </c:pt>
                <c:pt idx="141">
                  <c:v>2.45636603312904</c:v>
                </c:pt>
                <c:pt idx="142">
                  <c:v>2.5352941200427699</c:v>
                </c:pt>
                <c:pt idx="143">
                  <c:v>2.6541765418779599</c:v>
                </c:pt>
                <c:pt idx="144">
                  <c:v>2.9532763366673001</c:v>
                </c:pt>
                <c:pt idx="145">
                  <c:v>2.6720978579357202</c:v>
                </c:pt>
                <c:pt idx="146">
                  <c:v>2.6127838567197399</c:v>
                </c:pt>
                <c:pt idx="147">
                  <c:v>2.7403626894942401</c:v>
                </c:pt>
                <c:pt idx="148">
                  <c:v>2.43136376415899</c:v>
                </c:pt>
                <c:pt idx="149">
                  <c:v>2.93951925261862</c:v>
                </c:pt>
                <c:pt idx="150">
                  <c:v>3.04139268515822</c:v>
                </c:pt>
                <c:pt idx="151">
                  <c:v>2.43136376415899</c:v>
                </c:pt>
                <c:pt idx="152">
                  <c:v>2.6989700043360201</c:v>
                </c:pt>
                <c:pt idx="153">
                  <c:v>2.36172783601759</c:v>
                </c:pt>
                <c:pt idx="154">
                  <c:v>2.6127838567197399</c:v>
                </c:pt>
                <c:pt idx="155">
                  <c:v>2.82607480270083</c:v>
                </c:pt>
                <c:pt idx="156">
                  <c:v>2.8325089127062402</c:v>
                </c:pt>
                <c:pt idx="157">
                  <c:v>2.7993405494535799</c:v>
                </c:pt>
                <c:pt idx="158">
                  <c:v>2.2304489213782701</c:v>
                </c:pt>
                <c:pt idx="159">
                  <c:v>2.6232492903978999</c:v>
                </c:pt>
                <c:pt idx="160">
                  <c:v>2.5563025007672899</c:v>
                </c:pt>
                <c:pt idx="161">
                  <c:v>1.65321251377534</c:v>
                </c:pt>
                <c:pt idx="162">
                  <c:v>1.93951925261862</c:v>
                </c:pt>
                <c:pt idx="163">
                  <c:v>1.90308998699194</c:v>
                </c:pt>
                <c:pt idx="164">
                  <c:v>1.9777236052888501</c:v>
                </c:pt>
                <c:pt idx="165">
                  <c:v>1.8573324964312701</c:v>
                </c:pt>
                <c:pt idx="166">
                  <c:v>1.77085201164214</c:v>
                </c:pt>
                <c:pt idx="167">
                  <c:v>2.17609125905568</c:v>
                </c:pt>
                <c:pt idx="168">
                  <c:v>2</c:v>
                </c:pt>
                <c:pt idx="169">
                  <c:v>2.3010299956639799</c:v>
                </c:pt>
                <c:pt idx="170">
                  <c:v>2.17609125905568</c:v>
                </c:pt>
                <c:pt idx="171">
                  <c:v>2.1613680022349699</c:v>
                </c:pt>
                <c:pt idx="172">
                  <c:v>2.9493900066449101</c:v>
                </c:pt>
                <c:pt idx="173">
                  <c:v>3.17609125905568</c:v>
                </c:pt>
                <c:pt idx="174">
                  <c:v>3.2185355052165301</c:v>
                </c:pt>
                <c:pt idx="175">
                  <c:v>3.0534626049254601</c:v>
                </c:pt>
                <c:pt idx="176">
                  <c:v>3.29402509409532</c:v>
                </c:pt>
                <c:pt idx="177">
                  <c:v>3.4005379893919501</c:v>
                </c:pt>
                <c:pt idx="178">
                  <c:v>2.7641761323903302</c:v>
                </c:pt>
                <c:pt idx="179">
                  <c:v>2.7701152947871002</c:v>
                </c:pt>
                <c:pt idx="180">
                  <c:v>3.0457140589408702</c:v>
                </c:pt>
                <c:pt idx="181">
                  <c:v>3.14488541828714</c:v>
                </c:pt>
                <c:pt idx="182">
                  <c:v>2.9912260756924902</c:v>
                </c:pt>
                <c:pt idx="183">
                  <c:v>2.6170003411209</c:v>
                </c:pt>
                <c:pt idx="184">
                  <c:v>2.6551384348113798</c:v>
                </c:pt>
                <c:pt idx="185">
                  <c:v>2.2810333672477299</c:v>
                </c:pt>
                <c:pt idx="186">
                  <c:v>1.9777236052888501</c:v>
                </c:pt>
                <c:pt idx="187">
                  <c:v>2.2624510897304302</c:v>
                </c:pt>
                <c:pt idx="188">
                  <c:v>1.91381385238372</c:v>
                </c:pt>
                <c:pt idx="189">
                  <c:v>2.0128372247051698</c:v>
                </c:pt>
                <c:pt idx="190">
                  <c:v>2.0293837776852102</c:v>
                </c:pt>
                <c:pt idx="191">
                  <c:v>2.11727129565576</c:v>
                </c:pt>
                <c:pt idx="192">
                  <c:v>2.3802112417116099</c:v>
                </c:pt>
                <c:pt idx="193">
                  <c:v>2.1139433523068401</c:v>
                </c:pt>
                <c:pt idx="194">
                  <c:v>2.2479732663618099</c:v>
                </c:pt>
                <c:pt idx="195">
                  <c:v>2.0681858617461599</c:v>
                </c:pt>
                <c:pt idx="196">
                  <c:v>2.2304489213782701</c:v>
                </c:pt>
                <c:pt idx="197">
                  <c:v>2.1931245983544598</c:v>
                </c:pt>
                <c:pt idx="198">
                  <c:v>2.47567118832443</c:v>
                </c:pt>
                <c:pt idx="199">
                  <c:v>2.2671717284030102</c:v>
                </c:pt>
                <c:pt idx="200">
                  <c:v>2.02530586526477</c:v>
                </c:pt>
                <c:pt idx="201">
                  <c:v>1.92941892571429</c:v>
                </c:pt>
                <c:pt idx="202">
                  <c:v>2.18184358794477</c:v>
                </c:pt>
                <c:pt idx="203">
                  <c:v>2.1105897102992501</c:v>
                </c:pt>
                <c:pt idx="204">
                  <c:v>2.1003705451175598</c:v>
                </c:pt>
                <c:pt idx="205">
                  <c:v>2.4927603890268402</c:v>
                </c:pt>
                <c:pt idx="206">
                  <c:v>2.5670263661590602</c:v>
                </c:pt>
                <c:pt idx="207">
                  <c:v>2.3729120029701098</c:v>
                </c:pt>
                <c:pt idx="208">
                  <c:v>1.7160033436347999</c:v>
                </c:pt>
                <c:pt idx="209">
                  <c:v>2.0293837776852102</c:v>
                </c:pt>
                <c:pt idx="210">
                  <c:v>2.4065401804339599</c:v>
                </c:pt>
                <c:pt idx="211">
                  <c:v>2.6757783416740901</c:v>
                </c:pt>
                <c:pt idx="212">
                  <c:v>2.5327543789925002</c:v>
                </c:pt>
                <c:pt idx="213">
                  <c:v>2.6627578316815699</c:v>
                </c:pt>
                <c:pt idx="214">
                  <c:v>2.7979596437372001</c:v>
                </c:pt>
                <c:pt idx="215">
                  <c:v>2.4265112613645798</c:v>
                </c:pt>
                <c:pt idx="216">
                  <c:v>2.3710678622717398</c:v>
                </c:pt>
                <c:pt idx="217">
                  <c:v>2.4232458739368101</c:v>
                </c:pt>
                <c:pt idx="218">
                  <c:v>2.3483048630481602</c:v>
                </c:pt>
                <c:pt idx="219">
                  <c:v>3.0425755124401901</c:v>
                </c:pt>
                <c:pt idx="220">
                  <c:v>3.1872386198314802</c:v>
                </c:pt>
                <c:pt idx="221">
                  <c:v>2.5092025223310999</c:v>
                </c:pt>
                <c:pt idx="222">
                  <c:v>2.7024305364455299</c:v>
                </c:pt>
                <c:pt idx="223">
                  <c:v>2.5224442335063202</c:v>
                </c:pt>
                <c:pt idx="224">
                  <c:v>2.5921767573958698</c:v>
                </c:pt>
                <c:pt idx="225">
                  <c:v>2.8549130223078598</c:v>
                </c:pt>
                <c:pt idx="226">
                  <c:v>0.95424250943932498</c:v>
                </c:pt>
                <c:pt idx="227">
                  <c:v>1.88081359228079</c:v>
                </c:pt>
                <c:pt idx="228">
                  <c:v>1.53147891704226</c:v>
                </c:pt>
                <c:pt idx="229">
                  <c:v>1.2041199826559199</c:v>
                </c:pt>
                <c:pt idx="230">
                  <c:v>2.17318626841227</c:v>
                </c:pt>
                <c:pt idx="231">
                  <c:v>2.3926969532596698</c:v>
                </c:pt>
                <c:pt idx="232">
                  <c:v>3.14612803567824</c:v>
                </c:pt>
                <c:pt idx="233">
                  <c:v>2.43136376415899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3-4CB8-A016-33FA13DC0AD2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2.835363160729786</c:v>
              </c:pt>
            </c:numLit>
          </c:xVal>
          <c:yVal>
            <c:numLit>
              <c:formatCode>General</c:formatCode>
              <c:ptCount val="1"/>
              <c:pt idx="0">
                <c:v>2.1945143418824702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A63-4CB8-A016-33FA13DC0AD2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XLSTAT_20211004_124611_1_HID!xdata1</c:f>
              <c:numCache>
                <c:formatCode>General</c:formatCode>
                <c:ptCount val="70"/>
                <c:pt idx="0">
                  <c:v>1.2728641120712001</c:v>
                </c:pt>
                <c:pt idx="1">
                  <c:v>1.3105592454405086</c:v>
                </c:pt>
                <c:pt idx="2">
                  <c:v>1.3482543788098174</c:v>
                </c:pt>
                <c:pt idx="3">
                  <c:v>1.3859495121791259</c:v>
                </c:pt>
                <c:pt idx="4">
                  <c:v>1.4236446455484346</c:v>
                </c:pt>
                <c:pt idx="5">
                  <c:v>1.4613397789177431</c:v>
                </c:pt>
                <c:pt idx="6">
                  <c:v>1.4990349122870517</c:v>
                </c:pt>
                <c:pt idx="7">
                  <c:v>1.5367300456563604</c:v>
                </c:pt>
                <c:pt idx="8">
                  <c:v>1.5744251790256689</c:v>
                </c:pt>
                <c:pt idx="9">
                  <c:v>1.6121203123949774</c:v>
                </c:pt>
                <c:pt idx="10">
                  <c:v>1.6498154457642862</c:v>
                </c:pt>
                <c:pt idx="11">
                  <c:v>1.6875105791335947</c:v>
                </c:pt>
                <c:pt idx="12">
                  <c:v>1.7252057125029032</c:v>
                </c:pt>
                <c:pt idx="13">
                  <c:v>1.762900845872212</c:v>
                </c:pt>
                <c:pt idx="14">
                  <c:v>1.8005959792415205</c:v>
                </c:pt>
                <c:pt idx="15">
                  <c:v>1.838291112610829</c:v>
                </c:pt>
                <c:pt idx="16">
                  <c:v>1.8759862459801377</c:v>
                </c:pt>
                <c:pt idx="17">
                  <c:v>1.9136813793494465</c:v>
                </c:pt>
                <c:pt idx="18">
                  <c:v>1.951376512718755</c:v>
                </c:pt>
                <c:pt idx="19">
                  <c:v>1.9890716460880635</c:v>
                </c:pt>
                <c:pt idx="20">
                  <c:v>2.0267667794573723</c:v>
                </c:pt>
                <c:pt idx="21">
                  <c:v>2.0644619128266806</c:v>
                </c:pt>
                <c:pt idx="22">
                  <c:v>2.1021570461959893</c:v>
                </c:pt>
                <c:pt idx="23">
                  <c:v>2.1398521795652981</c:v>
                </c:pt>
                <c:pt idx="24">
                  <c:v>2.1775473129346068</c:v>
                </c:pt>
                <c:pt idx="25">
                  <c:v>2.2152424463039151</c:v>
                </c:pt>
                <c:pt idx="26">
                  <c:v>2.2529375796732238</c:v>
                </c:pt>
                <c:pt idx="27">
                  <c:v>2.2906327130425321</c:v>
                </c:pt>
                <c:pt idx="28">
                  <c:v>2.3283278464118409</c:v>
                </c:pt>
                <c:pt idx="29">
                  <c:v>2.3660229797811496</c:v>
                </c:pt>
                <c:pt idx="30">
                  <c:v>2.4037181131504584</c:v>
                </c:pt>
                <c:pt idx="31">
                  <c:v>2.4414132465197671</c:v>
                </c:pt>
                <c:pt idx="32">
                  <c:v>2.4791083798890754</c:v>
                </c:pt>
                <c:pt idx="33">
                  <c:v>2.5168035132583837</c:v>
                </c:pt>
                <c:pt idx="34">
                  <c:v>2.5544986466276924</c:v>
                </c:pt>
                <c:pt idx="35">
                  <c:v>2.5921937799970012</c:v>
                </c:pt>
                <c:pt idx="36">
                  <c:v>2.6298889133663099</c:v>
                </c:pt>
                <c:pt idx="37">
                  <c:v>2.6675840467356187</c:v>
                </c:pt>
                <c:pt idx="38">
                  <c:v>2.705279180104927</c:v>
                </c:pt>
                <c:pt idx="39">
                  <c:v>2.7429743134742357</c:v>
                </c:pt>
                <c:pt idx="40">
                  <c:v>2.780669446843544</c:v>
                </c:pt>
                <c:pt idx="41">
                  <c:v>2.8183645802128527</c:v>
                </c:pt>
                <c:pt idx="42">
                  <c:v>2.8560597135821615</c:v>
                </c:pt>
                <c:pt idx="43">
                  <c:v>2.8937548469514702</c:v>
                </c:pt>
                <c:pt idx="44">
                  <c:v>2.9314499803207785</c:v>
                </c:pt>
                <c:pt idx="45">
                  <c:v>2.9691451136900873</c:v>
                </c:pt>
                <c:pt idx="46">
                  <c:v>3.0068402470593956</c:v>
                </c:pt>
                <c:pt idx="47">
                  <c:v>3.0445353804287043</c:v>
                </c:pt>
                <c:pt idx="48">
                  <c:v>3.082230513798013</c:v>
                </c:pt>
                <c:pt idx="49">
                  <c:v>3.1199256471673218</c:v>
                </c:pt>
                <c:pt idx="50">
                  <c:v>3.1576207805366305</c:v>
                </c:pt>
                <c:pt idx="51">
                  <c:v>3.1953159139059388</c:v>
                </c:pt>
                <c:pt idx="52">
                  <c:v>3.2330110472752476</c:v>
                </c:pt>
                <c:pt idx="53">
                  <c:v>3.2707061806445559</c:v>
                </c:pt>
                <c:pt idx="54">
                  <c:v>3.3084013140138646</c:v>
                </c:pt>
                <c:pt idx="55">
                  <c:v>3.3460964473831734</c:v>
                </c:pt>
                <c:pt idx="56">
                  <c:v>3.3837915807524817</c:v>
                </c:pt>
                <c:pt idx="57">
                  <c:v>3.4214867141217904</c:v>
                </c:pt>
                <c:pt idx="58">
                  <c:v>3.4591818474910991</c:v>
                </c:pt>
                <c:pt idx="59">
                  <c:v>3.4968769808604079</c:v>
                </c:pt>
                <c:pt idx="60">
                  <c:v>3.5345721142297162</c:v>
                </c:pt>
                <c:pt idx="61">
                  <c:v>3.5722672475990249</c:v>
                </c:pt>
                <c:pt idx="62">
                  <c:v>3.6099623809683337</c:v>
                </c:pt>
                <c:pt idx="63">
                  <c:v>3.647657514337642</c:v>
                </c:pt>
                <c:pt idx="64">
                  <c:v>3.6853526477069507</c:v>
                </c:pt>
                <c:pt idx="65">
                  <c:v>3.7230477810762594</c:v>
                </c:pt>
                <c:pt idx="66">
                  <c:v>3.7607429144455677</c:v>
                </c:pt>
                <c:pt idx="67">
                  <c:v>3.7984380478148765</c:v>
                </c:pt>
                <c:pt idx="68">
                  <c:v>3.8361331811841852</c:v>
                </c:pt>
                <c:pt idx="69">
                  <c:v>3.8738283145534935</c:v>
                </c:pt>
              </c:numCache>
            </c:numRef>
          </c:xVal>
          <c:yVal>
            <c:numRef>
              <c:f>XLSTAT_20211004_124611_1_HID!ydata1</c:f>
              <c:numCache>
                <c:formatCode>General</c:formatCode>
                <c:ptCount val="70"/>
                <c:pt idx="0">
                  <c:v>0.62867835094383218</c:v>
                </c:pt>
                <c:pt idx="1">
                  <c:v>0.66693768078686133</c:v>
                </c:pt>
                <c:pt idx="2">
                  <c:v>0.70517690896487895</c:v>
                </c:pt>
                <c:pt idx="3">
                  <c:v>0.74339598441344446</c:v>
                </c:pt>
                <c:pt idx="4">
                  <c:v>0.78159485779590154</c:v>
                </c:pt>
                <c:pt idx="5">
                  <c:v>0.81977348152594665</c:v>
                </c:pt>
                <c:pt idx="6">
                  <c:v>0.85793180978951933</c:v>
                </c:pt>
                <c:pt idx="7">
                  <c:v>0.8960697985659859</c:v>
                </c:pt>
                <c:pt idx="8">
                  <c:v>0.93418740564859482</c:v>
                </c:pt>
                <c:pt idx="9">
                  <c:v>0.97228459066418527</c:v>
                </c:pt>
                <c:pt idx="10">
                  <c:v>1.0103613150921249</c:v>
                </c:pt>
                <c:pt idx="11">
                  <c:v>1.0484175422824558</c:v>
                </c:pt>
                <c:pt idx="12">
                  <c:v>1.0864532374732332</c:v>
                </c:pt>
                <c:pt idx="13">
                  <c:v>1.1244683678070349</c:v>
                </c:pt>
                <c:pt idx="14">
                  <c:v>1.1624629023466206</c:v>
                </c:pt>
                <c:pt idx="15">
                  <c:v>1.2004368120897322</c:v>
                </c:pt>
                <c:pt idx="16">
                  <c:v>1.2383900699830113</c:v>
                </c:pt>
                <c:pt idx="17">
                  <c:v>1.2763226509350187</c:v>
                </c:pt>
                <c:pt idx="18">
                  <c:v>1.3142345318283501</c:v>
                </c:pt>
                <c:pt idx="19">
                  <c:v>1.35212569153082</c:v>
                </c:pt>
                <c:pt idx="20">
                  <c:v>1.3899961109057162</c:v>
                </c:pt>
                <c:pt idx="21">
                  <c:v>1.4278457728211009</c:v>
                </c:pt>
                <c:pt idx="22">
                  <c:v>1.4656746621581587</c:v>
                </c:pt>
                <c:pt idx="23">
                  <c:v>1.503482765818571</c:v>
                </c:pt>
                <c:pt idx="24">
                  <c:v>1.541270072730919</c:v>
                </c:pt>
                <c:pt idx="25">
                  <c:v>1.5790365738560996</c:v>
                </c:pt>
                <c:pt idx="26">
                  <c:v>1.6167822621917567</c:v>
                </c:pt>
                <c:pt idx="27">
                  <c:v>1.6545071327757088</c:v>
                </c:pt>
                <c:pt idx="28">
                  <c:v>1.6922111826883892</c:v>
                </c:pt>
                <c:pt idx="29">
                  <c:v>1.7298944110542744</c:v>
                </c:pt>
                <c:pt idx="30">
                  <c:v>1.7675568190423159</c:v>
                </c:pt>
                <c:pt idx="31">
                  <c:v>1.8051984098653659</c:v>
                </c:pt>
                <c:pt idx="32">
                  <c:v>1.8428191887786007</c:v>
                </c:pt>
                <c:pt idx="33">
                  <c:v>1.8804191630769438</c:v>
                </c:pt>
                <c:pt idx="34">
                  <c:v>1.9179983420914879</c:v>
                </c:pt>
                <c:pt idx="35">
                  <c:v>1.9555567371849256</c:v>
                </c:pt>
                <c:pt idx="36">
                  <c:v>1.9930943617459902</c:v>
                </c:pt>
                <c:pt idx="37">
                  <c:v>2.0306112311829145</c:v>
                </c:pt>
                <c:pt idx="38">
                  <c:v>2.0681073629159128</c:v>
                </c:pt>
                <c:pt idx="39">
                  <c:v>2.1055827763687001</c:v>
                </c:pt>
                <c:pt idx="40">
                  <c:v>2.1430374929590479</c:v>
                </c:pt>
                <c:pt idx="41">
                  <c:v>2.1804715360884015</c:v>
                </c:pt>
                <c:pt idx="42">
                  <c:v>2.2178849311305564</c:v>
                </c:pt>
                <c:pt idx="43">
                  <c:v>2.2552777054194149</c:v>
                </c:pt>
                <c:pt idx="44">
                  <c:v>2.2926498882358359</c:v>
                </c:pt>
                <c:pt idx="45">
                  <c:v>2.3300015107935916</c:v>
                </c:pt>
                <c:pt idx="46">
                  <c:v>2.3673326062244393</c:v>
                </c:pt>
                <c:pt idx="47">
                  <c:v>2.4046432095623418</c:v>
                </c:pt>
                <c:pt idx="48">
                  <c:v>2.4419333577268372</c:v>
                </c:pt>
                <c:pt idx="49">
                  <c:v>2.4792030895055817</c:v>
                </c:pt>
                <c:pt idx="50">
                  <c:v>2.5164524455360913</c:v>
                </c:pt>
                <c:pt idx="51">
                  <c:v>2.5536814682866895</c:v>
                </c:pt>
                <c:pt idx="52">
                  <c:v>2.5908902020366931</c:v>
                </c:pt>
                <c:pt idx="53">
                  <c:v>2.6280786928558486</c:v>
                </c:pt>
                <c:pt idx="54">
                  <c:v>2.6652469885830463</c:v>
                </c:pt>
                <c:pt idx="55">
                  <c:v>2.7023951388043326</c:v>
                </c:pt>
                <c:pt idx="56">
                  <c:v>2.739523194830241</c:v>
                </c:pt>
                <c:pt idx="57">
                  <c:v>2.7766312096724737</c:v>
                </c:pt>
                <c:pt idx="58">
                  <c:v>2.8137192380199449</c:v>
                </c:pt>
                <c:pt idx="59">
                  <c:v>2.8507873362142204</c:v>
                </c:pt>
                <c:pt idx="60">
                  <c:v>2.887835562224375</c:v>
                </c:pt>
                <c:pt idx="61">
                  <c:v>2.924863975621292</c:v>
                </c:pt>
                <c:pt idx="62">
                  <c:v>2.9618726375514308</c:v>
                </c:pt>
                <c:pt idx="63">
                  <c:v>2.9988616107100867</c:v>
                </c:pt>
                <c:pt idx="64">
                  <c:v>3.0358309593141763</c:v>
                </c:pt>
                <c:pt idx="65">
                  <c:v>3.0727807490745587</c:v>
                </c:pt>
                <c:pt idx="66">
                  <c:v>3.1097110471679379</c:v>
                </c:pt>
                <c:pt idx="67">
                  <c:v>3.1466219222083605</c:v>
                </c:pt>
                <c:pt idx="68">
                  <c:v>3.1835134442183333</c:v>
                </c:pt>
                <c:pt idx="69">
                  <c:v>3.2203856845995995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63-4CB8-A016-33FA13DC0AD2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9898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XLSTAT_20211004_124611_1_HID!xdata2</c:f>
              <c:numCache>
                <c:formatCode>General</c:formatCode>
                <c:ptCount val="70"/>
                <c:pt idx="0">
                  <c:v>1.0784551711971699</c:v>
                </c:pt>
                <c:pt idx="1">
                  <c:v>1.1189678254487108</c:v>
                </c:pt>
                <c:pt idx="2">
                  <c:v>1.1594804797002518</c:v>
                </c:pt>
                <c:pt idx="3">
                  <c:v>1.1999931339517926</c:v>
                </c:pt>
                <c:pt idx="4">
                  <c:v>1.2405057882033335</c:v>
                </c:pt>
                <c:pt idx="5">
                  <c:v>1.2810184424548745</c:v>
                </c:pt>
                <c:pt idx="6">
                  <c:v>1.3215310967064153</c:v>
                </c:pt>
                <c:pt idx="7">
                  <c:v>1.3620437509579562</c:v>
                </c:pt>
                <c:pt idx="8">
                  <c:v>1.4025564052094972</c:v>
                </c:pt>
                <c:pt idx="9">
                  <c:v>1.443069059461038</c:v>
                </c:pt>
                <c:pt idx="10">
                  <c:v>1.4835817137125789</c:v>
                </c:pt>
                <c:pt idx="11">
                  <c:v>1.5240943679641199</c:v>
                </c:pt>
                <c:pt idx="12">
                  <c:v>1.5646070222156607</c:v>
                </c:pt>
                <c:pt idx="13">
                  <c:v>1.6051196764672016</c:v>
                </c:pt>
                <c:pt idx="14">
                  <c:v>1.6456323307187426</c:v>
                </c:pt>
                <c:pt idx="15">
                  <c:v>1.6861449849702834</c:v>
                </c:pt>
                <c:pt idx="16">
                  <c:v>1.7266576392218242</c:v>
                </c:pt>
                <c:pt idx="17">
                  <c:v>1.7671702934733653</c:v>
                </c:pt>
                <c:pt idx="18">
                  <c:v>1.8076829477249061</c:v>
                </c:pt>
                <c:pt idx="19">
                  <c:v>1.8481956019764469</c:v>
                </c:pt>
                <c:pt idx="20">
                  <c:v>1.888708256227988</c:v>
                </c:pt>
                <c:pt idx="21">
                  <c:v>1.9292209104795288</c:v>
                </c:pt>
                <c:pt idx="22">
                  <c:v>1.9697335647310696</c:v>
                </c:pt>
                <c:pt idx="23">
                  <c:v>2.0102462189826107</c:v>
                </c:pt>
                <c:pt idx="24">
                  <c:v>2.0507588732341517</c:v>
                </c:pt>
                <c:pt idx="25">
                  <c:v>2.0912715274856923</c:v>
                </c:pt>
                <c:pt idx="26">
                  <c:v>2.1317841817372334</c:v>
                </c:pt>
                <c:pt idx="27">
                  <c:v>2.1722968359887744</c:v>
                </c:pt>
                <c:pt idx="28">
                  <c:v>2.212809490240315</c:v>
                </c:pt>
                <c:pt idx="29">
                  <c:v>2.2533221444918561</c:v>
                </c:pt>
                <c:pt idx="30">
                  <c:v>2.2938347987433971</c:v>
                </c:pt>
                <c:pt idx="31">
                  <c:v>2.3343474529949377</c:v>
                </c:pt>
                <c:pt idx="32">
                  <c:v>2.3748601072464788</c:v>
                </c:pt>
                <c:pt idx="33">
                  <c:v>2.4153727614980198</c:v>
                </c:pt>
                <c:pt idx="34">
                  <c:v>2.4558854157495604</c:v>
                </c:pt>
                <c:pt idx="35">
                  <c:v>2.4963980700011015</c:v>
                </c:pt>
                <c:pt idx="36">
                  <c:v>2.5369107242526425</c:v>
                </c:pt>
                <c:pt idx="37">
                  <c:v>2.5774233785041831</c:v>
                </c:pt>
                <c:pt idx="38">
                  <c:v>2.6179360327557242</c:v>
                </c:pt>
                <c:pt idx="39">
                  <c:v>2.6584486870072652</c:v>
                </c:pt>
                <c:pt idx="40">
                  <c:v>2.6989613412588058</c:v>
                </c:pt>
                <c:pt idx="41">
                  <c:v>2.7394739955103469</c:v>
                </c:pt>
                <c:pt idx="42">
                  <c:v>2.7799866497618879</c:v>
                </c:pt>
                <c:pt idx="43">
                  <c:v>2.8204993040134285</c:v>
                </c:pt>
                <c:pt idx="44">
                  <c:v>2.8610119582649696</c:v>
                </c:pt>
                <c:pt idx="45">
                  <c:v>2.9015246125165106</c:v>
                </c:pt>
                <c:pt idx="46">
                  <c:v>2.9420372667680512</c:v>
                </c:pt>
                <c:pt idx="47">
                  <c:v>2.9825499210195923</c:v>
                </c:pt>
                <c:pt idx="48">
                  <c:v>3.0230625752711333</c:v>
                </c:pt>
                <c:pt idx="49">
                  <c:v>3.0635752295226739</c:v>
                </c:pt>
                <c:pt idx="50">
                  <c:v>3.1040878837742154</c:v>
                </c:pt>
                <c:pt idx="51">
                  <c:v>3.144600538025756</c:v>
                </c:pt>
                <c:pt idx="52">
                  <c:v>3.1851131922772966</c:v>
                </c:pt>
                <c:pt idx="53">
                  <c:v>3.2256258465288381</c:v>
                </c:pt>
                <c:pt idx="54">
                  <c:v>3.2661385007803787</c:v>
                </c:pt>
                <c:pt idx="55">
                  <c:v>3.3066511550319193</c:v>
                </c:pt>
                <c:pt idx="56">
                  <c:v>3.3471638092834608</c:v>
                </c:pt>
                <c:pt idx="57">
                  <c:v>3.3876764635350014</c:v>
                </c:pt>
                <c:pt idx="58">
                  <c:v>3.428189117786542</c:v>
                </c:pt>
                <c:pt idx="59">
                  <c:v>3.4687017720380835</c:v>
                </c:pt>
                <c:pt idx="60">
                  <c:v>3.5092144262896241</c:v>
                </c:pt>
                <c:pt idx="61">
                  <c:v>3.5497270805411647</c:v>
                </c:pt>
                <c:pt idx="62">
                  <c:v>3.5902397347927062</c:v>
                </c:pt>
                <c:pt idx="63">
                  <c:v>3.6307523890442468</c:v>
                </c:pt>
                <c:pt idx="64">
                  <c:v>3.6712650432957874</c:v>
                </c:pt>
                <c:pt idx="65">
                  <c:v>3.7117776975473289</c:v>
                </c:pt>
                <c:pt idx="66">
                  <c:v>3.7522903517988695</c:v>
                </c:pt>
                <c:pt idx="67">
                  <c:v>3.7928030060504101</c:v>
                </c:pt>
                <c:pt idx="68">
                  <c:v>3.8333156603019516</c:v>
                </c:pt>
                <c:pt idx="69">
                  <c:v>3.8738283145534922</c:v>
                </c:pt>
              </c:numCache>
            </c:numRef>
          </c:xVal>
          <c:yVal>
            <c:numRef>
              <c:f>XLSTAT_20211004_124611_1_HID!ydata2</c:f>
              <c:numCache>
                <c:formatCode>General</c:formatCode>
                <c:ptCount val="70"/>
                <c:pt idx="0">
                  <c:v>1.7258678317384448</c:v>
                </c:pt>
                <c:pt idx="1">
                  <c:v>1.7656644321259827</c:v>
                </c:pt>
                <c:pt idx="2">
                  <c:v>1.8054839218189214</c:v>
                </c:pt>
                <c:pt idx="3">
                  <c:v>1.8453263745747637</c:v>
                </c:pt>
                <c:pt idx="4">
                  <c:v>1.885191862009203</c:v>
                </c:pt>
                <c:pt idx="5">
                  <c:v>1.9250804535594059</c:v>
                </c:pt>
                <c:pt idx="6">
                  <c:v>1.9649922164481644</c:v>
                </c:pt>
                <c:pt idx="7">
                  <c:v>2.0049272156489546</c:v>
                </c:pt>
                <c:pt idx="8">
                  <c:v>2.0448855138519471</c:v>
                </c:pt>
                <c:pt idx="9">
                  <c:v>2.0848671714310028</c:v>
                </c:pt>
                <c:pt idx="10">
                  <c:v>2.1248722464117011</c:v>
                </c:pt>
                <c:pt idx="11">
                  <c:v>2.1649007944404319</c:v>
                </c:pt>
                <c:pt idx="12">
                  <c:v>2.2049528687545945</c:v>
                </c:pt>
                <c:pt idx="13">
                  <c:v>2.2450285201539346</c:v>
                </c:pt>
                <c:pt idx="14">
                  <c:v>2.2851277969730583</c:v>
                </c:pt>
                <c:pt idx="15">
                  <c:v>2.3252507450551558</c:v>
                </c:pt>
                <c:pt idx="16">
                  <c:v>2.3653974077269688</c:v>
                </c:pt>
                <c:pt idx="17">
                  <c:v>2.4055678257750293</c:v>
                </c:pt>
                <c:pt idx="18">
                  <c:v>2.4457620374232034</c:v>
                </c:pt>
                <c:pt idx="19">
                  <c:v>2.4859800783115693</c:v>
                </c:pt>
                <c:pt idx="20">
                  <c:v>2.5262219814766529</c:v>
                </c:pt>
                <c:pt idx="21">
                  <c:v>2.5664877773330463</c:v>
                </c:pt>
                <c:pt idx="22">
                  <c:v>2.6067774936564407</c:v>
                </c:pt>
                <c:pt idx="23">
                  <c:v>2.6470911555680816</c:v>
                </c:pt>
                <c:pt idx="24">
                  <c:v>2.6874287855206811</c:v>
                </c:pt>
                <c:pt idx="25">
                  <c:v>2.7277904032857947</c:v>
                </c:pt>
                <c:pt idx="26">
                  <c:v>2.7681760259426893</c:v>
                </c:pt>
                <c:pt idx="27">
                  <c:v>2.8085856678687007</c:v>
                </c:pt>
                <c:pt idx="28">
                  <c:v>2.8490193407311146</c:v>
                </c:pt>
                <c:pt idx="29">
                  <c:v>2.8894770534805678</c:v>
                </c:pt>
                <c:pt idx="30">
                  <c:v>2.9299588123459737</c:v>
                </c:pt>
                <c:pt idx="31">
                  <c:v>2.9704646208309988</c:v>
                </c:pt>
                <c:pt idx="32">
                  <c:v>3.0109944797120747</c:v>
                </c:pt>
                <c:pt idx="33">
                  <c:v>3.0515483870379549</c:v>
                </c:pt>
                <c:pt idx="34">
                  <c:v>3.0921263381308259</c:v>
                </c:pt>
                <c:pt idx="35">
                  <c:v>3.1327283255889564</c:v>
                </c:pt>
                <c:pt idx="36">
                  <c:v>3.1733543392908885</c:v>
                </c:pt>
                <c:pt idx="37">
                  <c:v>3.214004366401169</c:v>
                </c:pt>
                <c:pt idx="38">
                  <c:v>3.2546783913776069</c:v>
                </c:pt>
                <c:pt idx="39">
                  <c:v>3.2953763959800497</c:v>
                </c:pt>
                <c:pt idx="40">
                  <c:v>3.336098359280665</c:v>
                </c:pt>
                <c:pt idx="41">
                  <c:v>3.3768442576757218</c:v>
                </c:pt>
                <c:pt idx="42">
                  <c:v>3.417614064898844</c:v>
                </c:pt>
                <c:pt idx="43">
                  <c:v>3.4584077520357273</c:v>
                </c:pt>
                <c:pt idx="44">
                  <c:v>3.4992252875403032</c:v>
                </c:pt>
                <c:pt idx="45">
                  <c:v>3.5400666372523131</c:v>
                </c:pt>
                <c:pt idx="46">
                  <c:v>3.5809317644162899</c:v>
                </c:pt>
                <c:pt idx="47">
                  <c:v>3.6218206297019142</c:v>
                </c:pt>
                <c:pt idx="48">
                  <c:v>3.6627331912257088</c:v>
                </c:pt>
                <c:pt idx="49">
                  <c:v>3.7036694045740637</c:v>
                </c:pt>
                <c:pt idx="50">
                  <c:v>3.7446292228275491</c:v>
                </c:pt>
                <c:pt idx="51">
                  <c:v>3.7856125965864829</c:v>
                </c:pt>
                <c:pt idx="52">
                  <c:v>3.8266194739977406</c:v>
                </c:pt>
                <c:pt idx="53">
                  <c:v>3.8676498007827451</c:v>
                </c:pt>
                <c:pt idx="54">
                  <c:v>3.9087035202666263</c:v>
                </c:pt>
                <c:pt idx="55">
                  <c:v>3.9497805734085052</c:v>
                </c:pt>
                <c:pt idx="56">
                  <c:v>3.9908808988328643</c:v>
                </c:pt>
                <c:pt idx="57">
                  <c:v>4.0320044328619655</c:v>
                </c:pt>
                <c:pt idx="58">
                  <c:v>4.0731511095492881</c:v>
                </c:pt>
                <c:pt idx="59">
                  <c:v>4.1143208607139323</c:v>
                </c:pt>
                <c:pt idx="60">
                  <c:v>4.1555136159759511</c:v>
                </c:pt>
                <c:pt idx="61">
                  <c:v>4.196729302792586</c:v>
                </c:pt>
                <c:pt idx="62">
                  <c:v>4.2379678464953381</c:v>
                </c:pt>
                <c:pt idx="63">
                  <c:v>4.2792291703278504</c:v>
                </c:pt>
                <c:pt idx="64">
                  <c:v>4.3205131954845584</c:v>
                </c:pt>
                <c:pt idx="65">
                  <c:v>4.3618198411500559</c:v>
                </c:pt>
                <c:pt idx="66">
                  <c:v>4.4031490245391423</c:v>
                </c:pt>
                <c:pt idx="67">
                  <c:v>4.4445006609375017</c:v>
                </c:pt>
                <c:pt idx="68">
                  <c:v>4.4858746637429778</c:v>
                </c:pt>
                <c:pt idx="69">
                  <c:v>4.5272709445073858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63-4CB8-A016-33FA13DC0AD2}"/>
            </c:ext>
          </c:extLst>
        </c:ser>
        <c:ser>
          <c:idx val="4"/>
          <c:order val="4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0.5</c:v>
              </c:pt>
              <c:pt idx="1">
                <c:v>5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7A63-4CB8-A016-33FA13DC0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174863"/>
        <c:axId val="289175279"/>
      </c:scatterChart>
      <c:valAx>
        <c:axId val="289174863"/>
        <c:scaling>
          <c:orientation val="minMax"/>
          <c:max val="5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Pred(sy)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89175279"/>
        <c:crosses val="autoZero"/>
        <c:crossBetween val="midCat"/>
      </c:valAx>
      <c:valAx>
        <c:axId val="289175279"/>
        <c:scaling>
          <c:orientation val="minMax"/>
          <c:max val="5"/>
          <c:min val="0.5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917486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sy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'PLS-R'!$B$1709:$B$1942</c:f>
              <c:strCache>
                <c:ptCount val="234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</c:strCache>
            </c:strRef>
          </c:cat>
          <c:val>
            <c:numRef>
              <c:f>'PLS-R'!$G$1709:$G$1942</c:f>
              <c:numCache>
                <c:formatCode>0.000</c:formatCode>
                <c:ptCount val="234"/>
                <c:pt idx="0">
                  <c:v>-0.19212600510431019</c:v>
                </c:pt>
                <c:pt idx="1">
                  <c:v>-1.2034787814656998</c:v>
                </c:pt>
                <c:pt idx="2">
                  <c:v>-0.75863522224044022</c:v>
                </c:pt>
                <c:pt idx="3">
                  <c:v>0.61836522852049092</c:v>
                </c:pt>
                <c:pt idx="4">
                  <c:v>0.43562698996742416</c:v>
                </c:pt>
                <c:pt idx="5">
                  <c:v>-0.11355481508637182</c:v>
                </c:pt>
                <c:pt idx="6">
                  <c:v>-0.1321539476099495</c:v>
                </c:pt>
                <c:pt idx="7">
                  <c:v>1.0062573859969448</c:v>
                </c:pt>
                <c:pt idx="8">
                  <c:v>0.41972657332457136</c:v>
                </c:pt>
                <c:pt idx="9">
                  <c:v>-1.5927146711148896</c:v>
                </c:pt>
                <c:pt idx="10">
                  <c:v>-6.9588793730526358E-2</c:v>
                </c:pt>
                <c:pt idx="11">
                  <c:v>0.9985530036132636</c:v>
                </c:pt>
                <c:pt idx="12">
                  <c:v>-0.1370775366807962</c:v>
                </c:pt>
                <c:pt idx="13">
                  <c:v>7.2246592381874863E-2</c:v>
                </c:pt>
                <c:pt idx="14">
                  <c:v>-1.7964383711563849</c:v>
                </c:pt>
                <c:pt idx="15">
                  <c:v>0.54917641840995624</c:v>
                </c:pt>
                <c:pt idx="16">
                  <c:v>0.12525696886803944</c:v>
                </c:pt>
                <c:pt idx="17">
                  <c:v>-0.13352564986731122</c:v>
                </c:pt>
                <c:pt idx="18">
                  <c:v>0.62597806224794506</c:v>
                </c:pt>
                <c:pt idx="19">
                  <c:v>0.12178254305652121</c:v>
                </c:pt>
                <c:pt idx="20">
                  <c:v>0.21227913869797979</c:v>
                </c:pt>
                <c:pt idx="21">
                  <c:v>0.643862422143056</c:v>
                </c:pt>
                <c:pt idx="22">
                  <c:v>6.9086293373640445E-2</c:v>
                </c:pt>
                <c:pt idx="23">
                  <c:v>0.41120940902768938</c:v>
                </c:pt>
                <c:pt idx="24">
                  <c:v>-0.92940640948231135</c:v>
                </c:pt>
                <c:pt idx="25">
                  <c:v>-0.27228265102449989</c:v>
                </c:pt>
                <c:pt idx="26">
                  <c:v>0.24078300951573364</c:v>
                </c:pt>
                <c:pt idx="27">
                  <c:v>0.50505454046584575</c:v>
                </c:pt>
                <c:pt idx="28">
                  <c:v>-0.50438673153573976</c:v>
                </c:pt>
                <c:pt idx="29">
                  <c:v>0.81956928645312277</c:v>
                </c:pt>
                <c:pt idx="30">
                  <c:v>-0.36561363841642458</c:v>
                </c:pt>
                <c:pt idx="31">
                  <c:v>-0.48698759825549787</c:v>
                </c:pt>
                <c:pt idx="32">
                  <c:v>0.75860748736748873</c:v>
                </c:pt>
                <c:pt idx="33">
                  <c:v>1.7242417249057529</c:v>
                </c:pt>
                <c:pt idx="34">
                  <c:v>-0.9179835554534248</c:v>
                </c:pt>
                <c:pt idx="35">
                  <c:v>1.3070127624850907</c:v>
                </c:pt>
                <c:pt idx="36">
                  <c:v>0.86410313237912739</c:v>
                </c:pt>
                <c:pt idx="37">
                  <c:v>1.9717545529263931E-2</c:v>
                </c:pt>
                <c:pt idx="38">
                  <c:v>-1.6348140620755094</c:v>
                </c:pt>
                <c:pt idx="39">
                  <c:v>-1.1694850474952281</c:v>
                </c:pt>
                <c:pt idx="40">
                  <c:v>-0.54827112487597762</c:v>
                </c:pt>
                <c:pt idx="41">
                  <c:v>-1.1573972413635378</c:v>
                </c:pt>
                <c:pt idx="42">
                  <c:v>0.46706895907718776</c:v>
                </c:pt>
                <c:pt idx="43">
                  <c:v>0.36463534218014049</c:v>
                </c:pt>
                <c:pt idx="44">
                  <c:v>1.1876393496221334</c:v>
                </c:pt>
                <c:pt idx="45">
                  <c:v>-0.96958845521659376</c:v>
                </c:pt>
                <c:pt idx="46">
                  <c:v>-1.0751085789132093</c:v>
                </c:pt>
                <c:pt idx="47">
                  <c:v>-1.6009238030078026</c:v>
                </c:pt>
                <c:pt idx="48">
                  <c:v>-0.3169931047187266</c:v>
                </c:pt>
                <c:pt idx="49">
                  <c:v>-1.0361652859975818</c:v>
                </c:pt>
                <c:pt idx="50">
                  <c:v>-0.71798483570690463</c:v>
                </c:pt>
                <c:pt idx="51">
                  <c:v>0.31997081720421489</c:v>
                </c:pt>
                <c:pt idx="52">
                  <c:v>0.35055101155226381</c:v>
                </c:pt>
                <c:pt idx="53">
                  <c:v>-0.53419793781934533</c:v>
                </c:pt>
                <c:pt idx="54">
                  <c:v>-0.53123731477604696</c:v>
                </c:pt>
                <c:pt idx="55">
                  <c:v>-0.14820176060572127</c:v>
                </c:pt>
                <c:pt idx="56">
                  <c:v>-0.93835040613779397</c:v>
                </c:pt>
                <c:pt idx="57">
                  <c:v>-0.65874294727521787</c:v>
                </c:pt>
                <c:pt idx="58">
                  <c:v>-0.37887424545405451</c:v>
                </c:pt>
                <c:pt idx="59">
                  <c:v>-0.35728238275427221</c:v>
                </c:pt>
                <c:pt idx="60">
                  <c:v>-1.3522667326566895</c:v>
                </c:pt>
                <c:pt idx="61">
                  <c:v>-0.79019829790588181</c:v>
                </c:pt>
                <c:pt idx="62">
                  <c:v>1.4089816027849911</c:v>
                </c:pt>
                <c:pt idx="63">
                  <c:v>-0.32737466212366384</c:v>
                </c:pt>
                <c:pt idx="64">
                  <c:v>0.29932278312507626</c:v>
                </c:pt>
                <c:pt idx="65">
                  <c:v>3.7385165786542329E-2</c:v>
                </c:pt>
                <c:pt idx="66">
                  <c:v>0.43438277262289776</c:v>
                </c:pt>
                <c:pt idx="67">
                  <c:v>1.5167672829844534</c:v>
                </c:pt>
                <c:pt idx="68">
                  <c:v>-0.42037135451387464</c:v>
                </c:pt>
                <c:pt idx="69">
                  <c:v>0.19605360635261429</c:v>
                </c:pt>
                <c:pt idx="70">
                  <c:v>-0.71563046686505261</c:v>
                </c:pt>
                <c:pt idx="71">
                  <c:v>-0.86053921600330641</c:v>
                </c:pt>
                <c:pt idx="72">
                  <c:v>-8.3263258909505606E-3</c:v>
                </c:pt>
                <c:pt idx="73">
                  <c:v>-0.74970155790171877</c:v>
                </c:pt>
                <c:pt idx="74">
                  <c:v>1.02579067544846</c:v>
                </c:pt>
                <c:pt idx="75">
                  <c:v>-9.4483527033515508E-3</c:v>
                </c:pt>
                <c:pt idx="76">
                  <c:v>-0.8613631129398277</c:v>
                </c:pt>
                <c:pt idx="77">
                  <c:v>-9.8821863746026431E-2</c:v>
                </c:pt>
                <c:pt idx="78">
                  <c:v>-8.2632239076842487E-2</c:v>
                </c:pt>
                <c:pt idx="79">
                  <c:v>0.58450655079445535</c:v>
                </c:pt>
                <c:pt idx="80">
                  <c:v>0.22091504033847692</c:v>
                </c:pt>
                <c:pt idx="81">
                  <c:v>-2.2150106456687971E-2</c:v>
                </c:pt>
                <c:pt idx="82">
                  <c:v>-0.27391315235175351</c:v>
                </c:pt>
                <c:pt idx="83">
                  <c:v>0.1612916046234848</c:v>
                </c:pt>
                <c:pt idx="84">
                  <c:v>0.67552484960433024</c:v>
                </c:pt>
                <c:pt idx="85">
                  <c:v>-1.079304303113799</c:v>
                </c:pt>
                <c:pt idx="86">
                  <c:v>1.0613980374152194E-2</c:v>
                </c:pt>
                <c:pt idx="87">
                  <c:v>-0.60081737113098999</c:v>
                </c:pt>
                <c:pt idx="88">
                  <c:v>0.33664524721368566</c:v>
                </c:pt>
                <c:pt idx="89">
                  <c:v>0.3739409675477891</c:v>
                </c:pt>
                <c:pt idx="90">
                  <c:v>-0.21858977994727316</c:v>
                </c:pt>
                <c:pt idx="91">
                  <c:v>6.0361427033189467E-2</c:v>
                </c:pt>
                <c:pt idx="92">
                  <c:v>-0.30312232588093485</c:v>
                </c:pt>
                <c:pt idx="93">
                  <c:v>0.27363921330727514</c:v>
                </c:pt>
                <c:pt idx="94">
                  <c:v>0.1768535149272136</c:v>
                </c:pt>
                <c:pt idx="95">
                  <c:v>0.4737481217735432</c:v>
                </c:pt>
                <c:pt idx="96">
                  <c:v>0.14744135134452294</c:v>
                </c:pt>
                <c:pt idx="97">
                  <c:v>0.22976467398363598</c:v>
                </c:pt>
                <c:pt idx="98">
                  <c:v>-0.26804005519787444</c:v>
                </c:pt>
                <c:pt idx="99">
                  <c:v>-7.2603032787993516E-2</c:v>
                </c:pt>
                <c:pt idx="100">
                  <c:v>-0.81286443446359735</c:v>
                </c:pt>
                <c:pt idx="101">
                  <c:v>-0.60303993210138807</c:v>
                </c:pt>
                <c:pt idx="102">
                  <c:v>1.0017272337235448</c:v>
                </c:pt>
                <c:pt idx="103">
                  <c:v>-7.3614824373849669E-2</c:v>
                </c:pt>
                <c:pt idx="104">
                  <c:v>0.62159843111520263</c:v>
                </c:pt>
                <c:pt idx="105">
                  <c:v>-0.83719891361807974</c:v>
                </c:pt>
                <c:pt idx="106">
                  <c:v>-0.29903217768169754</c:v>
                </c:pt>
                <c:pt idx="107">
                  <c:v>0.19308544462913199</c:v>
                </c:pt>
                <c:pt idx="108">
                  <c:v>-0.66405536744410576</c:v>
                </c:pt>
                <c:pt idx="109">
                  <c:v>0.18481327450641571</c:v>
                </c:pt>
                <c:pt idx="110">
                  <c:v>-0.16946584412434432</c:v>
                </c:pt>
                <c:pt idx="111">
                  <c:v>-0.41251965196651735</c:v>
                </c:pt>
                <c:pt idx="112">
                  <c:v>0.37650168461943573</c:v>
                </c:pt>
                <c:pt idx="113">
                  <c:v>1.1370419051903932E-2</c:v>
                </c:pt>
                <c:pt idx="114">
                  <c:v>0.29010579166177247</c:v>
                </c:pt>
                <c:pt idx="115">
                  <c:v>-3.0463597203680595E-2</c:v>
                </c:pt>
                <c:pt idx="116">
                  <c:v>-0.36115189081661164</c:v>
                </c:pt>
                <c:pt idx="117">
                  <c:v>0.32684637378166609</c:v>
                </c:pt>
                <c:pt idx="118">
                  <c:v>-7.4319125871997946E-2</c:v>
                </c:pt>
                <c:pt idx="119">
                  <c:v>-0.33627595858088638</c:v>
                </c:pt>
                <c:pt idx="120">
                  <c:v>0.20982377568747745</c:v>
                </c:pt>
                <c:pt idx="121">
                  <c:v>1.8623143195466294</c:v>
                </c:pt>
                <c:pt idx="122">
                  <c:v>-4.8754929901665564E-2</c:v>
                </c:pt>
                <c:pt idx="123">
                  <c:v>0.21893166707815218</c:v>
                </c:pt>
                <c:pt idx="124">
                  <c:v>3.3311842947967199E-2</c:v>
                </c:pt>
                <c:pt idx="125">
                  <c:v>-0.2529519244300481</c:v>
                </c:pt>
                <c:pt idx="126">
                  <c:v>0.56485911892592688</c:v>
                </c:pt>
                <c:pt idx="127">
                  <c:v>-7.4942926700441476E-2</c:v>
                </c:pt>
                <c:pt idx="128">
                  <c:v>-0.62084763647552232</c:v>
                </c:pt>
                <c:pt idx="129">
                  <c:v>-6.0193215701533791E-2</c:v>
                </c:pt>
                <c:pt idx="130">
                  <c:v>-1.0068950373417549</c:v>
                </c:pt>
                <c:pt idx="131">
                  <c:v>-1.2410792628514014</c:v>
                </c:pt>
                <c:pt idx="132">
                  <c:v>-0.91322761958143639</c:v>
                </c:pt>
                <c:pt idx="133">
                  <c:v>0.17393769083281638</c:v>
                </c:pt>
                <c:pt idx="134">
                  <c:v>0.12183874003777685</c:v>
                </c:pt>
                <c:pt idx="135">
                  <c:v>0.74922042408093381</c:v>
                </c:pt>
                <c:pt idx="136">
                  <c:v>0.12957779030752001</c:v>
                </c:pt>
                <c:pt idx="137">
                  <c:v>-0.11205074737559052</c:v>
                </c:pt>
                <c:pt idx="138">
                  <c:v>-7.0037288885753834E-2</c:v>
                </c:pt>
                <c:pt idx="139">
                  <c:v>7.8882366259625844E-2</c:v>
                </c:pt>
                <c:pt idx="140">
                  <c:v>0.21793218606330392</c:v>
                </c:pt>
                <c:pt idx="141">
                  <c:v>0.35896445347873956</c:v>
                </c:pt>
                <c:pt idx="142">
                  <c:v>4.3479756597163521E-2</c:v>
                </c:pt>
                <c:pt idx="143">
                  <c:v>5.2741376479330568E-2</c:v>
                </c:pt>
                <c:pt idx="144">
                  <c:v>0.57851668909632448</c:v>
                </c:pt>
                <c:pt idx="145">
                  <c:v>-0.11127060303595433</c:v>
                </c:pt>
                <c:pt idx="146">
                  <c:v>-0.2323330427234864</c:v>
                </c:pt>
                <c:pt idx="147">
                  <c:v>0.23839299634681377</c:v>
                </c:pt>
                <c:pt idx="148">
                  <c:v>-0.40094459920396769</c:v>
                </c:pt>
                <c:pt idx="149">
                  <c:v>0.52600289608786188</c:v>
                </c:pt>
                <c:pt idx="150">
                  <c:v>0.74283099366702554</c:v>
                </c:pt>
                <c:pt idx="151">
                  <c:v>-0.42940214693799</c:v>
                </c:pt>
                <c:pt idx="152">
                  <c:v>0.23280117879725701</c:v>
                </c:pt>
                <c:pt idx="153">
                  <c:v>-0.49568781711426241</c:v>
                </c:pt>
                <c:pt idx="154">
                  <c:v>3.201170978349261E-2</c:v>
                </c:pt>
                <c:pt idx="155">
                  <c:v>0.42783240520068555</c:v>
                </c:pt>
                <c:pt idx="156">
                  <c:v>0.71500940965093007</c:v>
                </c:pt>
                <c:pt idx="157">
                  <c:v>0.68849912225840237</c:v>
                </c:pt>
                <c:pt idx="158">
                  <c:v>-0.13112584287575174</c:v>
                </c:pt>
                <c:pt idx="159">
                  <c:v>0.61989794547167409</c:v>
                </c:pt>
                <c:pt idx="160">
                  <c:v>0.53854541937118738</c:v>
                </c:pt>
                <c:pt idx="161">
                  <c:v>-0.16873167896896632</c:v>
                </c:pt>
                <c:pt idx="162">
                  <c:v>0.29445345015938085</c:v>
                </c:pt>
                <c:pt idx="163">
                  <c:v>7.9855536167526622E-2</c:v>
                </c:pt>
                <c:pt idx="164">
                  <c:v>0.18399096756727826</c:v>
                </c:pt>
                <c:pt idx="165">
                  <c:v>-0.29514913775734142</c:v>
                </c:pt>
                <c:pt idx="166">
                  <c:v>-8.0822515704555578E-2</c:v>
                </c:pt>
                <c:pt idx="167">
                  <c:v>0.58199696527111133</c:v>
                </c:pt>
                <c:pt idx="168">
                  <c:v>0.45116230201124691</c:v>
                </c:pt>
                <c:pt idx="169">
                  <c:v>0.69927870449148999</c:v>
                </c:pt>
                <c:pt idx="170">
                  <c:v>0.20595124011301003</c:v>
                </c:pt>
                <c:pt idx="171">
                  <c:v>0.52816362639305992</c:v>
                </c:pt>
                <c:pt idx="172">
                  <c:v>-0.12906191753304244</c:v>
                </c:pt>
                <c:pt idx="173">
                  <c:v>0.39309341674425186</c:v>
                </c:pt>
                <c:pt idx="174">
                  <c:v>0.48576497048948131</c:v>
                </c:pt>
                <c:pt idx="175">
                  <c:v>0.12568424046813925</c:v>
                </c:pt>
                <c:pt idx="176">
                  <c:v>0.60144207945422989</c:v>
                </c:pt>
                <c:pt idx="177">
                  <c:v>0.72882446161704562</c:v>
                </c:pt>
                <c:pt idx="178">
                  <c:v>-0.18604737612421388</c:v>
                </c:pt>
                <c:pt idx="179">
                  <c:v>-0.32989261706401429</c:v>
                </c:pt>
                <c:pt idx="180">
                  <c:v>0.62925922069691353</c:v>
                </c:pt>
                <c:pt idx="181">
                  <c:v>0.75585007548269467</c:v>
                </c:pt>
                <c:pt idx="182">
                  <c:v>0.40919830413854896</c:v>
                </c:pt>
                <c:pt idx="183">
                  <c:v>-0.29485770893690599</c:v>
                </c:pt>
                <c:pt idx="184">
                  <c:v>7.4764396962730184E-2</c:v>
                </c:pt>
                <c:pt idx="185">
                  <c:v>1.2105155999067465</c:v>
                </c:pt>
                <c:pt idx="186">
                  <c:v>0.64285714395633942</c:v>
                </c:pt>
                <c:pt idx="187">
                  <c:v>-0.21357575423072692</c:v>
                </c:pt>
                <c:pt idx="188">
                  <c:v>-0.78277867819215119</c:v>
                </c:pt>
                <c:pt idx="189">
                  <c:v>-3.199302025361879E-2</c:v>
                </c:pt>
                <c:pt idx="190">
                  <c:v>-0.51473978838138168</c:v>
                </c:pt>
                <c:pt idx="191">
                  <c:v>-0.1548740099194417</c:v>
                </c:pt>
                <c:pt idx="192">
                  <c:v>0.10800875103210306</c:v>
                </c:pt>
                <c:pt idx="193">
                  <c:v>-0.32776436089693656</c:v>
                </c:pt>
                <c:pt idx="194">
                  <c:v>-7.303726072321147E-2</c:v>
                </c:pt>
                <c:pt idx="195">
                  <c:v>-0.27206777224842593</c:v>
                </c:pt>
                <c:pt idx="196">
                  <c:v>3.7100104850281606E-3</c:v>
                </c:pt>
                <c:pt idx="197">
                  <c:v>0.35806494079933804</c:v>
                </c:pt>
                <c:pt idx="198">
                  <c:v>1.1138546864792445</c:v>
                </c:pt>
                <c:pt idx="199">
                  <c:v>0.4801569229381597</c:v>
                </c:pt>
                <c:pt idx="200">
                  <c:v>-1.1355062829796463E-2</c:v>
                </c:pt>
                <c:pt idx="201">
                  <c:v>-0.19035574725904131</c:v>
                </c:pt>
                <c:pt idx="202">
                  <c:v>0.31314673870830756</c:v>
                </c:pt>
                <c:pt idx="203">
                  <c:v>3.1859712708035108E-2</c:v>
                </c:pt>
                <c:pt idx="204">
                  <c:v>-0.39105371421358454</c:v>
                </c:pt>
                <c:pt idx="205">
                  <c:v>-0.1528813231734775</c:v>
                </c:pt>
                <c:pt idx="206">
                  <c:v>-2.7898507116788172E-2</c:v>
                </c:pt>
                <c:pt idx="207">
                  <c:v>6.7887528131643657E-2</c:v>
                </c:pt>
                <c:pt idx="208">
                  <c:v>8.4983667999828635E-2</c:v>
                </c:pt>
                <c:pt idx="209">
                  <c:v>0.51499937413319874</c:v>
                </c:pt>
                <c:pt idx="210">
                  <c:v>-0.27691450075216967</c:v>
                </c:pt>
                <c:pt idx="211">
                  <c:v>3.8918375507965883E-2</c:v>
                </c:pt>
                <c:pt idx="212">
                  <c:v>6.8480873610635443E-2</c:v>
                </c:pt>
                <c:pt idx="213">
                  <c:v>0.40085682524702038</c:v>
                </c:pt>
                <c:pt idx="214">
                  <c:v>0.21946312642319904</c:v>
                </c:pt>
                <c:pt idx="215">
                  <c:v>-0.51558999588786425</c:v>
                </c:pt>
                <c:pt idx="216">
                  <c:v>-0.63883875802838741</c:v>
                </c:pt>
                <c:pt idx="217">
                  <c:v>-0.28963063757864566</c:v>
                </c:pt>
                <c:pt idx="218">
                  <c:v>-0.70943123027097599</c:v>
                </c:pt>
                <c:pt idx="219">
                  <c:v>3.1882831448256072E-2</c:v>
                </c:pt>
                <c:pt idx="220">
                  <c:v>0.11260721141638513</c:v>
                </c:pt>
                <c:pt idx="221">
                  <c:v>-0.19252569913349271</c:v>
                </c:pt>
                <c:pt idx="222">
                  <c:v>0.16750096955286156</c:v>
                </c:pt>
                <c:pt idx="223">
                  <c:v>0.10801710476597821</c:v>
                </c:pt>
                <c:pt idx="224">
                  <c:v>0.17405265663837699</c:v>
                </c:pt>
                <c:pt idx="225">
                  <c:v>0.36119245717366188</c:v>
                </c:pt>
                <c:pt idx="226">
                  <c:v>-1.4673230492348859</c:v>
                </c:pt>
                <c:pt idx="227">
                  <c:v>0.26353792409511934</c:v>
                </c:pt>
                <c:pt idx="228">
                  <c:v>-0.37451177096846078</c:v>
                </c:pt>
                <c:pt idx="229">
                  <c:v>-0.9506094008553938</c:v>
                </c:pt>
                <c:pt idx="230">
                  <c:v>0.30334884813906926</c:v>
                </c:pt>
                <c:pt idx="231">
                  <c:v>0.35412130095995503</c:v>
                </c:pt>
                <c:pt idx="232">
                  <c:v>0.17663652679109584</c:v>
                </c:pt>
                <c:pt idx="233">
                  <c:v>1.4309531504769355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D9-4DEF-A2A1-1E5A02DA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89175695"/>
        <c:axId val="289178191"/>
      </c:barChart>
      <c:catAx>
        <c:axId val="2891756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ru-RU"/>
          </a:p>
        </c:txPr>
        <c:crossAx val="289178191"/>
        <c:crosses val="autoZero"/>
        <c:auto val="1"/>
        <c:lblAlgn val="ctr"/>
        <c:lblOffset val="100"/>
        <c:noMultiLvlLbl val="0"/>
      </c:catAx>
      <c:valAx>
        <c:axId val="289178191"/>
        <c:scaling>
          <c:orientation val="minMax"/>
          <c:max val="2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9175695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Outliers analysis
(DModX / DCrit(X)=1.240)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Standardized dModX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cat>
            <c:strRef>
              <c:f>'PLS-R'!$B$1988:$B$2221</c:f>
              <c:strCache>
                <c:ptCount val="234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</c:strCache>
            </c:strRef>
          </c:cat>
          <c:val>
            <c:numRef>
              <c:f>'PLS-R'!$E$1988:$E$2221</c:f>
              <c:numCache>
                <c:formatCode>0.000</c:formatCode>
                <c:ptCount val="234"/>
                <c:pt idx="0">
                  <c:v>0.56643572229744021</c:v>
                </c:pt>
                <c:pt idx="1">
                  <c:v>0.72496587811419466</c:v>
                </c:pt>
                <c:pt idx="2">
                  <c:v>0.89192549044420355</c:v>
                </c:pt>
                <c:pt idx="3">
                  <c:v>0.68772308935183424</c:v>
                </c:pt>
                <c:pt idx="4">
                  <c:v>2.2493685965076335</c:v>
                </c:pt>
                <c:pt idx="5">
                  <c:v>0.55488925689684387</c:v>
                </c:pt>
                <c:pt idx="6">
                  <c:v>1.0075029241055735</c:v>
                </c:pt>
                <c:pt idx="7">
                  <c:v>0.67074700810698629</c:v>
                </c:pt>
                <c:pt idx="8">
                  <c:v>1.1228468117028998</c:v>
                </c:pt>
                <c:pt idx="9">
                  <c:v>1.0856893784390547</c:v>
                </c:pt>
                <c:pt idx="10">
                  <c:v>1.0509459407684432</c:v>
                </c:pt>
                <c:pt idx="11">
                  <c:v>0.63307737406308717</c:v>
                </c:pt>
                <c:pt idx="12">
                  <c:v>0.57912506361862437</c:v>
                </c:pt>
                <c:pt idx="13">
                  <c:v>1.0188192149365101</c:v>
                </c:pt>
                <c:pt idx="14">
                  <c:v>0.8002847137787773</c:v>
                </c:pt>
                <c:pt idx="15">
                  <c:v>0.87134415121778819</c:v>
                </c:pt>
                <c:pt idx="16">
                  <c:v>1.0299630422962178</c:v>
                </c:pt>
                <c:pt idx="17">
                  <c:v>0.99435790391240042</c:v>
                </c:pt>
                <c:pt idx="18">
                  <c:v>0.70065006123865492</c:v>
                </c:pt>
                <c:pt idx="19">
                  <c:v>0.89074767423563506</c:v>
                </c:pt>
                <c:pt idx="20">
                  <c:v>1.1474528179982784</c:v>
                </c:pt>
                <c:pt idx="21">
                  <c:v>0.68790154284218119</c:v>
                </c:pt>
                <c:pt idx="22">
                  <c:v>0.80656770694934055</c:v>
                </c:pt>
                <c:pt idx="23">
                  <c:v>0.72081034000373867</c:v>
                </c:pt>
                <c:pt idx="24">
                  <c:v>0.76808756079988727</c:v>
                </c:pt>
                <c:pt idx="25">
                  <c:v>0.79035147124185945</c:v>
                </c:pt>
                <c:pt idx="26">
                  <c:v>0.5235580912304304</c:v>
                </c:pt>
                <c:pt idx="27">
                  <c:v>0.72605995462050277</c:v>
                </c:pt>
                <c:pt idx="28">
                  <c:v>2.5432722016764906</c:v>
                </c:pt>
                <c:pt idx="29">
                  <c:v>0.52414413911582514</c:v>
                </c:pt>
                <c:pt idx="30">
                  <c:v>0.70752579225877632</c:v>
                </c:pt>
                <c:pt idx="31">
                  <c:v>0.84928417028321168</c:v>
                </c:pt>
                <c:pt idx="32">
                  <c:v>0.59415947943241498</c:v>
                </c:pt>
                <c:pt idx="33">
                  <c:v>0.71992384869168158</c:v>
                </c:pt>
                <c:pt idx="34">
                  <c:v>0.64267673996375352</c:v>
                </c:pt>
                <c:pt idx="35">
                  <c:v>0.77246116125455744</c:v>
                </c:pt>
                <c:pt idx="36">
                  <c:v>0.77939414109445881</c:v>
                </c:pt>
                <c:pt idx="37">
                  <c:v>0.60479635058179249</c:v>
                </c:pt>
                <c:pt idx="38">
                  <c:v>0.89043224063484194</c:v>
                </c:pt>
                <c:pt idx="39">
                  <c:v>2.5989730430809042</c:v>
                </c:pt>
                <c:pt idx="40">
                  <c:v>0.6537928683248635</c:v>
                </c:pt>
                <c:pt idx="41">
                  <c:v>0.60819216401650311</c:v>
                </c:pt>
                <c:pt idx="42">
                  <c:v>0.82445828092523832</c:v>
                </c:pt>
                <c:pt idx="43">
                  <c:v>2.4340644628934416</c:v>
                </c:pt>
                <c:pt idx="44">
                  <c:v>0.64114714282317287</c:v>
                </c:pt>
                <c:pt idx="45">
                  <c:v>2.3331037261335514</c:v>
                </c:pt>
                <c:pt idx="46">
                  <c:v>0.76100283439467931</c:v>
                </c:pt>
                <c:pt idx="47">
                  <c:v>1.0650537381895302</c:v>
                </c:pt>
                <c:pt idx="48">
                  <c:v>0.50495173449555641</c:v>
                </c:pt>
                <c:pt idx="49">
                  <c:v>0.7667933508822744</c:v>
                </c:pt>
                <c:pt idx="50">
                  <c:v>0.7861391174288358</c:v>
                </c:pt>
                <c:pt idx="51">
                  <c:v>0.96853429161144688</c:v>
                </c:pt>
                <c:pt idx="52">
                  <c:v>0.90272902342760897</c:v>
                </c:pt>
                <c:pt idx="53">
                  <c:v>0.72229639240103871</c:v>
                </c:pt>
                <c:pt idx="54">
                  <c:v>0.96469078355716431</c:v>
                </c:pt>
                <c:pt idx="55">
                  <c:v>1.0255952979250753</c:v>
                </c:pt>
                <c:pt idx="56">
                  <c:v>0.57549112476420783</c:v>
                </c:pt>
                <c:pt idx="57">
                  <c:v>0.54638423896222565</c:v>
                </c:pt>
                <c:pt idx="58">
                  <c:v>0.49257504188269302</c:v>
                </c:pt>
                <c:pt idx="59">
                  <c:v>0.63783369317636607</c:v>
                </c:pt>
                <c:pt idx="60">
                  <c:v>0.95016595559799766</c:v>
                </c:pt>
                <c:pt idx="61">
                  <c:v>0.66537544605844001</c:v>
                </c:pt>
                <c:pt idx="62">
                  <c:v>0.5250383134087977</c:v>
                </c:pt>
                <c:pt idx="63">
                  <c:v>1.043172891481025</c:v>
                </c:pt>
                <c:pt idx="64">
                  <c:v>0.90286269963581045</c:v>
                </c:pt>
                <c:pt idx="65">
                  <c:v>0.9929264431544147</c:v>
                </c:pt>
                <c:pt idx="66">
                  <c:v>0.77472867551877667</c:v>
                </c:pt>
                <c:pt idx="67">
                  <c:v>0.92522967768145037</c:v>
                </c:pt>
                <c:pt idx="68">
                  <c:v>0.95786540137727749</c:v>
                </c:pt>
                <c:pt idx="69">
                  <c:v>0.96145859996694782</c:v>
                </c:pt>
                <c:pt idx="70">
                  <c:v>0.48877980304974217</c:v>
                </c:pt>
                <c:pt idx="71">
                  <c:v>0.64166324068029601</c:v>
                </c:pt>
                <c:pt idx="72">
                  <c:v>0.59316409180501362</c:v>
                </c:pt>
                <c:pt idx="73">
                  <c:v>0.67685092685679216</c:v>
                </c:pt>
                <c:pt idx="74">
                  <c:v>0.94877958147441088</c:v>
                </c:pt>
                <c:pt idx="75">
                  <c:v>0.94135296922113154</c:v>
                </c:pt>
                <c:pt idx="76">
                  <c:v>0.62502643540651737</c:v>
                </c:pt>
                <c:pt idx="77">
                  <c:v>0.66398317500273274</c:v>
                </c:pt>
                <c:pt idx="78">
                  <c:v>0.89203355448652488</c:v>
                </c:pt>
                <c:pt idx="79">
                  <c:v>0.62956200788657046</c:v>
                </c:pt>
                <c:pt idx="80">
                  <c:v>0.50004565125830547</c:v>
                </c:pt>
                <c:pt idx="81">
                  <c:v>0.93123313799812324</c:v>
                </c:pt>
                <c:pt idx="82">
                  <c:v>0.95964136938195466</c:v>
                </c:pt>
                <c:pt idx="83">
                  <c:v>1.0082006083456188</c:v>
                </c:pt>
                <c:pt idx="84">
                  <c:v>0.69324901730499</c:v>
                </c:pt>
                <c:pt idx="85">
                  <c:v>0.57877743409235594</c:v>
                </c:pt>
                <c:pt idx="86">
                  <c:v>0.60484202468725912</c:v>
                </c:pt>
                <c:pt idx="87">
                  <c:v>1.5372559576626452</c:v>
                </c:pt>
                <c:pt idx="88">
                  <c:v>0.49824358072584929</c:v>
                </c:pt>
                <c:pt idx="89">
                  <c:v>0.68851896609522556</c:v>
                </c:pt>
                <c:pt idx="90">
                  <c:v>0.63192745427866859</c:v>
                </c:pt>
                <c:pt idx="91">
                  <c:v>0.70021043209426526</c:v>
                </c:pt>
                <c:pt idx="92">
                  <c:v>0.6483450867937478</c:v>
                </c:pt>
                <c:pt idx="93">
                  <c:v>0.50000139290774048</c:v>
                </c:pt>
                <c:pt idx="94">
                  <c:v>3.1919796830998499</c:v>
                </c:pt>
                <c:pt idx="95">
                  <c:v>0.7893381219481076</c:v>
                </c:pt>
                <c:pt idx="96">
                  <c:v>0.98930666564825731</c:v>
                </c:pt>
                <c:pt idx="97">
                  <c:v>0.801002216925916</c:v>
                </c:pt>
                <c:pt idx="98">
                  <c:v>0.57249684450761229</c:v>
                </c:pt>
                <c:pt idx="99">
                  <c:v>2.1536335363200187</c:v>
                </c:pt>
                <c:pt idx="100">
                  <c:v>0.67889097492376738</c:v>
                </c:pt>
                <c:pt idx="101">
                  <c:v>1.0285811540700012</c:v>
                </c:pt>
                <c:pt idx="102">
                  <c:v>1.5539646935681819</c:v>
                </c:pt>
                <c:pt idx="103">
                  <c:v>0.75046829415092153</c:v>
                </c:pt>
                <c:pt idx="104">
                  <c:v>0.69689828231018713</c:v>
                </c:pt>
                <c:pt idx="105">
                  <c:v>0.70950241841445949</c:v>
                </c:pt>
                <c:pt idx="106">
                  <c:v>0.70277802764607911</c:v>
                </c:pt>
                <c:pt idx="107">
                  <c:v>0.95471827480196236</c:v>
                </c:pt>
                <c:pt idx="108">
                  <c:v>1.0361125880849995</c:v>
                </c:pt>
                <c:pt idx="109">
                  <c:v>0.85822647685451048</c:v>
                </c:pt>
                <c:pt idx="110">
                  <c:v>1.0301437443813752</c:v>
                </c:pt>
                <c:pt idx="111">
                  <c:v>0.67768039448080908</c:v>
                </c:pt>
                <c:pt idx="112">
                  <c:v>0.98067497604580345</c:v>
                </c:pt>
                <c:pt idx="113">
                  <c:v>0.76738156786147738</c:v>
                </c:pt>
                <c:pt idx="114">
                  <c:v>0.73279288493959427</c:v>
                </c:pt>
                <c:pt idx="115">
                  <c:v>0.98427685010660759</c:v>
                </c:pt>
                <c:pt idx="116">
                  <c:v>0.77981307342504813</c:v>
                </c:pt>
                <c:pt idx="117">
                  <c:v>0.98940261213639591</c:v>
                </c:pt>
                <c:pt idx="118">
                  <c:v>0.95429766002865324</c:v>
                </c:pt>
                <c:pt idx="119">
                  <c:v>0.96191084481394318</c:v>
                </c:pt>
                <c:pt idx="120">
                  <c:v>1.8878802504821737</c:v>
                </c:pt>
                <c:pt idx="121">
                  <c:v>1.0464633235127645</c:v>
                </c:pt>
                <c:pt idx="122">
                  <c:v>0.87219405402884842</c:v>
                </c:pt>
                <c:pt idx="123">
                  <c:v>1.4169050158991745</c:v>
                </c:pt>
                <c:pt idx="124">
                  <c:v>1.3868783484278404</c:v>
                </c:pt>
                <c:pt idx="125">
                  <c:v>1.4570767083453642</c:v>
                </c:pt>
                <c:pt idx="126">
                  <c:v>1.23336878004747</c:v>
                </c:pt>
                <c:pt idx="127">
                  <c:v>1.3922757666542331</c:v>
                </c:pt>
                <c:pt idx="128">
                  <c:v>1.4240443516930272</c:v>
                </c:pt>
                <c:pt idx="129">
                  <c:v>1.123033347723436</c:v>
                </c:pt>
                <c:pt idx="130">
                  <c:v>1.1531827346053958</c:v>
                </c:pt>
                <c:pt idx="131">
                  <c:v>2.0591157461320964</c:v>
                </c:pt>
                <c:pt idx="132">
                  <c:v>1.3648079808789102</c:v>
                </c:pt>
                <c:pt idx="133">
                  <c:v>2.5106088440345689</c:v>
                </c:pt>
                <c:pt idx="134">
                  <c:v>1.3855624747089148</c:v>
                </c:pt>
                <c:pt idx="135">
                  <c:v>0.74289387936122409</c:v>
                </c:pt>
                <c:pt idx="136">
                  <c:v>0.97360250161322637</c:v>
                </c:pt>
                <c:pt idx="137">
                  <c:v>0.73283710498992227</c:v>
                </c:pt>
                <c:pt idx="138">
                  <c:v>0.64207582961362686</c:v>
                </c:pt>
                <c:pt idx="139">
                  <c:v>0.63839859400549437</c:v>
                </c:pt>
                <c:pt idx="140">
                  <c:v>0.61750355694529335</c:v>
                </c:pt>
                <c:pt idx="141">
                  <c:v>0.63027530045098612</c:v>
                </c:pt>
                <c:pt idx="142">
                  <c:v>0.93449813915452173</c:v>
                </c:pt>
                <c:pt idx="143">
                  <c:v>0.71792213846204389</c:v>
                </c:pt>
                <c:pt idx="144">
                  <c:v>0.70832478570198865</c:v>
                </c:pt>
                <c:pt idx="145">
                  <c:v>0.69655805270695181</c:v>
                </c:pt>
                <c:pt idx="146">
                  <c:v>0.67897633235271526</c:v>
                </c:pt>
                <c:pt idx="147">
                  <c:v>0.73212755606387869</c:v>
                </c:pt>
                <c:pt idx="148">
                  <c:v>0.77967509478562669</c:v>
                </c:pt>
                <c:pt idx="149">
                  <c:v>0.65176593072106992</c:v>
                </c:pt>
                <c:pt idx="150">
                  <c:v>0.65788836947223839</c:v>
                </c:pt>
                <c:pt idx="151">
                  <c:v>0.67609138014469139</c:v>
                </c:pt>
                <c:pt idx="152">
                  <c:v>0.66738973817199976</c:v>
                </c:pt>
                <c:pt idx="153">
                  <c:v>0.66220088212869499</c:v>
                </c:pt>
                <c:pt idx="154">
                  <c:v>0.6459886932994231</c:v>
                </c:pt>
                <c:pt idx="155">
                  <c:v>0.64953434105676244</c:v>
                </c:pt>
                <c:pt idx="156">
                  <c:v>0.64468706780273122</c:v>
                </c:pt>
                <c:pt idx="157">
                  <c:v>0.68317900885040261</c:v>
                </c:pt>
                <c:pt idx="158">
                  <c:v>1.2584329540722556</c:v>
                </c:pt>
                <c:pt idx="159">
                  <c:v>1.0538203075236754</c:v>
                </c:pt>
                <c:pt idx="160">
                  <c:v>1.5685710046505716</c:v>
                </c:pt>
                <c:pt idx="161">
                  <c:v>0.5724977970601004</c:v>
                </c:pt>
                <c:pt idx="162">
                  <c:v>0.51215780355012674</c:v>
                </c:pt>
                <c:pt idx="163">
                  <c:v>0.49580221122382673</c:v>
                </c:pt>
                <c:pt idx="164">
                  <c:v>0.5384458517820141</c:v>
                </c:pt>
                <c:pt idx="165">
                  <c:v>0.51201697108759969</c:v>
                </c:pt>
                <c:pt idx="166">
                  <c:v>0.91842420940988312</c:v>
                </c:pt>
                <c:pt idx="167">
                  <c:v>0.94941078413212177</c:v>
                </c:pt>
                <c:pt idx="168">
                  <c:v>0.5190942940315546</c:v>
                </c:pt>
                <c:pt idx="169">
                  <c:v>2.3378158594619802</c:v>
                </c:pt>
                <c:pt idx="170">
                  <c:v>2.3971700356961905</c:v>
                </c:pt>
                <c:pt idx="171">
                  <c:v>2.4446234909155442</c:v>
                </c:pt>
                <c:pt idx="172">
                  <c:v>0.7303022748761705</c:v>
                </c:pt>
                <c:pt idx="173">
                  <c:v>0.64971584796325288</c:v>
                </c:pt>
                <c:pt idx="174">
                  <c:v>0.96896207162736381</c:v>
                </c:pt>
                <c:pt idx="175">
                  <c:v>0.75116618796259671</c:v>
                </c:pt>
                <c:pt idx="176">
                  <c:v>1.0155301771577883</c:v>
                </c:pt>
                <c:pt idx="177">
                  <c:v>1.0167690468618094</c:v>
                </c:pt>
                <c:pt idx="178">
                  <c:v>1.0366729136979258</c:v>
                </c:pt>
                <c:pt idx="179">
                  <c:v>1.0285351213233653</c:v>
                </c:pt>
                <c:pt idx="180">
                  <c:v>0.5303414825965338</c:v>
                </c:pt>
                <c:pt idx="181">
                  <c:v>0.56667669921001218</c:v>
                </c:pt>
                <c:pt idx="182">
                  <c:v>0.65353186870030044</c:v>
                </c:pt>
                <c:pt idx="183">
                  <c:v>0.64318836634701404</c:v>
                </c:pt>
                <c:pt idx="184">
                  <c:v>0.70365486860375692</c:v>
                </c:pt>
                <c:pt idx="185">
                  <c:v>0.70326472142059948</c:v>
                </c:pt>
                <c:pt idx="186">
                  <c:v>0.6760003275954003</c:v>
                </c:pt>
                <c:pt idx="187">
                  <c:v>0.67268067028311951</c:v>
                </c:pt>
                <c:pt idx="188">
                  <c:v>0.73290475522359277</c:v>
                </c:pt>
                <c:pt idx="189">
                  <c:v>0.71679803549730736</c:v>
                </c:pt>
                <c:pt idx="190">
                  <c:v>0.65505822203314823</c:v>
                </c:pt>
                <c:pt idx="191">
                  <c:v>0.67178612564076601</c:v>
                </c:pt>
                <c:pt idx="192">
                  <c:v>0.90139332588037901</c:v>
                </c:pt>
                <c:pt idx="193">
                  <c:v>0.90966938496504579</c:v>
                </c:pt>
                <c:pt idx="194">
                  <c:v>0.91896530038364799</c:v>
                </c:pt>
                <c:pt idx="195">
                  <c:v>0.65258453732390087</c:v>
                </c:pt>
                <c:pt idx="196">
                  <c:v>0.80837450719290482</c:v>
                </c:pt>
                <c:pt idx="197">
                  <c:v>0.7092161984067451</c:v>
                </c:pt>
                <c:pt idx="198">
                  <c:v>0.73846737019511544</c:v>
                </c:pt>
                <c:pt idx="199">
                  <c:v>0.97958920735685873</c:v>
                </c:pt>
                <c:pt idx="200">
                  <c:v>0.82370080915263599</c:v>
                </c:pt>
                <c:pt idx="201">
                  <c:v>0.85425463440062877</c:v>
                </c:pt>
                <c:pt idx="202">
                  <c:v>1.3579868900457568</c:v>
                </c:pt>
                <c:pt idx="203">
                  <c:v>0.73525826520726245</c:v>
                </c:pt>
                <c:pt idx="204">
                  <c:v>0.67391681808221038</c:v>
                </c:pt>
                <c:pt idx="205">
                  <c:v>0.54130101347404735</c:v>
                </c:pt>
                <c:pt idx="206">
                  <c:v>0.55012059048442885</c:v>
                </c:pt>
                <c:pt idx="207">
                  <c:v>0.68415305167651175</c:v>
                </c:pt>
                <c:pt idx="208">
                  <c:v>0.54677213537320324</c:v>
                </c:pt>
                <c:pt idx="209">
                  <c:v>0.47605163322852762</c:v>
                </c:pt>
                <c:pt idx="210">
                  <c:v>0.83732854204296181</c:v>
                </c:pt>
                <c:pt idx="211">
                  <c:v>0.90059919615604045</c:v>
                </c:pt>
                <c:pt idx="212">
                  <c:v>1.1948252512714603</c:v>
                </c:pt>
                <c:pt idx="213">
                  <c:v>1.1980826356306646</c:v>
                </c:pt>
                <c:pt idx="214">
                  <c:v>0.48465699600616363</c:v>
                </c:pt>
                <c:pt idx="215">
                  <c:v>0.6633879950023841</c:v>
                </c:pt>
                <c:pt idx="216">
                  <c:v>0.65833471587988046</c:v>
                </c:pt>
                <c:pt idx="217">
                  <c:v>0.60324496454170717</c:v>
                </c:pt>
                <c:pt idx="218">
                  <c:v>0.68509702560967201</c:v>
                </c:pt>
                <c:pt idx="219">
                  <c:v>0.74407035675419964</c:v>
                </c:pt>
                <c:pt idx="220">
                  <c:v>0.65881065298042074</c:v>
                </c:pt>
                <c:pt idx="221">
                  <c:v>0.65267932254134786</c:v>
                </c:pt>
                <c:pt idx="222">
                  <c:v>0.77845498914158906</c:v>
                </c:pt>
                <c:pt idx="223">
                  <c:v>1.7829945455889489</c:v>
                </c:pt>
                <c:pt idx="224">
                  <c:v>1.6998201082953885</c:v>
                </c:pt>
                <c:pt idx="225">
                  <c:v>0.76772356442686474</c:v>
                </c:pt>
                <c:pt idx="226">
                  <c:v>0.52285134317667392</c:v>
                </c:pt>
                <c:pt idx="227">
                  <c:v>0.54659366663006048</c:v>
                </c:pt>
                <c:pt idx="228">
                  <c:v>0.69258191663538593</c:v>
                </c:pt>
                <c:pt idx="229">
                  <c:v>0.86656697272723526</c:v>
                </c:pt>
                <c:pt idx="230">
                  <c:v>0.73550899764514366</c:v>
                </c:pt>
                <c:pt idx="231">
                  <c:v>0.80465867980516226</c:v>
                </c:pt>
                <c:pt idx="232">
                  <c:v>0.9447492707227817</c:v>
                </c:pt>
                <c:pt idx="233">
                  <c:v>0.50605275242553116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A-43AA-AC0E-5D48F5F5D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176943"/>
        <c:axId val="289178607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234</c:v>
              </c:pt>
            </c:numLit>
          </c:xVal>
          <c:yVal>
            <c:numLit>
              <c:formatCode>General</c:formatCode>
              <c:ptCount val="2"/>
              <c:pt idx="0">
                <c:v>1.239878427240527</c:v>
              </c:pt>
              <c:pt idx="1">
                <c:v>1.239878427240527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FCA-43AA-AC0E-5D48F5F5D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179439"/>
        <c:axId val="289179023"/>
      </c:scatterChart>
      <c:catAx>
        <c:axId val="289176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289178607"/>
        <c:crosses val="autoZero"/>
        <c:auto val="1"/>
        <c:lblAlgn val="ctr"/>
        <c:lblOffset val="100"/>
        <c:noMultiLvlLbl val="0"/>
      </c:catAx>
      <c:valAx>
        <c:axId val="28917860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dModX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9176943"/>
        <c:crosses val="autoZero"/>
        <c:crossBetween val="between"/>
      </c:valAx>
      <c:valAx>
        <c:axId val="28917902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9179439"/>
        <c:crosses val="max"/>
        <c:crossBetween val="midCat"/>
      </c:valAx>
      <c:valAx>
        <c:axId val="289179439"/>
        <c:scaling>
          <c:orientation val="minMax"/>
          <c:max val="234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89179023"/>
        <c:crosses val="max"/>
        <c:crossBetween val="midCat"/>
        <c:majorUnit val="5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Outliers analysis
(DModY / DCrit(Y)=1.509)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Standardized dModY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cat>
            <c:strRef>
              <c:f>'PLS-R'!$B$1988:$B$2221</c:f>
              <c:strCache>
                <c:ptCount val="234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</c:strCache>
            </c:strRef>
          </c:cat>
          <c:val>
            <c:numRef>
              <c:f>'PLS-R'!$F$1988:$F$2221</c:f>
              <c:numCache>
                <c:formatCode>0.000</c:formatCode>
                <c:ptCount val="234"/>
                <c:pt idx="0">
                  <c:v>0.31757182253511346</c:v>
                </c:pt>
                <c:pt idx="1">
                  <c:v>1.9892723517823545</c:v>
                </c:pt>
                <c:pt idx="2">
                  <c:v>1.2539748069784988</c:v>
                </c:pt>
                <c:pt idx="3">
                  <c:v>1.0221176071764826</c:v>
                </c:pt>
                <c:pt idx="4">
                  <c:v>0.72006315373252339</c:v>
                </c:pt>
                <c:pt idx="5">
                  <c:v>0.18769874263006719</c:v>
                </c:pt>
                <c:pt idx="6">
                  <c:v>0.21844190209917627</c:v>
                </c:pt>
                <c:pt idx="7">
                  <c:v>1.663278179531043</c:v>
                </c:pt>
                <c:pt idx="8">
                  <c:v>0.69378079653888425</c:v>
                </c:pt>
                <c:pt idx="9">
                  <c:v>2.632654026245727</c:v>
                </c:pt>
                <c:pt idx="10">
                  <c:v>0.11502576156218401</c:v>
                </c:pt>
                <c:pt idx="11">
                  <c:v>1.6505433352617069</c:v>
                </c:pt>
                <c:pt idx="12">
                  <c:v>0.22658027542242229</c:v>
                </c:pt>
                <c:pt idx="13">
                  <c:v>0.11941893031194206</c:v>
                </c:pt>
                <c:pt idx="14">
                  <c:v>2.969396086127984</c:v>
                </c:pt>
                <c:pt idx="15">
                  <c:v>0.90775299258977438</c:v>
                </c:pt>
                <c:pt idx="16">
                  <c:v>0.2070416436705208</c:v>
                </c:pt>
                <c:pt idx="17">
                  <c:v>0.22070923694335512</c:v>
                </c:pt>
                <c:pt idx="18">
                  <c:v>1.0347011274561648</c:v>
                </c:pt>
                <c:pt idx="19">
                  <c:v>0.20129864320253193</c:v>
                </c:pt>
                <c:pt idx="20">
                  <c:v>0.35088364495946728</c:v>
                </c:pt>
                <c:pt idx="21">
                  <c:v>1.0642628141402797</c:v>
                </c:pt>
                <c:pt idx="22">
                  <c:v>0.11419516107125013</c:v>
                </c:pt>
                <c:pt idx="23">
                  <c:v>0.67970247649510207</c:v>
                </c:pt>
                <c:pt idx="24">
                  <c:v>1.5362485009505464</c:v>
                </c:pt>
                <c:pt idx="25">
                  <c:v>0.45006555819237631</c:v>
                </c:pt>
                <c:pt idx="26">
                  <c:v>0.39799869427298912</c:v>
                </c:pt>
                <c:pt idx="27">
                  <c:v>0.83482239069246433</c:v>
                </c:pt>
                <c:pt idx="28">
                  <c:v>0.83371854585415717</c:v>
                </c:pt>
                <c:pt idx="29">
                  <c:v>1.3546948621109995</c:v>
                </c:pt>
                <c:pt idx="30">
                  <c:v>0.6043356256356841</c:v>
                </c:pt>
                <c:pt idx="31">
                  <c:v>0.80495890728603181</c:v>
                </c:pt>
                <c:pt idx="32">
                  <c:v>1.2539289630327706</c:v>
                </c:pt>
                <c:pt idx="33">
                  <c:v>2.8500597135308019</c:v>
                </c:pt>
                <c:pt idx="34">
                  <c:v>1.5173672642822644</c:v>
                </c:pt>
                <c:pt idx="35">
                  <c:v>2.1604073057871114</c:v>
                </c:pt>
                <c:pt idx="36">
                  <c:v>1.4283064203565414</c:v>
                </c:pt>
                <c:pt idx="37">
                  <c:v>3.2591823612049632E-2</c:v>
                </c:pt>
                <c:pt idx="38">
                  <c:v>2.7022415883653039</c:v>
                </c:pt>
                <c:pt idx="39">
                  <c:v>1.9330829148244824</c:v>
                </c:pt>
                <c:pt idx="40">
                  <c:v>0.90625660110774275</c:v>
                </c:pt>
                <c:pt idx="41">
                  <c:v>1.9131025554680909</c:v>
                </c:pt>
                <c:pt idx="42">
                  <c:v>0.77203468891777438</c:v>
                </c:pt>
                <c:pt idx="43">
                  <c:v>0.60271856542268842</c:v>
                </c:pt>
                <c:pt idx="44">
                  <c:v>1.9630907985056334</c:v>
                </c:pt>
                <c:pt idx="45">
                  <c:v>1.602666815796042</c:v>
                </c:pt>
                <c:pt idx="46">
                  <c:v>1.7770847347980596</c:v>
                </c:pt>
                <c:pt idx="47">
                  <c:v>2.6462231887089143</c:v>
                </c:pt>
                <c:pt idx="48">
                  <c:v>0.52396903762161073</c:v>
                </c:pt>
                <c:pt idx="49">
                  <c:v>1.7127139979994672</c:v>
                </c:pt>
                <c:pt idx="50">
                  <c:v>1.1867823551747834</c:v>
                </c:pt>
                <c:pt idx="51">
                  <c:v>0.52889100318524518</c:v>
                </c:pt>
                <c:pt idx="52">
                  <c:v>0.57943808059579827</c:v>
                </c:pt>
                <c:pt idx="53">
                  <c:v>0.88299453588119625</c:v>
                </c:pt>
                <c:pt idx="54">
                  <c:v>0.87810081805684836</c:v>
                </c:pt>
                <c:pt idx="55">
                  <c:v>0.24496789590206092</c:v>
                </c:pt>
                <c:pt idx="56">
                  <c:v>1.5510323471929512</c:v>
                </c:pt>
                <c:pt idx="57">
                  <c:v>1.088859356830763</c:v>
                </c:pt>
                <c:pt idx="58">
                  <c:v>0.6262545488057969</c:v>
                </c:pt>
                <c:pt idx="59">
                  <c:v>0.59056460050455073</c:v>
                </c:pt>
                <c:pt idx="60">
                  <c:v>2.2352091826935809</c:v>
                </c:pt>
                <c:pt idx="61">
                  <c:v>1.3061465234436693</c:v>
                </c:pt>
                <c:pt idx="62">
                  <c:v>2.3289551837188367</c:v>
                </c:pt>
                <c:pt idx="63">
                  <c:v>0.54112907852314751</c:v>
                </c:pt>
                <c:pt idx="64">
                  <c:v>0.49476114236437874</c:v>
                </c:pt>
                <c:pt idx="65">
                  <c:v>6.1795253735504166E-2</c:v>
                </c:pt>
                <c:pt idx="66">
                  <c:v>0.71800654317885826</c:v>
                </c:pt>
                <c:pt idx="67">
                  <c:v>2.5071179206452929</c:v>
                </c:pt>
                <c:pt idx="68">
                  <c:v>0.69484657801553662</c:v>
                </c:pt>
                <c:pt idx="69">
                  <c:v>0.32406389260099511</c:v>
                </c:pt>
                <c:pt idx="70">
                  <c:v>1.1828907362155441</c:v>
                </c:pt>
                <c:pt idx="71">
                  <c:v>1.4224154977913337</c:v>
                </c:pt>
                <c:pt idx="72">
                  <c:v>1.376287653914869E-2</c:v>
                </c:pt>
                <c:pt idx="73">
                  <c:v>1.2392080393854059</c:v>
                </c:pt>
                <c:pt idx="74">
                  <c:v>1.695565439799926</c:v>
                </c:pt>
                <c:pt idx="75">
                  <c:v>1.5617514070148142E-2</c:v>
                </c:pt>
                <c:pt idx="76">
                  <c:v>1.4237773459782572</c:v>
                </c:pt>
                <c:pt idx="77">
                  <c:v>0.1633461298438158</c:v>
                </c:pt>
                <c:pt idx="78">
                  <c:v>0.13658573054461215</c:v>
                </c:pt>
                <c:pt idx="79">
                  <c:v>0.96615140942908073</c:v>
                </c:pt>
                <c:pt idx="80">
                  <c:v>0.36515823012932841</c:v>
                </c:pt>
                <c:pt idx="81">
                  <c:v>3.6612689016138691E-2</c:v>
                </c:pt>
                <c:pt idx="82">
                  <c:v>0.45276067110986362</c:v>
                </c:pt>
                <c:pt idx="83">
                  <c:v>0.26660455887834356</c:v>
                </c:pt>
                <c:pt idx="84">
                  <c:v>1.1165987526786545</c:v>
                </c:pt>
                <c:pt idx="85">
                  <c:v>1.7840199947099729</c:v>
                </c:pt>
                <c:pt idx="86">
                  <c:v>1.7544220991538323E-2</c:v>
                </c:pt>
                <c:pt idx="87">
                  <c:v>0.99311213730401793</c:v>
                </c:pt>
                <c:pt idx="88">
                  <c:v>0.55645275426088359</c:v>
                </c:pt>
                <c:pt idx="89">
                  <c:v>0.61810016046615324</c:v>
                </c:pt>
                <c:pt idx="90">
                  <c:v>0.36131472555064126</c:v>
                </c:pt>
                <c:pt idx="91">
                  <c:v>9.977352302382414E-2</c:v>
                </c:pt>
                <c:pt idx="92">
                  <c:v>0.50104154004986123</c:v>
                </c:pt>
                <c:pt idx="93">
                  <c:v>0.45230786764074815</c:v>
                </c:pt>
                <c:pt idx="94">
                  <c:v>0.29232738705352973</c:v>
                </c:pt>
                <c:pt idx="95">
                  <c:v>0.78307491155363529</c:v>
                </c:pt>
                <c:pt idx="96">
                  <c:v>0.24371098872377328</c:v>
                </c:pt>
                <c:pt idx="97">
                  <c:v>0.37978610043733479</c:v>
                </c:pt>
                <c:pt idx="98">
                  <c:v>0.44305282252335637</c:v>
                </c:pt>
                <c:pt idx="99">
                  <c:v>0.12000810317968998</c:v>
                </c:pt>
                <c:pt idx="100">
                  <c:v>1.343612176740085</c:v>
                </c:pt>
                <c:pt idx="101">
                  <c:v>0.99678588640259269</c:v>
                </c:pt>
                <c:pt idx="102">
                  <c:v>1.6557901317103216</c:v>
                </c:pt>
                <c:pt idx="103">
                  <c:v>0.12168052903256492</c:v>
                </c:pt>
                <c:pt idx="104">
                  <c:v>1.0274618813161047</c:v>
                </c:pt>
                <c:pt idx="105">
                  <c:v>1.3838354921175948</c:v>
                </c:pt>
                <c:pt idx="106">
                  <c:v>0.49428079041909007</c:v>
                </c:pt>
                <c:pt idx="107">
                  <c:v>0.31915771382736441</c:v>
                </c:pt>
                <c:pt idx="108">
                  <c:v>1.0976404427342048</c:v>
                </c:pt>
                <c:pt idx="109">
                  <c:v>0.30548435325982826</c:v>
                </c:pt>
                <c:pt idx="110">
                  <c:v>0.28011604648106075</c:v>
                </c:pt>
                <c:pt idx="111">
                  <c:v>0.68186822307283079</c:v>
                </c:pt>
                <c:pt idx="112">
                  <c:v>0.62233285966269403</c:v>
                </c:pt>
                <c:pt idx="113">
                  <c:v>1.8794565052974707E-2</c:v>
                </c:pt>
                <c:pt idx="114">
                  <c:v>0.47952605341479698</c:v>
                </c:pt>
                <c:pt idx="115">
                  <c:v>5.0354349894986682E-2</c:v>
                </c:pt>
                <c:pt idx="116">
                  <c:v>0.59696064630274592</c:v>
                </c:pt>
                <c:pt idx="117">
                  <c:v>0.54025585216578276</c:v>
                </c:pt>
                <c:pt idx="118">
                  <c:v>0.12284469371844242</c:v>
                </c:pt>
                <c:pt idx="119">
                  <c:v>0.55584234410794309</c:v>
                </c:pt>
                <c:pt idx="120">
                  <c:v>0.34682508919130262</c:v>
                </c:pt>
                <c:pt idx="121">
                  <c:v>3.0782847552082617</c:v>
                </c:pt>
                <c:pt idx="122">
                  <c:v>8.0588736220468471E-2</c:v>
                </c:pt>
                <c:pt idx="123">
                  <c:v>0.36187984279854113</c:v>
                </c:pt>
                <c:pt idx="124">
                  <c:v>5.5062315334386144E-2</c:v>
                </c:pt>
                <c:pt idx="125">
                  <c:v>0.41811312118524097</c:v>
                </c:pt>
                <c:pt idx="126">
                  <c:v>0.9336754791497025</c:v>
                </c:pt>
                <c:pt idx="127">
                  <c:v>0.12387579601966485</c:v>
                </c:pt>
                <c:pt idx="128">
                  <c:v>1.0262208664834513</c:v>
                </c:pt>
                <c:pt idx="129">
                  <c:v>9.9495480605069062E-2</c:v>
                </c:pt>
                <c:pt idx="130">
                  <c:v>1.6643321758372867</c:v>
                </c:pt>
                <c:pt idx="131">
                  <c:v>2.0514235082349748</c:v>
                </c:pt>
                <c:pt idx="132">
                  <c:v>1.5095060108204674</c:v>
                </c:pt>
                <c:pt idx="133">
                  <c:v>0.28750771898544714</c:v>
                </c:pt>
                <c:pt idx="134">
                  <c:v>0.20139153316684799</c:v>
                </c:pt>
                <c:pt idx="135">
                  <c:v>1.2384127563925231</c:v>
                </c:pt>
                <c:pt idx="136">
                  <c:v>0.21418368120281453</c:v>
                </c:pt>
                <c:pt idx="137">
                  <c:v>0.18521261627840699</c:v>
                </c:pt>
                <c:pt idx="138">
                  <c:v>0.11576709495828742</c:v>
                </c:pt>
                <c:pt idx="139">
                  <c:v>0.13038743404543796</c:v>
                </c:pt>
                <c:pt idx="140">
                  <c:v>0.3602277655209114</c:v>
                </c:pt>
                <c:pt idx="141">
                  <c:v>0.59334495429014078</c:v>
                </c:pt>
                <c:pt idx="142">
                  <c:v>7.1869216967519051E-2</c:v>
                </c:pt>
                <c:pt idx="143">
                  <c:v>8.7178073798276356E-2</c:v>
                </c:pt>
                <c:pt idx="144">
                  <c:v>0.95625055662585967</c:v>
                </c:pt>
                <c:pt idx="145">
                  <c:v>0.18392308829574683</c:v>
                </c:pt>
                <c:pt idx="146">
                  <c:v>0.38403144734502526</c:v>
                </c:pt>
                <c:pt idx="147">
                  <c:v>0.39404815755348194</c:v>
                </c:pt>
                <c:pt idx="148">
                  <c:v>0.66273541177148076</c:v>
                </c:pt>
                <c:pt idx="149">
                  <c:v>0.86944866354077288</c:v>
                </c:pt>
                <c:pt idx="150">
                  <c:v>1.2278514424235762</c:v>
                </c:pt>
                <c:pt idx="151">
                  <c:v>0.70977389203273877</c:v>
                </c:pt>
                <c:pt idx="152">
                  <c:v>0.38480524590530374</c:v>
                </c:pt>
                <c:pt idx="153">
                  <c:v>0.81933980464520062</c:v>
                </c:pt>
                <c:pt idx="154">
                  <c:v>5.2913279557806225E-2</c:v>
                </c:pt>
                <c:pt idx="155">
                  <c:v>0.70717921077574519</c:v>
                </c:pt>
                <c:pt idx="156">
                  <c:v>1.1818641689308063</c:v>
                </c:pt>
                <c:pt idx="157">
                  <c:v>1.1380443836882836</c:v>
                </c:pt>
                <c:pt idx="158">
                  <c:v>0.21674251167038502</c:v>
                </c:pt>
                <c:pt idx="159">
                  <c:v>1.0246510888639484</c:v>
                </c:pt>
                <c:pt idx="160">
                  <c:v>0.8901806408496864</c:v>
                </c:pt>
                <c:pt idx="161">
                  <c:v>0.27890251910714497</c:v>
                </c:pt>
                <c:pt idx="162">
                  <c:v>0.48671245086315984</c:v>
                </c:pt>
                <c:pt idx="163">
                  <c:v>0.13199602077017927</c:v>
                </c:pt>
                <c:pt idx="164">
                  <c:v>0.30412513323543139</c:v>
                </c:pt>
                <c:pt idx="165">
                  <c:v>0.48786237733084165</c:v>
                </c:pt>
                <c:pt idx="166">
                  <c:v>0.13359437521346104</c:v>
                </c:pt>
                <c:pt idx="167">
                  <c:v>0.96200322736479749</c:v>
                </c:pt>
                <c:pt idx="168">
                  <c:v>0.74574201670960927</c:v>
                </c:pt>
                <c:pt idx="169">
                  <c:v>1.1558623338094565</c:v>
                </c:pt>
                <c:pt idx="170">
                  <c:v>0.34042403911196545</c:v>
                </c:pt>
                <c:pt idx="171">
                  <c:v>0.8730202105609487</c:v>
                </c:pt>
                <c:pt idx="172">
                  <c:v>0.21333097697311829</c:v>
                </c:pt>
                <c:pt idx="173">
                  <c:v>0.64975791649990633</c:v>
                </c:pt>
                <c:pt idx="174">
                  <c:v>0.80293798290505014</c:v>
                </c:pt>
                <c:pt idx="175">
                  <c:v>0.20774789590684625</c:v>
                </c:pt>
                <c:pt idx="176">
                  <c:v>0.99414473963526639</c:v>
                </c:pt>
                <c:pt idx="177">
                  <c:v>1.2046995535988769</c:v>
                </c:pt>
                <c:pt idx="178">
                  <c:v>0.30752424317345506</c:v>
                </c:pt>
                <c:pt idx="179">
                  <c:v>0.54529109469078829</c:v>
                </c:pt>
                <c:pt idx="180">
                  <c:v>1.0401246695118052</c:v>
                </c:pt>
                <c:pt idx="181">
                  <c:v>1.2493711400703944</c:v>
                </c:pt>
                <c:pt idx="182">
                  <c:v>0.67637825058093259</c:v>
                </c:pt>
                <c:pt idx="183">
                  <c:v>0.48738066439669364</c:v>
                </c:pt>
                <c:pt idx="184">
                  <c:v>0.12358069794509181</c:v>
                </c:pt>
                <c:pt idx="185">
                  <c:v>2.0009037561617808</c:v>
                </c:pt>
                <c:pt idx="186">
                  <c:v>1.0626011545136349</c:v>
                </c:pt>
                <c:pt idx="187">
                  <c:v>0.3530268663190031</c:v>
                </c:pt>
                <c:pt idx="188">
                  <c:v>1.2938823733941869</c:v>
                </c:pt>
                <c:pt idx="189">
                  <c:v>5.2882386977381561E-2</c:v>
                </c:pt>
                <c:pt idx="190">
                  <c:v>0.85083147718011209</c:v>
                </c:pt>
                <c:pt idx="191">
                  <c:v>0.25599669116492207</c:v>
                </c:pt>
                <c:pt idx="192">
                  <c:v>0.1785314585414069</c:v>
                </c:pt>
                <c:pt idx="193">
                  <c:v>0.54177322531421168</c:v>
                </c:pt>
                <c:pt idx="194">
                  <c:v>0.12072585378668332</c:v>
                </c:pt>
                <c:pt idx="195">
                  <c:v>0.44971037751548215</c:v>
                </c:pt>
                <c:pt idx="196">
                  <c:v>6.1324066500789455E-3</c:v>
                </c:pt>
                <c:pt idx="197">
                  <c:v>0.59185811818570033</c:v>
                </c:pt>
                <c:pt idx="198">
                  <c:v>1.8411295370058962</c:v>
                </c:pt>
                <c:pt idx="199">
                  <c:v>0.79366824411685299</c:v>
                </c:pt>
                <c:pt idx="200">
                  <c:v>1.8769182214044208E-2</c:v>
                </c:pt>
                <c:pt idx="201">
                  <c:v>0.31464570115985302</c:v>
                </c:pt>
                <c:pt idx="202">
                  <c:v>0.51761124413393211</c:v>
                </c:pt>
                <c:pt idx="203">
                  <c:v>5.2662038252669845E-2</c:v>
                </c:pt>
                <c:pt idx="204">
                  <c:v>0.64638642053952433</c:v>
                </c:pt>
                <c:pt idx="205">
                  <c:v>0.25270290924657202</c:v>
                </c:pt>
                <c:pt idx="206">
                  <c:v>4.6114422387937795E-2</c:v>
                </c:pt>
                <c:pt idx="207">
                  <c:v>0.1122136798944257</c:v>
                </c:pt>
                <c:pt idx="208">
                  <c:v>0.14047249000868919</c:v>
                </c:pt>
                <c:pt idx="209">
                  <c:v>0.85126055558760794</c:v>
                </c:pt>
                <c:pt idx="210">
                  <c:v>0.45772170530752737</c:v>
                </c:pt>
                <c:pt idx="211">
                  <c:v>6.4329549940209396E-2</c:v>
                </c:pt>
                <c:pt idx="212">
                  <c:v>0.11319444147875203</c:v>
                </c:pt>
                <c:pt idx="213">
                  <c:v>0.66259032711485788</c:v>
                </c:pt>
                <c:pt idx="214">
                  <c:v>0.36275831061823177</c:v>
                </c:pt>
                <c:pt idx="215">
                  <c:v>0.85223681503232074</c:v>
                </c:pt>
                <c:pt idx="216">
                  <c:v>1.0559590232618226</c:v>
                </c:pt>
                <c:pt idx="217">
                  <c:v>0.47874065454033615</c:v>
                </c:pt>
                <c:pt idx="218">
                  <c:v>1.1726438002922244</c:v>
                </c:pt>
                <c:pt idx="219">
                  <c:v>5.2700252030459582E-2</c:v>
                </c:pt>
                <c:pt idx="220">
                  <c:v>0.1861324152380244</c:v>
                </c:pt>
                <c:pt idx="221">
                  <c:v>0.31823249083576843</c:v>
                </c:pt>
                <c:pt idx="222">
                  <c:v>0.27686823628285312</c:v>
                </c:pt>
                <c:pt idx="223">
                  <c:v>0.1785452667215659</c:v>
                </c:pt>
                <c:pt idx="224">
                  <c:v>0.28769775000379511</c:v>
                </c:pt>
                <c:pt idx="225">
                  <c:v>0.59702769985926496</c:v>
                </c:pt>
                <c:pt idx="226">
                  <c:v>2.4253898098818527</c:v>
                </c:pt>
                <c:pt idx="227">
                  <c:v>0.43561109187987729</c:v>
                </c:pt>
                <c:pt idx="228">
                  <c:v>0.61904366149046053</c:v>
                </c:pt>
                <c:pt idx="229">
                  <c:v>1.5712956701762342</c:v>
                </c:pt>
                <c:pt idx="230">
                  <c:v>0.50141596664724686</c:v>
                </c:pt>
                <c:pt idx="231">
                  <c:v>0.58533953736924615</c:v>
                </c:pt>
                <c:pt idx="232">
                  <c:v>0.29196871974132493</c:v>
                </c:pt>
                <c:pt idx="233">
                  <c:v>2.3652727266806011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D-4269-8AC1-79EE066B6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180271"/>
        <c:axId val="289174863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234</c:v>
              </c:pt>
            </c:numLit>
          </c:xVal>
          <c:yVal>
            <c:numLit>
              <c:formatCode>General</c:formatCode>
              <c:ptCount val="2"/>
              <c:pt idx="0">
                <c:v>1.5092525842117388</c:v>
              </c:pt>
              <c:pt idx="1">
                <c:v>1.5092525842117388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D1D-4269-8AC1-79EE066B6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71583"/>
        <c:axId val="289177359"/>
      </c:scatterChart>
      <c:catAx>
        <c:axId val="289180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60000000" vert="horz"/>
          <a:lstStyle/>
          <a:p>
            <a:pPr>
              <a:defRPr sz="700"/>
            </a:pPr>
            <a:endParaRPr lang="ru-RU"/>
          </a:p>
        </c:txPr>
        <c:crossAx val="289174863"/>
        <c:crosses val="autoZero"/>
        <c:auto val="1"/>
        <c:lblAlgn val="ctr"/>
        <c:lblOffset val="100"/>
        <c:noMultiLvlLbl val="0"/>
      </c:catAx>
      <c:valAx>
        <c:axId val="2891748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dModY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ru-RU"/>
          </a:p>
        </c:txPr>
        <c:crossAx val="289180271"/>
        <c:crosses val="autoZero"/>
        <c:crossBetween val="between"/>
      </c:valAx>
      <c:valAx>
        <c:axId val="289177359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4171583"/>
        <c:crosses val="max"/>
        <c:crossBetween val="midCat"/>
      </c:valAx>
      <c:valAx>
        <c:axId val="284171583"/>
        <c:scaling>
          <c:orientation val="minMax"/>
          <c:max val="234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289177359"/>
        <c:crosses val="max"/>
        <c:crossBetween val="midCat"/>
        <c:majorUnit val="50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31" noThreeD="1" sel="4" val="0">
  <itemLst>
    <item val="Summary statistics (Quantitative data)"/>
    <item val="Summary statistics (Qualitative data)"/>
    <item val="Correlation matrix"/>
    <item val="Model quality"/>
    <item val="Correlation matrix of the variables with the t and u~ components"/>
    <item val="w vectors"/>
    <item val="w* vectors"/>
    <item val="c vectors"/>
    <item val="p vectors"/>
    <item val="Scores on t"/>
    <item val="Standardized scores on t"/>
    <item val="Scores on u"/>
    <item val="Scores on u~"/>
    <item val="Q² quality index"/>
    <item val="Cumulative Q² quality index"/>
    <item val="Variable Importance in the Projection (VIP)"/>
    <item val="Model parameters"/>
    <item val="Equation of the model"/>
    <item val="Results for variable sy"/>
    <item val="Goodness of fit statistics (Variable sy)"/>
    <item val="VIDs (Variable sy)"/>
    <item val="Coefficients (Variable sy)"/>
    <item val="Standardized coefficients (Variable sy)"/>
    <item val="Predictions and residuals (Variable sy)"/>
    <item val="Outliers analysis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chart" Target="../charts/chart8.xml"/><Relationship Id="rId18" Type="http://schemas.openxmlformats.org/officeDocument/2006/relationships/chart" Target="../charts/chart13.xml"/><Relationship Id="rId3" Type="http://schemas.openxmlformats.org/officeDocument/2006/relationships/image" Target="../media/image3.png"/><Relationship Id="rId21" Type="http://schemas.openxmlformats.org/officeDocument/2006/relationships/chart" Target="../charts/chart16.xml"/><Relationship Id="rId7" Type="http://schemas.openxmlformats.org/officeDocument/2006/relationships/chart" Target="../charts/chart2.xml"/><Relationship Id="rId12" Type="http://schemas.openxmlformats.org/officeDocument/2006/relationships/chart" Target="../charts/chart7.xml"/><Relationship Id="rId17" Type="http://schemas.openxmlformats.org/officeDocument/2006/relationships/chart" Target="../charts/chart12.xml"/><Relationship Id="rId2" Type="http://schemas.openxmlformats.org/officeDocument/2006/relationships/image" Target="../media/image2.png"/><Relationship Id="rId16" Type="http://schemas.openxmlformats.org/officeDocument/2006/relationships/chart" Target="../charts/chart11.xml"/><Relationship Id="rId20" Type="http://schemas.openxmlformats.org/officeDocument/2006/relationships/chart" Target="../charts/chart15.xml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10" Type="http://schemas.openxmlformats.org/officeDocument/2006/relationships/chart" Target="../charts/chart5.xml"/><Relationship Id="rId19" Type="http://schemas.openxmlformats.org/officeDocument/2006/relationships/chart" Target="../charts/chart14.xml"/><Relationship Id="rId4" Type="http://schemas.openxmlformats.org/officeDocument/2006/relationships/image" Target="../media/image4.png"/><Relationship Id="rId9" Type="http://schemas.openxmlformats.org/officeDocument/2006/relationships/chart" Target="../charts/chart4.xml"/><Relationship Id="rId14" Type="http://schemas.openxmlformats.org/officeDocument/2006/relationships/chart" Target="../charts/chart9.xml"/><Relationship Id="rId22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65278</xdr:colOff>
      <xdr:row>0</xdr:row>
      <xdr:rowOff>36830</xdr:rowOff>
    </xdr:from>
    <xdr:to>
      <xdr:col>12</xdr:col>
      <xdr:colOff>552958</xdr:colOff>
      <xdr:row>1</xdr:row>
      <xdr:rowOff>147320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300090F3-F9C1-41B6-A60F-6FC42FB7FD43}"/>
            </a:ext>
          </a:extLst>
        </xdr:cNvPr>
        <xdr:cNvSpPr txBox="1"/>
      </xdr:nvSpPr>
      <xdr:spPr>
        <a:xfrm>
          <a:off x="6529578" y="36830"/>
          <a:ext cx="1097280" cy="29464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/>
            <a:t>Order</a:t>
          </a:r>
          <a:endParaRPr lang="ru-RU" sz="1100"/>
        </a:p>
      </xdr:txBody>
    </xdr:sp>
    <xdr:clientData/>
  </xdr:twoCellAnchor>
  <xdr:twoCellAnchor>
    <xdr:from>
      <xdr:col>2</xdr:col>
      <xdr:colOff>12700</xdr:colOff>
      <xdr:row>12</xdr:row>
      <xdr:rowOff>0</xdr:rowOff>
    </xdr:from>
    <xdr:to>
      <xdr:col>2</xdr:col>
      <xdr:colOff>38100</xdr:colOff>
      <xdr:row>12</xdr:row>
      <xdr:rowOff>25400</xdr:rowOff>
    </xdr:to>
    <xdr:sp macro="" textlink="">
      <xdr:nvSpPr>
        <xdr:cNvPr id="3" name="TX198890" hidden="1">
          <a:extLst>
            <a:ext uri="{FF2B5EF4-FFF2-40B4-BE49-F238E27FC236}">
              <a16:creationId xmlns:a16="http://schemas.microsoft.com/office/drawing/2014/main" id="{B4ADC9D0-57A8-4E6D-9F4A-372FD5B66465}"/>
            </a:ext>
          </a:extLst>
        </xdr:cNvPr>
        <xdr:cNvSpPr txBox="1"/>
      </xdr:nvSpPr>
      <xdr:spPr>
        <a:xfrm>
          <a:off x="946150" y="22098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RunProcPLS
Form1.txt
TextBox_Conf,TextBox,95,True,100000000107_Options,True,Confidence interval (%):,False,,,
TextBoxTol,TextBox,0.0001,False,100000000205_Options,False,Tolerance:,False,,,
CheckBox_Intercept,CheckBox,False,False,100000000005_Options,False,Fixed Intercept,False,,,
TextBox_Intercept,TextBox,0,False,100000000105_Options,False,Fixed Intercept:,False,,,
CheckBox_Normed,CheckBox,True,True,100000000004_Options,True,Standardized PCA,False,,,
TextBoxCompMax,TextBox,5,True,100000040104_Options,True,,False,,,
TextBoxMinPerc,TextBox,80,True,100000020104_Options,True,,False,,,
OptionButtonCorrY,OptionButton,True,True,100000010204_Options,True,Correlations with Ys,False,,,
OptionButtonCompEigen,OptionButton,False,True,100000020204_Options,True,Eigenvalues,False,,,
CheckBoxMinFilter,CheckBox,False,True,100000010104_Options,True,Minimum %,False,,,
CheckBoxMaxFilter,CheckBox,False,True,100000030104_Options,True,Maximum number,False,,,
CheckBoxColors,CheckBox,False,True,600000000001_Charts,True,Colored labels,False,,,
CheckBoxCorrCharts,CheckBox,True,True,600000000000_Charts,True,Correlation charts,False,,,
CheckBoxVectors,CheckBox,True,True,600000000100_Charts,True,Vectors,False,,,
CheckBoxResidCharts,CheckBox,True,True,600000000202_Charts,True,Predictions and residuals,False,,,
CheckBoxRegCharts,CheckBox,True,True,600000000002_Charts,True,Regression charts,False,,,
CheckBoxChartsCoeff,CheckBox,True,True,600000000102_Charts,True,Standardized coefficients,False,,,
CheckBox_Conf,CheckBox,True,True,600000000302_Charts,True,Confidence intervals,False,,,
CheckBoxIndCharts,CheckBox,True,True,600000000300_Charts,True,Observations charts,False,,,
CheckBoxBiplots,CheckBox,True,True,600000000500_Charts,True,Biplots,False,,,
CheckBoxVectorsBip,CheckBox,True,True,600000000600_Charts,True,Vectors,False,,,
CheckBoxLabelsInd,CheckBox,True,True,600000000400_Charts,True,Labels,False,,,
CheckBoxLabelsBiplots,CheckBox,True,True,600000000700_Charts,True,Labels,False,,,
CheckBoxBoot,CheckBox,True,True,500000000402_Outputs,True,Confidence intervals,False,,,
CheckBoxLoadings,CheckBox,True,True,500000000001_Outputs,True,Factor loadings,False,,,
CheckBoxScores,CheckBox,True,True,500000000201_Outputs,True,Factor scores,False,,,
CheckBoxCorrFactVar,CheckBox,True,True,500000000101_Outputs,True,Variables/Factors correlations,False,,,
CheckBoxTU,CheckBox,True,True,500000000002_Outputs,True,t&lt;CM&gt; u and u~ components,False,,,
CheckBoxCW,CheckBox,True,True,500000000102_Outputs,True,c&lt;CM&gt; w&lt;CM&gt; w* and p vectors,False,,,
CheckBoxVIP,CheckBox,True,True,500000000302_Outputs,True,VIPs,False,,,
CheckBoxOut,CheckBox,True,True,500000000502_Outputs,True,Outliers analysis,False,,,
CheckBoxRed,CheckBox,False,True,500000000202_Outputs,True,Redundancies,False,,,
CheckBoxReduce,CheckBox,True,True,100000000002_Options,True,Reduce,False,,,
CheckBoxCenter,CheckBox,True,True,100000000102_Options,True,Center,False,,,
CheckBoxLinePlot,CheckBox,False,True,600000000800_Charts,True,Line loading plot,False,,,
CheckBoxConfusion,CheckBox,True,False,500000000602_Outputs,False,Confusion matrix,False,,,
CheckBox_AV,CheckBox,True,True,500000000003_Outputs,True,Analysis of variance,False,,,
CheckBoxDiag,CheckBox,False,True,500000000203_Outputs,True,Influence diagnostics,False,,,
CheckBoxAdjPred,CheckBox,False,True,500000000103_Outputs,True,Adjusted predictions,False,,,
CheckBox_Desc,CheckBox,True,True,500000000300_Outputs,True,Descriptive statistics,False,,,
CheckBox_Corr,CheckBox,True,True,500000000000_Outputs,True,Correlations,False,,,
CheckBox_Resid,CheckBox,True,True,500000000200_Outputs,True,Predictions and residuals,False,,,
CheckBoxStdCoeff,CheckBox,True,True,500000000100_Outputs,True,Standardized coefficients,False,,,
TextBoxJack,TextBox,7,True,100000000103_Options,True,Number of groups:,False,,,
CheckBox_Interactions,CheckBox,False,True,100000000006_Options,True,Interactions / Level,False,,,
TextBoxLevel,TextBox,2,True,100000000106_Options,True,,False,,,
OptionButtonFast,OptionButton,True,True,100000000001_Options,True,Fast,False,,,
OptionButtonPrecise,OptionButton,False,True,100000000101_Options,True,Precise,False,,,
ComboBoxCV,ComboBox,1,True,100000010203_Options,True,,False,,,
CheckBoxTuning,CheckBox,False,False,100000000303_Options,False,Tuning,False,,,
CheckBoxTrans,CheckBox,False,False,03,False,Trans,False,,,
TextBoxList,TextBox,,False,04,False,,False,,,
ScrollBarSelect,ScrollBar,0,False,05,False,,,,,
CheckBoxChartsFilter,CheckBox,True,True,600000000101_Charts,True,Filter,False,,,
ComboBoxFilter,ComboBox,1,True,600000010101_Charts,True,Select the filtering option,False,,,
TextBoxPoints,TextBox,100,True,600000010201_Charts,True,Number of observations:,False,,,
RefEditGroupFilter,RefEdit,,True,600000010301_Charts,True,Group variable:,False,,,
OptionButtonAutoStop,OptionButton,False,True,100000000000_Options,True,Automatic,False,,,
OptionButtonQi,OptionButton,False,True,100000010000_Options,True,Qi² threshold,False,,,
OptionButtonQiImp,OptionButton,False,True,100000020000_Options,True,Qi² improvement,False,,,
OptionButtonPress,OptionButton,False,True,100000030000_Options,True,Minimum Press,False,,,
OptionButtonFixed,OptionButton,True,True,100000040000_Options,True,Fixed number,False,,,
OptionButtonQiGlobal,OptionButton,False,True,100000050000_Options,True,Qi² threshold(Global),False,,,
TextBoxFixed,TextBox,4,True,100000000100_Options,True,Fixed number:,False,,,
TextBoxQi,TextBox,0.0975,True,100000010100_Options,True,Qi² threshold:,False,,,
TextBoxQiImp,TextBox,0.05,True,100000020100_Options,True,Qi² improvement:,False,,,
TextBoxQiGlobal,TextBox,0.0975,True,100000030100_Options,True,Qi² threshold(Global):,False,,,
CheckBoxInner,CheckBox,True,True,600000000200_Charts,True,Inner circle,False,,,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CheckBox_Validation,CheckBox,False,True,200000000000_Validation,True,Validation,False,,,
SpinButtonLevel,SpinButton,2,True,100000000206_Options,False,,,,,
SpinButtonPCR,SpinButton,5,True,100000050104_Options,False,,,,,
OptionButton_MVEstimate,OptionButton,False,True,400000000000_Missing data,True,Estimate missing data,False,,,
OptionButton_MeanMode,OptionButton,True,True,400000000100_Missing data,True,Mean or mode,False,,,
OptionButton_NN,OptionButton,False,True,400000010100_Missing data,True,Nearest neighbor,False,,,
OptionButton_MVRemove,OptionButton,True,True,400000000200_Missing data,True,Remove the observations,False,,,
OptionButtonEachY,OptionButton,False,True,400000000300_Missing data,True,Check for each Y separately,False,,,
OptionButtonAcrossAll,OptionButton,True,True,400000010300_Missing data,True,Across all Ys,False,,,
OptionButtonMVRefuse,OptionButton,False,True,400000000400_Missing data,True,Do not accept missing data,False,,,
OptionButton_MVIgnore,OptionButton,False,True,400000000500_Missing data,True,Ignore missing data,False,,,
CheckBox_Predict,CheckBox,False,True,300000000100_Prediction,True,Prediction,False,,,
RefEdit_XPred,RefEdit0,,True,300000000300_Prediction,True,Quantitative:,False,,,
RefEdit_QPred,RefEdit0,,True,300000000400_Prediction,True,Qualitative:,False,,,
CheckBox_ObsLabelsPred,CheckBox,False,True,300000000500_Prediction,True,Observation labels,False,,,
RefEdit_PredLabels,RefEdit0,,True,300000000600_Prediction,True,,False,,,
FileSelect2,CommandButton,,False,300000000700_Prediction,False,,False,,,
CheckBox_PredVarLabels,CheckBox,False,True,300000001000_Prediction,True,Variable labels,False,,,
RefEdit_Y,RefEdit0,'</a:t>
          </a:r>
          <a:r>
            <a:rPr lang="ru-RU" sz="1100"/>
            <a:t>Лист1'!$</a:t>
          </a:r>
          <a:r>
            <a:rPr lang="en-US" sz="1100"/>
            <a:t>A:$A,True,000000010000_General,True,Y / Dependent variables:,False,,235,1
FileSelect1,CommandButton,,False,000000020000_General,False,,False,,,
CheckBox_X,CheckBox,True,True,000000050000_General,True,Quantitative,False,,,
RefEdit_X,RefEdit0,'</a:t>
          </a:r>
          <a:r>
            <a:rPr lang="ru-RU" sz="1100"/>
            <a:t>Лист1'!$</a:t>
          </a:r>
          <a:r>
            <a:rPr lang="en-US" sz="1100"/>
            <a:t>B:$U,True,000002050000_General,True,X / Explanatory variables:,False,,235,20
CheckBox_Q,CheckBox,True,True,000003050000_General,True,Qualitative,False,,,
RefEdit_Q,RefEdit0,'</a:t>
          </a:r>
          <a:r>
            <a:rPr lang="ru-RU" sz="1100"/>
            <a:t>Лист1'!$</a:t>
          </a:r>
          <a:r>
            <a:rPr lang="en-US" sz="1100"/>
            <a:t>V:$W,True,000004050000_General,True,Qualitative:,False,,235,2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CheckBoxVarLabels,CheckBox,True,True,000000000201_General,True,Variable labels,False,,,
CheckBox_ObsLabels,CheckBox,False,True,000000010301_General,True,Observation labels,False,,,
RefEdit_Wr,RefEdit0,,False,000000060301_General,False,Regression weights:,False,,,
CheckBox_Wr,CheckBox,False,False,000000050301_General,False,Regression weights,False,,,
RefEdit_ObsLabels,RefEdit0,,True,000000020301_General,True,Observation labels:,False,,,
CheckBox_W,CheckBox,False,True,000000030301_General,True,Observation weights,False,,,
RefEdit_W,RefEdit0,,True,000000040301_General,True,Observation weights:,False,,,
ComboBoxMethod,ComboBox,1,True,000000010100_General,True,Method:,False,,,
</a:t>
          </a:r>
          <a:endParaRPr lang="ru-RU" sz="1100"/>
        </a:p>
      </xdr:txBody>
    </xdr:sp>
    <xdr:clientData/>
  </xdr:twoCellAnchor>
  <xdr:twoCellAnchor editAs="absolute">
    <xdr:from>
      <xdr:col>1</xdr:col>
      <xdr:colOff>6350</xdr:colOff>
      <xdr:row>12</xdr:row>
      <xdr:rowOff>6350</xdr:rowOff>
    </xdr:from>
    <xdr:to>
      <xdr:col>4</xdr:col>
      <xdr:colOff>6350</xdr:colOff>
      <xdr:row>12</xdr:row>
      <xdr:rowOff>473075</xdr:rowOff>
    </xdr:to>
    <xdr:sp macro="" textlink="">
      <xdr:nvSpPr>
        <xdr:cNvPr id="4" name="BK198890">
          <a:extLst>
            <a:ext uri="{FF2B5EF4-FFF2-40B4-BE49-F238E27FC236}">
              <a16:creationId xmlns:a16="http://schemas.microsoft.com/office/drawing/2014/main" id="{D115332F-10EE-428A-9933-090A1114D45C}"/>
            </a:ext>
          </a:extLst>
        </xdr:cNvPr>
        <xdr:cNvSpPr/>
      </xdr:nvSpPr>
      <xdr:spPr>
        <a:xfrm>
          <a:off x="330200" y="2216150"/>
          <a:ext cx="1828800" cy="46672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66040</xdr:colOff>
      <xdr:row>12</xdr:row>
      <xdr:rowOff>53975</xdr:rowOff>
    </xdr:from>
    <xdr:to>
      <xdr:col>1</xdr:col>
      <xdr:colOff>427990</xdr:colOff>
      <xdr:row>12</xdr:row>
      <xdr:rowOff>415925</xdr:rowOff>
    </xdr:to>
    <xdr:pic macro="[0]!ReRunXLSTAT">
      <xdr:nvPicPr>
        <xdr:cNvPr id="5" name="BT198890">
          <a:extLst>
            <a:ext uri="{FF2B5EF4-FFF2-40B4-BE49-F238E27FC236}">
              <a16:creationId xmlns:a16="http://schemas.microsoft.com/office/drawing/2014/main" id="{4F305AB4-8961-4C85-8BE4-584E79100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9890" y="22637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12</xdr:row>
      <xdr:rowOff>53975</xdr:rowOff>
    </xdr:from>
    <xdr:to>
      <xdr:col>2</xdr:col>
      <xdr:colOff>267970</xdr:colOff>
      <xdr:row>12</xdr:row>
      <xdr:rowOff>415925</xdr:rowOff>
    </xdr:to>
    <xdr:pic macro="[0]!AddRemovGrid">
      <xdr:nvPicPr>
        <xdr:cNvPr id="6" name="RM198890">
          <a:extLst>
            <a:ext uri="{FF2B5EF4-FFF2-40B4-BE49-F238E27FC236}">
              <a16:creationId xmlns:a16="http://schemas.microsoft.com/office/drawing/2014/main" id="{42455365-D8C2-4BD6-9783-3AFAE1EE3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9470" y="22637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12</xdr:row>
      <xdr:rowOff>53975</xdr:rowOff>
    </xdr:from>
    <xdr:to>
      <xdr:col>2</xdr:col>
      <xdr:colOff>267970</xdr:colOff>
      <xdr:row>12</xdr:row>
      <xdr:rowOff>415925</xdr:rowOff>
    </xdr:to>
    <xdr:pic macro="[0]!AddRemovGrid">
      <xdr:nvPicPr>
        <xdr:cNvPr id="7" name="AD198890" hidden="1">
          <a:extLst>
            <a:ext uri="{FF2B5EF4-FFF2-40B4-BE49-F238E27FC236}">
              <a16:creationId xmlns:a16="http://schemas.microsoft.com/office/drawing/2014/main" id="{62608C7F-4D1A-4E73-A3C9-85D876726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9470" y="22637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12</xdr:row>
      <xdr:rowOff>53975</xdr:rowOff>
    </xdr:from>
    <xdr:to>
      <xdr:col>3</xdr:col>
      <xdr:colOff>107950</xdr:colOff>
      <xdr:row>12</xdr:row>
      <xdr:rowOff>415925</xdr:rowOff>
    </xdr:to>
    <xdr:pic macro="[0]!SendToOfficeLocal">
      <xdr:nvPicPr>
        <xdr:cNvPr id="8" name="WD198890">
          <a:extLst>
            <a:ext uri="{FF2B5EF4-FFF2-40B4-BE49-F238E27FC236}">
              <a16:creationId xmlns:a16="http://schemas.microsoft.com/office/drawing/2014/main" id="{88B39B44-088E-4C41-87A9-6556D55B3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9050" y="22637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12</xdr:row>
      <xdr:rowOff>53975</xdr:rowOff>
    </xdr:from>
    <xdr:to>
      <xdr:col>3</xdr:col>
      <xdr:colOff>557530</xdr:colOff>
      <xdr:row>12</xdr:row>
      <xdr:rowOff>415925</xdr:rowOff>
    </xdr:to>
    <xdr:pic macro="[0]!SendToOfficeLocal">
      <xdr:nvPicPr>
        <xdr:cNvPr id="9" name="PT198890">
          <a:extLst>
            <a:ext uri="{FF2B5EF4-FFF2-40B4-BE49-F238E27FC236}">
              <a16:creationId xmlns:a16="http://schemas.microsoft.com/office/drawing/2014/main" id="{9D2469AF-0885-4591-A63B-E9E928E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38630" y="22637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125</xdr:row>
      <xdr:rowOff>0</xdr:rowOff>
    </xdr:from>
    <xdr:to>
      <xdr:col>7</xdr:col>
      <xdr:colOff>0</xdr:colOff>
      <xdr:row>143</xdr:row>
      <xdr:rowOff>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3A03C1F-33B3-41BB-BA91-7478BA32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193</xdr:row>
      <xdr:rowOff>0</xdr:rowOff>
    </xdr:from>
    <xdr:to>
      <xdr:col>6</xdr:col>
      <xdr:colOff>501650</xdr:colOff>
      <xdr:row>211</xdr:row>
      <xdr:rowOff>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D10CC050-FB66-41DF-B1EA-248DE8F94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313</xdr:row>
      <xdr:rowOff>0</xdr:rowOff>
    </xdr:from>
    <xdr:to>
      <xdr:col>7</xdr:col>
      <xdr:colOff>0</xdr:colOff>
      <xdr:row>331</xdr:row>
      <xdr:rowOff>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A61D82A7-30D9-4E0A-938E-DEC7836069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619</xdr:row>
      <xdr:rowOff>0</xdr:rowOff>
    </xdr:from>
    <xdr:to>
      <xdr:col>7</xdr:col>
      <xdr:colOff>0</xdr:colOff>
      <xdr:row>637</xdr:row>
      <xdr:rowOff>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7071EAA-C6D7-44A0-BE4C-0E4079D261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878</xdr:row>
      <xdr:rowOff>0</xdr:rowOff>
    </xdr:from>
    <xdr:to>
      <xdr:col>7</xdr:col>
      <xdr:colOff>0</xdr:colOff>
      <xdr:row>896</xdr:row>
      <xdr:rowOff>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4D0C008E-E978-41DB-84CF-3FA516494F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1376</xdr:row>
      <xdr:rowOff>0</xdr:rowOff>
    </xdr:from>
    <xdr:to>
      <xdr:col>7</xdr:col>
      <xdr:colOff>0</xdr:colOff>
      <xdr:row>1394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726397A0-DCCD-49C0-B918-B919CA960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1457</xdr:row>
      <xdr:rowOff>0</xdr:rowOff>
    </xdr:from>
    <xdr:to>
      <xdr:col>7</xdr:col>
      <xdr:colOff>0</xdr:colOff>
      <xdr:row>1475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97325491-53B6-4B41-A46F-74008C4A8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127000</xdr:colOff>
      <xdr:row>1457</xdr:row>
      <xdr:rowOff>0</xdr:rowOff>
    </xdr:from>
    <xdr:to>
      <xdr:col>13</xdr:col>
      <xdr:colOff>171450</xdr:colOff>
      <xdr:row>1475</xdr:row>
      <xdr:rowOff>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CEC89071-3EF9-4CE5-96AB-DD94D6BF4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298450</xdr:colOff>
      <xdr:row>1457</xdr:row>
      <xdr:rowOff>0</xdr:rowOff>
    </xdr:from>
    <xdr:to>
      <xdr:col>19</xdr:col>
      <xdr:colOff>342900</xdr:colOff>
      <xdr:row>1475</xdr:row>
      <xdr:rowOff>0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AE3E4E18-8146-4FAA-B130-32A8E81F5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469900</xdr:colOff>
      <xdr:row>1457</xdr:row>
      <xdr:rowOff>0</xdr:rowOff>
    </xdr:from>
    <xdr:to>
      <xdr:col>25</xdr:col>
      <xdr:colOff>514350</xdr:colOff>
      <xdr:row>1475</xdr:row>
      <xdr:rowOff>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A1DA2081-0AA8-43DF-B917-5CCA783E7D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1685</xdr:row>
      <xdr:rowOff>0</xdr:rowOff>
    </xdr:from>
    <xdr:to>
      <xdr:col>7</xdr:col>
      <xdr:colOff>0</xdr:colOff>
      <xdr:row>1703</xdr:row>
      <xdr:rowOff>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5396BDA2-0569-4918-99A7-F9264E806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1944</xdr:row>
      <xdr:rowOff>0</xdr:rowOff>
    </xdr:from>
    <xdr:to>
      <xdr:col>7</xdr:col>
      <xdr:colOff>0</xdr:colOff>
      <xdr:row>1962</xdr:row>
      <xdr:rowOff>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F8E8417B-F775-4A18-82CE-CF306C094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127000</xdr:colOff>
      <xdr:row>1944</xdr:row>
      <xdr:rowOff>0</xdr:rowOff>
    </xdr:from>
    <xdr:to>
      <xdr:col>13</xdr:col>
      <xdr:colOff>171450</xdr:colOff>
      <xdr:row>1962</xdr:row>
      <xdr:rowOff>0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8CAB6A17-6F86-4551-BE3B-304F279E2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298450</xdr:colOff>
      <xdr:row>1944</xdr:row>
      <xdr:rowOff>0</xdr:rowOff>
    </xdr:from>
    <xdr:to>
      <xdr:col>19</xdr:col>
      <xdr:colOff>342900</xdr:colOff>
      <xdr:row>1962</xdr:row>
      <xdr:rowOff>0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1942B285-7E52-452B-AFF6-4C3BDE25E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1964</xdr:row>
      <xdr:rowOff>0</xdr:rowOff>
    </xdr:from>
    <xdr:to>
      <xdr:col>7</xdr:col>
      <xdr:colOff>0</xdr:colOff>
      <xdr:row>1982</xdr:row>
      <xdr:rowOff>0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307653D5-954A-4146-BE3B-02BF6B9CA2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2224</xdr:row>
      <xdr:rowOff>0</xdr:rowOff>
    </xdr:from>
    <xdr:to>
      <xdr:col>7</xdr:col>
      <xdr:colOff>0</xdr:colOff>
      <xdr:row>2242</xdr:row>
      <xdr:rowOff>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A90CB006-C7CC-4B43-8B3C-AC51FDD48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127000</xdr:colOff>
      <xdr:row>2224</xdr:row>
      <xdr:rowOff>0</xdr:rowOff>
    </xdr:from>
    <xdr:to>
      <xdr:col>13</xdr:col>
      <xdr:colOff>171450</xdr:colOff>
      <xdr:row>2242</xdr:row>
      <xdr:rowOff>0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454D6F-607B-432C-A70E-6224924B2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0</xdr:rowOff>
        </xdr:from>
        <xdr:to>
          <xdr:col>6</xdr:col>
          <xdr:colOff>6350</xdr:colOff>
          <xdr:row>14</xdr:row>
          <xdr:rowOff>0</xdr:rowOff>
        </xdr:to>
        <xdr:sp macro="" textlink="">
          <xdr:nvSpPr>
            <xdr:cNvPr id="1025" name="DD2062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249DC46-9A3E-45FB-BB6A-A1E7B7CCF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D86E0-28F4-4D7F-8DE6-F0419486756D}">
  <sheetPr codeName="Лист1"/>
  <dimension ref="A1:W235"/>
  <sheetViews>
    <sheetView topLeftCell="F1" workbookViewId="0">
      <selection activeCell="F14" sqref="F14"/>
    </sheetView>
  </sheetViews>
  <sheetFormatPr defaultRowHeight="14.5" x14ac:dyDescent="0.35"/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5">
      <c r="A2">
        <v>2.88536122003151</v>
      </c>
      <c r="B2">
        <v>71.5</v>
      </c>
      <c r="C2">
        <v>557.85809326171898</v>
      </c>
      <c r="D2">
        <v>0.33416540654689503</v>
      </c>
      <c r="E2">
        <v>5.7846394721274799E-2</v>
      </c>
      <c r="F2">
        <v>4.8411473064739301</v>
      </c>
      <c r="G2">
        <v>48.566955611891999</v>
      </c>
      <c r="H2">
        <v>3.5525365714285702</v>
      </c>
      <c r="I2">
        <v>60.342735290527301</v>
      </c>
      <c r="J2">
        <v>0</v>
      </c>
      <c r="K2">
        <v>797.97509765625</v>
      </c>
      <c r="L2">
        <v>6.6088609675892096</v>
      </c>
      <c r="M2">
        <v>562.64133390833103</v>
      </c>
      <c r="N2">
        <v>159.90859785236299</v>
      </c>
      <c r="O2">
        <v>40.378611423930202</v>
      </c>
      <c r="P2">
        <v>9.3379993438720703</v>
      </c>
      <c r="Q2">
        <v>31.033964157104499</v>
      </c>
      <c r="R2">
        <v>121.679656982422</v>
      </c>
      <c r="S2">
        <v>4.2113008499145499</v>
      </c>
      <c r="T2">
        <v>12.5348796844482</v>
      </c>
      <c r="U2">
        <v>0.98543818175000997</v>
      </c>
      <c r="V2" t="s">
        <v>23</v>
      </c>
      <c r="W2" t="s">
        <v>24</v>
      </c>
    </row>
    <row r="3" spans="1:23" x14ac:dyDescent="0.35">
      <c r="A3">
        <v>2.1945143418824702</v>
      </c>
      <c r="B3">
        <v>42.4</v>
      </c>
      <c r="C3">
        <v>1103.13684082031</v>
      </c>
      <c r="D3">
        <v>0.16913679752352501</v>
      </c>
      <c r="E3">
        <v>2.1399994097764798</v>
      </c>
      <c r="F3">
        <v>6.8313422268839998</v>
      </c>
      <c r="G3">
        <v>42.891180126682002</v>
      </c>
      <c r="H3">
        <v>1.64181363333333</v>
      </c>
      <c r="I3">
        <v>55.902889251708999</v>
      </c>
      <c r="J3">
        <v>0</v>
      </c>
      <c r="K3">
        <v>822.83142089843795</v>
      </c>
      <c r="L3">
        <v>6.2661567906864404</v>
      </c>
      <c r="M3">
        <v>552.34721399526097</v>
      </c>
      <c r="N3">
        <v>162.10616640184699</v>
      </c>
      <c r="O3">
        <v>39.853348997772699</v>
      </c>
      <c r="P3">
        <v>10.3408613204956</v>
      </c>
      <c r="Q3">
        <v>33.5759086608887</v>
      </c>
      <c r="R3">
        <v>95.7501220703125</v>
      </c>
      <c r="S3">
        <v>4.1451644897460902</v>
      </c>
      <c r="T3">
        <v>10.75</v>
      </c>
      <c r="U3">
        <v>1.0670154565168599</v>
      </c>
      <c r="V3" t="s">
        <v>23</v>
      </c>
      <c r="W3" t="s">
        <v>24</v>
      </c>
    </row>
    <row r="4" spans="1:23" x14ac:dyDescent="0.35">
      <c r="A4">
        <v>2.3010299956639799</v>
      </c>
      <c r="B4">
        <v>1500</v>
      </c>
      <c r="C4">
        <v>38.245189666747997</v>
      </c>
      <c r="D4">
        <v>0.60294095718152696</v>
      </c>
      <c r="E4">
        <v>5.5975693637812904</v>
      </c>
      <c r="F4">
        <v>3.0153825564666898</v>
      </c>
      <c r="G4">
        <v>0.59162889002866703</v>
      </c>
      <c r="H4">
        <v>1.50275359497908</v>
      </c>
      <c r="I4">
        <v>35.342418670654297</v>
      </c>
      <c r="J4">
        <v>0</v>
      </c>
      <c r="K4">
        <v>693.24450683593795</v>
      </c>
      <c r="L4">
        <v>3.6296762423437099</v>
      </c>
      <c r="M4">
        <v>427.95397949218801</v>
      </c>
      <c r="N4">
        <v>161.56962410348399</v>
      </c>
      <c r="O4">
        <v>32.124474947569801</v>
      </c>
      <c r="P4">
        <v>0.17407049238681799</v>
      </c>
      <c r="Q4">
        <v>22.429634094238299</v>
      </c>
      <c r="R4">
        <v>60.203330993652301</v>
      </c>
      <c r="S4">
        <v>3.2517957687377899</v>
      </c>
      <c r="T4">
        <v>17.586879730224599</v>
      </c>
      <c r="U4">
        <v>0.39093613632892199</v>
      </c>
      <c r="V4" t="s">
        <v>25</v>
      </c>
      <c r="W4" t="s">
        <v>24</v>
      </c>
    </row>
    <row r="5" spans="1:23" x14ac:dyDescent="0.35">
      <c r="A5">
        <v>2.9827233876685502</v>
      </c>
      <c r="B5">
        <v>407</v>
      </c>
      <c r="C5">
        <v>295.21685791015602</v>
      </c>
      <c r="D5">
        <v>0.47464800927224898</v>
      </c>
      <c r="E5">
        <v>7.1386790255876198</v>
      </c>
      <c r="F5">
        <v>2.3667170256643399</v>
      </c>
      <c r="G5">
        <v>39.9440573242277</v>
      </c>
      <c r="H5">
        <v>3.6793623181818198</v>
      </c>
      <c r="I5">
        <v>67.438148498535199</v>
      </c>
      <c r="J5">
        <v>0</v>
      </c>
      <c r="K5">
        <v>739.8095703125</v>
      </c>
      <c r="L5">
        <v>4.4680768055993996</v>
      </c>
      <c r="M5">
        <v>557.45283983574495</v>
      </c>
      <c r="N5">
        <v>155.89273846735699</v>
      </c>
      <c r="O5">
        <v>42.088106155395501</v>
      </c>
      <c r="P5">
        <v>7.4179620742797896</v>
      </c>
      <c r="Q5">
        <v>31.478532791137699</v>
      </c>
      <c r="R5">
        <v>119.05426025390599</v>
      </c>
      <c r="S5">
        <v>3.88347291946411</v>
      </c>
      <c r="T5">
        <v>17.2249755859375</v>
      </c>
      <c r="U5">
        <v>1.0607625991149601</v>
      </c>
      <c r="V5" t="s">
        <v>23</v>
      </c>
      <c r="W5" t="s">
        <v>26</v>
      </c>
    </row>
    <row r="6" spans="1:23" x14ac:dyDescent="0.35">
      <c r="A6">
        <v>3.18752072083646</v>
      </c>
      <c r="B6">
        <v>237</v>
      </c>
      <c r="C6">
        <v>113.818367004395</v>
      </c>
      <c r="D6">
        <v>0.39740475677950099</v>
      </c>
      <c r="E6">
        <v>2.2360055512097399E-2</v>
      </c>
      <c r="F6">
        <v>16.978028110960899</v>
      </c>
      <c r="G6">
        <v>56.308555445564103</v>
      </c>
      <c r="H6">
        <v>1.83320728082192</v>
      </c>
      <c r="I6">
        <v>104.99558258056599</v>
      </c>
      <c r="J6">
        <v>0</v>
      </c>
      <c r="K6">
        <v>801.07092285156205</v>
      </c>
      <c r="L6">
        <v>2.1511961632087599</v>
      </c>
      <c r="M6">
        <v>480.63983904729099</v>
      </c>
      <c r="N6">
        <v>154.56909554903601</v>
      </c>
      <c r="O6">
        <v>37.980925450559504</v>
      </c>
      <c r="P6">
        <v>8.0110635757446307</v>
      </c>
      <c r="Q6">
        <v>25.5405368804932</v>
      </c>
      <c r="R6">
        <v>81.940452575683594</v>
      </c>
      <c r="S6">
        <v>3.8500885963439901</v>
      </c>
      <c r="T6">
        <v>10.5817918777466</v>
      </c>
      <c r="U6">
        <v>1.01241497575115</v>
      </c>
      <c r="V6" t="s">
        <v>27</v>
      </c>
      <c r="W6" t="s">
        <v>26</v>
      </c>
    </row>
    <row r="7" spans="1:23" x14ac:dyDescent="0.35">
      <c r="A7">
        <v>3.02448566769917</v>
      </c>
      <c r="B7">
        <v>454</v>
      </c>
      <c r="C7">
        <v>626.05780029296898</v>
      </c>
      <c r="D7">
        <v>0.29638423247254497</v>
      </c>
      <c r="E7">
        <v>11.5241073846324</v>
      </c>
      <c r="F7">
        <v>5.3064377755216503</v>
      </c>
      <c r="G7">
        <v>15.2366428184294</v>
      </c>
      <c r="H7">
        <v>4.2199791129032302</v>
      </c>
      <c r="I7">
        <v>60.052127838134801</v>
      </c>
      <c r="J7">
        <v>0</v>
      </c>
      <c r="K7">
        <v>631.71496582031205</v>
      </c>
      <c r="L7">
        <v>8.1758012146246202</v>
      </c>
      <c r="M7">
        <v>575.35495845607102</v>
      </c>
      <c r="N7">
        <v>162.68798803110599</v>
      </c>
      <c r="O7">
        <v>39.8601460378678</v>
      </c>
      <c r="P7">
        <v>3.5899074077606201</v>
      </c>
      <c r="Q7">
        <v>34.664436340332003</v>
      </c>
      <c r="R7">
        <v>175.23530578613301</v>
      </c>
      <c r="S7">
        <v>4.2167181968689</v>
      </c>
      <c r="T7">
        <v>11.131874084472701</v>
      </c>
      <c r="U7">
        <v>1.0629899147136499</v>
      </c>
      <c r="V7" t="s">
        <v>23</v>
      </c>
      <c r="W7" t="s">
        <v>24</v>
      </c>
    </row>
    <row r="8" spans="1:23" x14ac:dyDescent="0.35">
      <c r="A8">
        <v>2.8779469516291898</v>
      </c>
      <c r="B8">
        <v>137</v>
      </c>
      <c r="C8">
        <v>1669.27795410156</v>
      </c>
      <c r="D8">
        <v>0.18685927871361599</v>
      </c>
      <c r="E8">
        <v>24.488567918184</v>
      </c>
      <c r="F8">
        <v>4.5347055496474704</v>
      </c>
      <c r="G8">
        <v>0.52390800913906999</v>
      </c>
      <c r="H8">
        <v>5.2837512911392404</v>
      </c>
      <c r="I8">
        <v>60.224323272705099</v>
      </c>
      <c r="J8">
        <v>0</v>
      </c>
      <c r="K8">
        <v>435.64859008789102</v>
      </c>
      <c r="L8">
        <v>13.200255714479001</v>
      </c>
      <c r="M8">
        <v>606.22677562275896</v>
      </c>
      <c r="N8">
        <v>166.59722350073599</v>
      </c>
      <c r="O8">
        <v>37.415699974435299</v>
      </c>
      <c r="P8">
        <v>0.55952137708663896</v>
      </c>
      <c r="Q8">
        <v>36.006507873535199</v>
      </c>
      <c r="R8">
        <v>208.02403259277301</v>
      </c>
      <c r="S8">
        <v>4.2206230163574201</v>
      </c>
      <c r="T8">
        <v>10.75</v>
      </c>
      <c r="U8">
        <v>0.80248856850511097</v>
      </c>
      <c r="V8" t="s">
        <v>28</v>
      </c>
      <c r="W8" t="s">
        <v>24</v>
      </c>
    </row>
    <row r="9" spans="1:23" x14ac:dyDescent="0.35">
      <c r="A9">
        <v>3.2281436075977399</v>
      </c>
      <c r="B9">
        <v>373</v>
      </c>
      <c r="C9">
        <v>355.61669921875</v>
      </c>
      <c r="D9">
        <v>0.46709171978263098</v>
      </c>
      <c r="E9">
        <v>1.71706527085064</v>
      </c>
      <c r="F9">
        <v>0.670121957661865</v>
      </c>
      <c r="G9">
        <v>54.431656927330003</v>
      </c>
      <c r="H9">
        <v>3.5890295086956501</v>
      </c>
      <c r="I9">
        <v>69.040618896484403</v>
      </c>
      <c r="J9">
        <v>0</v>
      </c>
      <c r="K9">
        <v>833.9833984375</v>
      </c>
      <c r="L9">
        <v>4.0894490734475601</v>
      </c>
      <c r="M9">
        <v>571.14929449362796</v>
      </c>
      <c r="N9">
        <v>155.1662312492</v>
      </c>
      <c r="O9">
        <v>43.6189820649194</v>
      </c>
      <c r="P9">
        <v>11.0351905822754</v>
      </c>
      <c r="Q9">
        <v>31.461851119995099</v>
      </c>
      <c r="R9">
        <v>132.66299438476599</v>
      </c>
      <c r="S9">
        <v>3.9026262760162398</v>
      </c>
      <c r="T9">
        <v>12.601672172546399</v>
      </c>
      <c r="U9">
        <v>0.90638015194530897</v>
      </c>
      <c r="V9" t="s">
        <v>23</v>
      </c>
      <c r="W9" t="s">
        <v>26</v>
      </c>
    </row>
    <row r="10" spans="1:23" x14ac:dyDescent="0.35">
      <c r="A10">
        <v>2.9680157139936401</v>
      </c>
      <c r="B10">
        <v>379</v>
      </c>
      <c r="C10">
        <v>1391.96142578125</v>
      </c>
      <c r="D10">
        <v>0.196249942733287</v>
      </c>
      <c r="E10">
        <v>8.7236911232954206</v>
      </c>
      <c r="F10">
        <v>3.7238693944545802</v>
      </c>
      <c r="G10">
        <v>2.1497327615836399</v>
      </c>
      <c r="H10">
        <v>4.1576851870229001</v>
      </c>
      <c r="I10">
        <v>19.908388137817401</v>
      </c>
      <c r="J10">
        <v>0</v>
      </c>
      <c r="K10">
        <v>523.39483642578102</v>
      </c>
      <c r="L10">
        <v>11.6713168621063</v>
      </c>
      <c r="M10">
        <v>659.26513321673303</v>
      </c>
      <c r="N10">
        <v>162.82855449739</v>
      </c>
      <c r="O10">
        <v>43.401074769067002</v>
      </c>
      <c r="P10">
        <v>0.48375841975212103</v>
      </c>
      <c r="Q10">
        <v>33.8286743164062</v>
      </c>
      <c r="R10">
        <v>168.05807495117199</v>
      </c>
      <c r="S10">
        <v>4.0668029785156197</v>
      </c>
      <c r="T10">
        <v>10.5290012359619</v>
      </c>
      <c r="U10">
        <v>0.61314639276594496</v>
      </c>
      <c r="V10" t="s">
        <v>29</v>
      </c>
      <c r="W10" t="s">
        <v>30</v>
      </c>
    </row>
    <row r="11" spans="1:23" x14ac:dyDescent="0.35">
      <c r="A11">
        <v>2.0128372247051698</v>
      </c>
      <c r="B11">
        <v>862</v>
      </c>
      <c r="C11">
        <v>622.66711425781205</v>
      </c>
      <c r="D11">
        <v>0.27427634456119299</v>
      </c>
      <c r="E11">
        <v>7.2608449865166804</v>
      </c>
      <c r="F11">
        <v>4.2103325683238504</v>
      </c>
      <c r="G11">
        <v>11.6100328565957</v>
      </c>
      <c r="H11">
        <v>4.0423253345132704</v>
      </c>
      <c r="I11">
        <v>22.596830368041999</v>
      </c>
      <c r="J11">
        <v>0</v>
      </c>
      <c r="K11">
        <v>541.9228515625</v>
      </c>
      <c r="L11">
        <v>11.5535566142348</v>
      </c>
      <c r="M11">
        <v>647.82806946801395</v>
      </c>
      <c r="N11">
        <v>161.592289408699</v>
      </c>
      <c r="O11">
        <v>42.563652351254298</v>
      </c>
      <c r="P11">
        <v>1.86114525794983</v>
      </c>
      <c r="Q11">
        <v>34.1710815429688</v>
      </c>
      <c r="R11">
        <v>150.61723327636699</v>
      </c>
      <c r="S11">
        <v>3.9460475444793701</v>
      </c>
      <c r="T11">
        <v>10.4214525222778</v>
      </c>
      <c r="U11">
        <v>0.88325341649853695</v>
      </c>
      <c r="V11" t="s">
        <v>29</v>
      </c>
      <c r="W11" t="s">
        <v>30</v>
      </c>
    </row>
    <row r="12" spans="1:23" x14ac:dyDescent="0.35">
      <c r="A12">
        <v>2.8830933585756902</v>
      </c>
      <c r="B12">
        <v>104</v>
      </c>
      <c r="C12">
        <v>2077.20092773438</v>
      </c>
      <c r="D12">
        <v>0.13435781127375901</v>
      </c>
      <c r="E12">
        <v>32.877688370001103</v>
      </c>
      <c r="F12">
        <v>1.8172229276296801</v>
      </c>
      <c r="G12">
        <v>1.04821268884506</v>
      </c>
      <c r="H12">
        <v>5.2579019347826099</v>
      </c>
      <c r="I12">
        <v>60.362152099609403</v>
      </c>
      <c r="J12">
        <v>0</v>
      </c>
      <c r="K12">
        <v>431.51593017578102</v>
      </c>
      <c r="L12">
        <v>18.936649173986702</v>
      </c>
      <c r="M12">
        <v>645.38057821305097</v>
      </c>
      <c r="N12">
        <v>167.718149153913</v>
      </c>
      <c r="O12">
        <v>34.9681202622711</v>
      </c>
      <c r="P12">
        <v>0.25287663936615001</v>
      </c>
      <c r="Q12">
        <v>34.085079193115199</v>
      </c>
      <c r="R12">
        <v>248.94412231445301</v>
      </c>
      <c r="S12">
        <v>4.2171649932861301</v>
      </c>
      <c r="T12">
        <v>10.722448348999</v>
      </c>
      <c r="U12">
        <v>0.80347143984096003</v>
      </c>
      <c r="V12" t="s">
        <v>28</v>
      </c>
      <c r="W12" t="s">
        <v>24</v>
      </c>
    </row>
    <row r="13" spans="1:23" x14ac:dyDescent="0.35">
      <c r="A13">
        <v>3.6127838567197399</v>
      </c>
      <c r="B13">
        <v>66.400000000000006</v>
      </c>
      <c r="C13">
        <v>710.96343994140602</v>
      </c>
      <c r="D13">
        <v>0.22900553658377101</v>
      </c>
      <c r="E13">
        <v>0.43642961103963401</v>
      </c>
      <c r="F13">
        <v>2.8379959680245599</v>
      </c>
      <c r="G13">
        <v>63.404921167285899</v>
      </c>
      <c r="H13">
        <v>4.7892201999999999</v>
      </c>
      <c r="I13">
        <v>38.766410827636697</v>
      </c>
      <c r="J13">
        <v>0</v>
      </c>
      <c r="K13">
        <v>752.87445068359398</v>
      </c>
      <c r="L13">
        <v>7.3815886368517001</v>
      </c>
      <c r="M13">
        <v>619.81333348008502</v>
      </c>
      <c r="N13">
        <v>163.352850491883</v>
      </c>
      <c r="O13">
        <v>44.371494105604803</v>
      </c>
      <c r="P13">
        <v>17.4728393554688</v>
      </c>
      <c r="Q13">
        <v>33.7470703125</v>
      </c>
      <c r="R13">
        <v>203.13308715820301</v>
      </c>
      <c r="S13">
        <v>4.1550526618957502</v>
      </c>
      <c r="T13">
        <v>13.732613563537599</v>
      </c>
      <c r="U13">
        <v>1.10376779202555</v>
      </c>
      <c r="V13" t="s">
        <v>23</v>
      </c>
      <c r="W13" t="s">
        <v>24</v>
      </c>
    </row>
    <row r="14" spans="1:23" x14ac:dyDescent="0.35">
      <c r="A14">
        <v>3.1139433523068401</v>
      </c>
      <c r="B14">
        <v>308</v>
      </c>
      <c r="C14">
        <v>747.87078857421898</v>
      </c>
      <c r="D14">
        <v>0.31039787724592799</v>
      </c>
      <c r="E14">
        <v>10.3461895110739</v>
      </c>
      <c r="F14">
        <v>1.7113773821098599</v>
      </c>
      <c r="G14">
        <v>49.437558961120203</v>
      </c>
      <c r="H14">
        <v>5.4194821166666696</v>
      </c>
      <c r="I14">
        <v>42.369396209716797</v>
      </c>
      <c r="J14">
        <v>0</v>
      </c>
      <c r="K14">
        <v>656.34747314453102</v>
      </c>
      <c r="L14">
        <v>10.5792853988585</v>
      </c>
      <c r="M14">
        <v>647.78142710201098</v>
      </c>
      <c r="N14">
        <v>162.622579855997</v>
      </c>
      <c r="O14">
        <v>43.511929809069997</v>
      </c>
      <c r="P14">
        <v>13.5190076828003</v>
      </c>
      <c r="Q14">
        <v>33.532264709472699</v>
      </c>
      <c r="R14">
        <v>220.28468322753901</v>
      </c>
      <c r="S14">
        <v>4.1897211074829102</v>
      </c>
      <c r="T14">
        <v>11.376568794250501</v>
      </c>
      <c r="U14">
        <v>1.3022290437986299</v>
      </c>
      <c r="V14" t="s">
        <v>23</v>
      </c>
      <c r="W14" t="s">
        <v>24</v>
      </c>
    </row>
    <row r="15" spans="1:23" x14ac:dyDescent="0.35">
      <c r="A15">
        <v>2.8573324964312699</v>
      </c>
      <c r="B15">
        <v>1847</v>
      </c>
      <c r="C15">
        <v>729.84808349609398</v>
      </c>
      <c r="D15">
        <v>0.31950411279240198</v>
      </c>
      <c r="E15">
        <v>14.372395268701201</v>
      </c>
      <c r="F15">
        <v>4.9949169140125402</v>
      </c>
      <c r="G15">
        <v>4.5035347575147</v>
      </c>
      <c r="H15">
        <v>3.7845976504132199</v>
      </c>
      <c r="I15">
        <v>42.905113220214801</v>
      </c>
      <c r="J15">
        <v>5.6487402387759902</v>
      </c>
      <c r="K15">
        <v>656.05322265625</v>
      </c>
      <c r="L15">
        <v>13.8362789075883</v>
      </c>
      <c r="M15">
        <v>664.82225611952504</v>
      </c>
      <c r="N15">
        <v>162.228222456135</v>
      </c>
      <c r="O15">
        <v>41.671364956214802</v>
      </c>
      <c r="P15">
        <v>0.86922240257263195</v>
      </c>
      <c r="Q15">
        <v>34.019824981689503</v>
      </c>
      <c r="R15">
        <v>146.48670959472699</v>
      </c>
      <c r="S15">
        <v>3.9142470359802202</v>
      </c>
      <c r="T15">
        <v>12.4383945465088</v>
      </c>
      <c r="U15">
        <v>0.81975213745611797</v>
      </c>
      <c r="V15" t="s">
        <v>23</v>
      </c>
      <c r="W15" t="s">
        <v>30</v>
      </c>
    </row>
    <row r="16" spans="1:23" x14ac:dyDescent="0.35">
      <c r="A16">
        <v>1.6989700043360201</v>
      </c>
      <c r="B16">
        <v>88.2</v>
      </c>
      <c r="C16">
        <v>590.39929199218795</v>
      </c>
      <c r="D16">
        <v>0.32466889499318502</v>
      </c>
      <c r="E16">
        <v>3.5627287815788097E-2</v>
      </c>
      <c r="F16">
        <v>35.091780362535403</v>
      </c>
      <c r="G16">
        <v>22.4706665675041</v>
      </c>
      <c r="H16">
        <v>1.2220705999999999</v>
      </c>
      <c r="I16">
        <v>38.766410827636697</v>
      </c>
      <c r="J16">
        <v>0</v>
      </c>
      <c r="K16">
        <v>964.00402832031205</v>
      </c>
      <c r="L16">
        <v>7.1038439078409201</v>
      </c>
      <c r="M16">
        <v>614.35783411244904</v>
      </c>
      <c r="N16">
        <v>162.17356047083101</v>
      </c>
      <c r="O16">
        <v>44.214580723496702</v>
      </c>
      <c r="P16">
        <v>4.7601361274719203</v>
      </c>
      <c r="Q16">
        <v>28.452692031860401</v>
      </c>
      <c r="R16">
        <v>75.499778747558594</v>
      </c>
      <c r="S16">
        <v>3.8976886272430402</v>
      </c>
      <c r="T16">
        <v>17.6450386047363</v>
      </c>
      <c r="U16">
        <v>1.1402056271530601</v>
      </c>
      <c r="V16" t="s">
        <v>25</v>
      </c>
      <c r="W16" t="s">
        <v>24</v>
      </c>
    </row>
    <row r="17" spans="1:23" x14ac:dyDescent="0.35">
      <c r="A17">
        <v>2.9790929006383302</v>
      </c>
      <c r="B17">
        <v>1201</v>
      </c>
      <c r="C17">
        <v>56.712020874023402</v>
      </c>
      <c r="D17">
        <v>0.79555180086647903</v>
      </c>
      <c r="E17">
        <v>0.28401937848047998</v>
      </c>
      <c r="F17">
        <v>10.661635995111601</v>
      </c>
      <c r="G17">
        <v>56.834838577818303</v>
      </c>
      <c r="H17">
        <v>2.1363704494892199</v>
      </c>
      <c r="I17">
        <v>143.87455749511699</v>
      </c>
      <c r="J17">
        <v>0</v>
      </c>
      <c r="K17">
        <v>816.51861572265602</v>
      </c>
      <c r="L17">
        <v>3.8836591849561599</v>
      </c>
      <c r="M17">
        <v>543.61010942302801</v>
      </c>
      <c r="N17">
        <v>154.798333840292</v>
      </c>
      <c r="O17">
        <v>41.511580826806203</v>
      </c>
      <c r="P17">
        <v>12.0095376968384</v>
      </c>
      <c r="Q17">
        <v>27.174943923950199</v>
      </c>
      <c r="R17">
        <v>85.8753662109375</v>
      </c>
      <c r="S17">
        <v>3.8921215534210201</v>
      </c>
      <c r="T17">
        <v>11.6725988388062</v>
      </c>
      <c r="U17">
        <v>1.05790884632663</v>
      </c>
      <c r="V17" t="s">
        <v>23</v>
      </c>
      <c r="W17" t="s">
        <v>26</v>
      </c>
    </row>
    <row r="18" spans="1:23" x14ac:dyDescent="0.35">
      <c r="A18">
        <v>2.8597385661971502</v>
      </c>
      <c r="B18">
        <v>480</v>
      </c>
      <c r="C18">
        <v>1614.97375488281</v>
      </c>
      <c r="D18">
        <v>0.18571700610869499</v>
      </c>
      <c r="E18">
        <v>30.1316974613772</v>
      </c>
      <c r="F18">
        <v>5.3050877180314</v>
      </c>
      <c r="G18">
        <v>7.9823053663232004</v>
      </c>
      <c r="H18">
        <v>5.6781568233333299</v>
      </c>
      <c r="I18">
        <v>11.1519918441772</v>
      </c>
      <c r="J18">
        <v>0.27757137988851899</v>
      </c>
      <c r="K18">
        <v>541.95159912109398</v>
      </c>
      <c r="L18">
        <v>25.612850877105199</v>
      </c>
      <c r="M18">
        <v>762.04564329053505</v>
      </c>
      <c r="N18">
        <v>163.96734444039799</v>
      </c>
      <c r="O18">
        <v>38.003349241663201</v>
      </c>
      <c r="P18">
        <v>1.7916218042373699</v>
      </c>
      <c r="Q18">
        <v>29.641450881958001</v>
      </c>
      <c r="R18">
        <v>230.91221618652301</v>
      </c>
      <c r="S18">
        <v>3.7856791019439702</v>
      </c>
      <c r="T18">
        <v>10.26198387146</v>
      </c>
      <c r="U18">
        <v>1.13949614596025</v>
      </c>
      <c r="V18" t="s">
        <v>29</v>
      </c>
      <c r="W18" t="s">
        <v>30</v>
      </c>
    </row>
    <row r="19" spans="1:23" x14ac:dyDescent="0.35">
      <c r="A19">
        <v>2.8202014594856402</v>
      </c>
      <c r="B19">
        <v>1460</v>
      </c>
      <c r="C19">
        <v>1052.1240234375</v>
      </c>
      <c r="D19">
        <v>0.26068557262742997</v>
      </c>
      <c r="E19">
        <v>21.4340056572013</v>
      </c>
      <c r="F19">
        <v>3.5986450038983202</v>
      </c>
      <c r="G19">
        <v>12.889338135231</v>
      </c>
      <c r="H19">
        <v>5.2098371204569096</v>
      </c>
      <c r="I19">
        <v>19.143793106079102</v>
      </c>
      <c r="J19">
        <v>8.3944519988991804</v>
      </c>
      <c r="K19">
        <v>634.514892578125</v>
      </c>
      <c r="L19">
        <v>22.527496478596699</v>
      </c>
      <c r="M19">
        <v>753.58482085681396</v>
      </c>
      <c r="N19">
        <v>163.02643972928399</v>
      </c>
      <c r="O19">
        <v>40.346700887211</v>
      </c>
      <c r="P19">
        <v>2.8038666248321502</v>
      </c>
      <c r="Q19">
        <v>31.1849880218506</v>
      </c>
      <c r="R19">
        <v>210.95523071289099</v>
      </c>
      <c r="S19">
        <v>3.8747761249542201</v>
      </c>
      <c r="T19">
        <v>9.1019668579101598</v>
      </c>
      <c r="U19">
        <v>1.1610493077948201</v>
      </c>
      <c r="V19" t="s">
        <v>29</v>
      </c>
      <c r="W19" t="s">
        <v>30</v>
      </c>
    </row>
    <row r="20" spans="1:23" x14ac:dyDescent="0.35">
      <c r="A20">
        <v>3.5453071164658199</v>
      </c>
      <c r="B20">
        <v>953</v>
      </c>
      <c r="C20">
        <v>1068.64428710938</v>
      </c>
      <c r="D20">
        <v>0.20866354199539899</v>
      </c>
      <c r="E20">
        <v>42.644651879881899</v>
      </c>
      <c r="F20">
        <v>4.9907909946308404</v>
      </c>
      <c r="G20">
        <v>3.40406477474771</v>
      </c>
      <c r="H20">
        <v>5.8969613017077798</v>
      </c>
      <c r="I20">
        <v>25.528480529785199</v>
      </c>
      <c r="J20">
        <v>0.61450667304003603</v>
      </c>
      <c r="K20">
        <v>516.54724121093795</v>
      </c>
      <c r="L20">
        <v>18.365344993403699</v>
      </c>
      <c r="M20">
        <v>684.05129154392898</v>
      </c>
      <c r="N20">
        <v>167.65427411188799</v>
      </c>
      <c r="O20">
        <v>38.760267476566497</v>
      </c>
      <c r="P20">
        <v>0.92706346511840798</v>
      </c>
      <c r="Q20">
        <v>31.905735015869102</v>
      </c>
      <c r="R20">
        <v>269.46633911132801</v>
      </c>
      <c r="S20">
        <v>4.1250524520873997</v>
      </c>
      <c r="T20">
        <v>10.262489318847701</v>
      </c>
      <c r="U20">
        <v>1.0587332750374401</v>
      </c>
      <c r="V20" t="s">
        <v>29</v>
      </c>
      <c r="W20" t="s">
        <v>24</v>
      </c>
    </row>
    <row r="21" spans="1:23" x14ac:dyDescent="0.35">
      <c r="A21">
        <v>3.1139433523068401</v>
      </c>
      <c r="B21">
        <v>92</v>
      </c>
      <c r="C21">
        <v>1207.7119140625</v>
      </c>
      <c r="D21">
        <v>0.216699340874388</v>
      </c>
      <c r="E21">
        <v>32.208947617004597</v>
      </c>
      <c r="F21">
        <v>1.8598960234092401</v>
      </c>
      <c r="G21">
        <v>24.4070885840299</v>
      </c>
      <c r="H21">
        <v>6.1976984444444403</v>
      </c>
      <c r="I21">
        <v>33.469074249267599</v>
      </c>
      <c r="J21">
        <v>0</v>
      </c>
      <c r="K21">
        <v>590.50476074218795</v>
      </c>
      <c r="L21">
        <v>16.821458968959899</v>
      </c>
      <c r="M21">
        <v>709.14813732710002</v>
      </c>
      <c r="N21">
        <v>163.975525402632</v>
      </c>
      <c r="O21">
        <v>42.405800115866697</v>
      </c>
      <c r="P21">
        <v>5.6014757156372097</v>
      </c>
      <c r="Q21">
        <v>30.3381252288818</v>
      </c>
      <c r="R21">
        <v>263.81826782226602</v>
      </c>
      <c r="S21">
        <v>4.0437049865722701</v>
      </c>
      <c r="T21">
        <v>22.9215393066406</v>
      </c>
      <c r="U21">
        <v>1.30957758933154</v>
      </c>
      <c r="V21" t="s">
        <v>23</v>
      </c>
      <c r="W21" t="s">
        <v>24</v>
      </c>
    </row>
    <row r="22" spans="1:23" x14ac:dyDescent="0.35">
      <c r="A22">
        <v>2.89762709129044</v>
      </c>
      <c r="B22">
        <v>561</v>
      </c>
      <c r="C22">
        <v>1917.13525390625</v>
      </c>
      <c r="D22">
        <v>0.14094919569145301</v>
      </c>
      <c r="E22">
        <v>43.532995736064699</v>
      </c>
      <c r="F22">
        <v>1.58873419954766</v>
      </c>
      <c r="G22">
        <v>2.4617133479590798</v>
      </c>
      <c r="H22">
        <v>4.9078609967948701</v>
      </c>
      <c r="I22">
        <v>13.6182146072388</v>
      </c>
      <c r="J22">
        <v>4.5159904639120798</v>
      </c>
      <c r="K22">
        <v>534.36474609375</v>
      </c>
      <c r="L22">
        <v>32.8738854674042</v>
      </c>
      <c r="M22">
        <v>813.67501981141095</v>
      </c>
      <c r="N22">
        <v>164.37083710217101</v>
      </c>
      <c r="O22">
        <v>35.0203786130811</v>
      </c>
      <c r="P22">
        <v>1.4742286205291699</v>
      </c>
      <c r="Q22">
        <v>29.237279891967798</v>
      </c>
      <c r="R22">
        <v>250.82196044921901</v>
      </c>
      <c r="S22">
        <v>3.75270700454712</v>
      </c>
      <c r="T22">
        <v>9.4341764450073207</v>
      </c>
      <c r="U22">
        <v>0.91520959355021403</v>
      </c>
      <c r="V22" t="s">
        <v>29</v>
      </c>
      <c r="W22" t="s">
        <v>30</v>
      </c>
    </row>
    <row r="23" spans="1:23" x14ac:dyDescent="0.35">
      <c r="A23">
        <v>3.2662316966898901</v>
      </c>
      <c r="B23">
        <v>67.2</v>
      </c>
      <c r="C23">
        <v>1630.09973144531</v>
      </c>
      <c r="D23">
        <v>0.15802825452135</v>
      </c>
      <c r="E23">
        <v>20.670796657940301</v>
      </c>
      <c r="F23">
        <v>5.6560683334403103</v>
      </c>
      <c r="G23">
        <v>12.3128654277919</v>
      </c>
      <c r="H23">
        <v>5.4549687499999999</v>
      </c>
      <c r="I23">
        <v>33.659763336181598</v>
      </c>
      <c r="J23">
        <v>0</v>
      </c>
      <c r="K23">
        <v>561.45739746093795</v>
      </c>
      <c r="L23">
        <v>21.800316193064699</v>
      </c>
      <c r="M23">
        <v>756.344732565958</v>
      </c>
      <c r="N23">
        <v>163.68933830886601</v>
      </c>
      <c r="O23">
        <v>41.3161044198959</v>
      </c>
      <c r="P23">
        <v>2.3817944526672399</v>
      </c>
      <c r="Q23">
        <v>29.121038436889599</v>
      </c>
      <c r="R23">
        <v>271.20578002929699</v>
      </c>
      <c r="S23">
        <v>3.7859308719635001</v>
      </c>
      <c r="T23">
        <v>9.1287918090820295</v>
      </c>
      <c r="U23">
        <v>1.22787541437684</v>
      </c>
      <c r="V23" t="s">
        <v>29</v>
      </c>
      <c r="W23" t="s">
        <v>24</v>
      </c>
    </row>
    <row r="24" spans="1:23" x14ac:dyDescent="0.35">
      <c r="A24">
        <v>3</v>
      </c>
      <c r="B24">
        <v>1340</v>
      </c>
      <c r="C24">
        <v>220.72052001953099</v>
      </c>
      <c r="D24">
        <v>0.79282183055495903</v>
      </c>
      <c r="E24">
        <v>11.025131170396801</v>
      </c>
      <c r="F24">
        <v>24.2904337075366</v>
      </c>
      <c r="G24">
        <v>27.223306213210702</v>
      </c>
      <c r="H24">
        <v>2.4506303922127302</v>
      </c>
      <c r="I24">
        <v>54.734603881835902</v>
      </c>
      <c r="J24">
        <v>0.40767361864655599</v>
      </c>
      <c r="K24">
        <v>947.74230957031205</v>
      </c>
      <c r="L24">
        <v>11.592705652362</v>
      </c>
      <c r="M24">
        <v>660.44020005523203</v>
      </c>
      <c r="N24">
        <v>162.313224417264</v>
      </c>
      <c r="O24">
        <v>43.559793315950003</v>
      </c>
      <c r="P24">
        <v>5.0229063034057599</v>
      </c>
      <c r="Q24">
        <v>25.825607299804702</v>
      </c>
      <c r="R24">
        <v>116.933456420898</v>
      </c>
      <c r="S24">
        <v>3.79997634887695</v>
      </c>
      <c r="T24">
        <v>16.6716117858887</v>
      </c>
      <c r="U24">
        <v>1.5731043923143699</v>
      </c>
      <c r="V24" t="s">
        <v>25</v>
      </c>
      <c r="W24" t="s">
        <v>24</v>
      </c>
    </row>
    <row r="25" spans="1:23" x14ac:dyDescent="0.35">
      <c r="A25">
        <v>3.4471580313422199</v>
      </c>
      <c r="B25">
        <v>136</v>
      </c>
      <c r="C25">
        <v>576.94689941406205</v>
      </c>
      <c r="D25">
        <v>0.338767820148209</v>
      </c>
      <c r="E25">
        <v>11.755034510946601</v>
      </c>
      <c r="F25">
        <v>1.72015466124863</v>
      </c>
      <c r="G25">
        <v>59.326293723369901</v>
      </c>
      <c r="H25">
        <v>6.4218826279069798</v>
      </c>
      <c r="I25">
        <v>81.709678649902301</v>
      </c>
      <c r="J25">
        <v>0</v>
      </c>
      <c r="K25">
        <v>897.53387451171898</v>
      </c>
      <c r="L25">
        <v>19.174451945257999</v>
      </c>
      <c r="M25">
        <v>785.88348388671898</v>
      </c>
      <c r="N25">
        <v>160.40267444047799</v>
      </c>
      <c r="O25">
        <v>46.435839043288901</v>
      </c>
      <c r="P25">
        <v>14.8293447494507</v>
      </c>
      <c r="Q25">
        <v>29.136589050293001</v>
      </c>
      <c r="R25">
        <v>298.96917724609398</v>
      </c>
      <c r="S25">
        <v>3.7505939006805402</v>
      </c>
      <c r="T25">
        <v>8.8778867721557599</v>
      </c>
      <c r="U25">
        <v>1.5009741957412599</v>
      </c>
      <c r="V25" t="s">
        <v>23</v>
      </c>
      <c r="W25" t="s">
        <v>24</v>
      </c>
    </row>
    <row r="26" spans="1:23" x14ac:dyDescent="0.35">
      <c r="A26">
        <v>2.6901960800285099</v>
      </c>
      <c r="B26">
        <v>236</v>
      </c>
      <c r="C26">
        <v>797.6494140625</v>
      </c>
      <c r="D26">
        <v>0.290858909050912</v>
      </c>
      <c r="E26">
        <v>9.5762083301585594</v>
      </c>
      <c r="F26">
        <v>0.51766863354945203</v>
      </c>
      <c r="G26">
        <v>55.3848557861388</v>
      </c>
      <c r="H26">
        <v>7.6837360461538502</v>
      </c>
      <c r="I26">
        <v>92.362022399902301</v>
      </c>
      <c r="J26">
        <v>0</v>
      </c>
      <c r="K26">
        <v>823.07330322265602</v>
      </c>
      <c r="L26">
        <v>23.568307141788701</v>
      </c>
      <c r="M26">
        <v>804.32979996478002</v>
      </c>
      <c r="N26">
        <v>160.436005389104</v>
      </c>
      <c r="O26">
        <v>43.561315067478901</v>
      </c>
      <c r="P26">
        <v>14.4747619628906</v>
      </c>
      <c r="Q26">
        <v>29.3746337890625</v>
      </c>
      <c r="R26">
        <v>298.46969604492199</v>
      </c>
      <c r="S26">
        <v>3.7400131225585902</v>
      </c>
      <c r="T26">
        <v>7.5779705047607404</v>
      </c>
      <c r="U26">
        <v>1.36017851330157</v>
      </c>
      <c r="V26" t="s">
        <v>23</v>
      </c>
      <c r="W26" t="s">
        <v>24</v>
      </c>
    </row>
    <row r="27" spans="1:23" x14ac:dyDescent="0.35">
      <c r="A27">
        <v>1.4471580313422201</v>
      </c>
      <c r="B27">
        <v>785</v>
      </c>
      <c r="C27">
        <v>178.81985473632801</v>
      </c>
      <c r="D27">
        <v>0.27686402910746999</v>
      </c>
      <c r="E27">
        <v>4.7537694326586999E-2</v>
      </c>
      <c r="F27">
        <v>69.763734484351801</v>
      </c>
      <c r="G27">
        <v>5.11635774150926</v>
      </c>
      <c r="H27">
        <v>0.604599157807309</v>
      </c>
      <c r="I27">
        <v>22.182701110839801</v>
      </c>
      <c r="J27">
        <v>0</v>
      </c>
      <c r="K27">
        <v>601.88073730468795</v>
      </c>
      <c r="L27">
        <v>4.0742747158300698</v>
      </c>
      <c r="M27">
        <v>482.15528994700901</v>
      </c>
      <c r="N27">
        <v>146.88043913294101</v>
      </c>
      <c r="O27">
        <v>36.201518731039101</v>
      </c>
      <c r="P27">
        <v>1.1021704673767101</v>
      </c>
      <c r="Q27">
        <v>18.658983230590799</v>
      </c>
      <c r="R27">
        <v>26.4918117523193</v>
      </c>
      <c r="S27">
        <v>2.63862156867981</v>
      </c>
      <c r="T27">
        <v>10.75</v>
      </c>
      <c r="U27">
        <v>0.80260929259094604</v>
      </c>
      <c r="V27" t="s">
        <v>25</v>
      </c>
      <c r="W27" t="s">
        <v>31</v>
      </c>
    </row>
    <row r="28" spans="1:23" x14ac:dyDescent="0.35">
      <c r="A28">
        <v>2.8350561017201201</v>
      </c>
      <c r="B28">
        <v>2962</v>
      </c>
      <c r="C28">
        <v>861.37927246093795</v>
      </c>
      <c r="D28">
        <v>0.24572667124582201</v>
      </c>
      <c r="E28">
        <v>21.3749841456202</v>
      </c>
      <c r="F28">
        <v>2.81681085588865</v>
      </c>
      <c r="G28">
        <v>18.9880115151125</v>
      </c>
      <c r="H28">
        <v>5.83347235864745</v>
      </c>
      <c r="I28">
        <v>23.120155334472699</v>
      </c>
      <c r="J28">
        <v>14.2265815047024</v>
      </c>
      <c r="K28">
        <v>669.835693359375</v>
      </c>
      <c r="L28">
        <v>25.8470337039135</v>
      </c>
      <c r="M28">
        <v>804.23537357517898</v>
      </c>
      <c r="N28">
        <v>162.76159893098401</v>
      </c>
      <c r="O28">
        <v>41.233949942667003</v>
      </c>
      <c r="P28">
        <v>4.4645147323608398</v>
      </c>
      <c r="Q28">
        <v>29.697944641113299</v>
      </c>
      <c r="R28">
        <v>254.83839416503901</v>
      </c>
      <c r="S28">
        <v>3.81850337982178</v>
      </c>
      <c r="T28">
        <v>8.1315870285034197</v>
      </c>
      <c r="U28">
        <v>1.27927463348362</v>
      </c>
      <c r="V28" t="s">
        <v>29</v>
      </c>
      <c r="W28" t="s">
        <v>26</v>
      </c>
    </row>
    <row r="29" spans="1:23" x14ac:dyDescent="0.35">
      <c r="A29">
        <v>2.93951925261862</v>
      </c>
      <c r="B29">
        <v>498</v>
      </c>
      <c r="C29">
        <v>354.01739501953102</v>
      </c>
      <c r="D29">
        <v>0.48341586158266198</v>
      </c>
      <c r="E29">
        <v>0.90000580037184696</v>
      </c>
      <c r="F29">
        <v>0.69217906463674606</v>
      </c>
      <c r="G29">
        <v>82.168411037439796</v>
      </c>
      <c r="H29">
        <v>3.4426342770270302</v>
      </c>
      <c r="I29">
        <v>102.182319641113</v>
      </c>
      <c r="J29">
        <v>0</v>
      </c>
      <c r="K29">
        <v>1165.30554199219</v>
      </c>
      <c r="L29">
        <v>12.899546607595999</v>
      </c>
      <c r="M29">
        <v>781.48245589459498</v>
      </c>
      <c r="N29">
        <v>155.13589652639899</v>
      </c>
      <c r="O29">
        <v>52.315488408823498</v>
      </c>
      <c r="P29">
        <v>20.326963424682599</v>
      </c>
      <c r="Q29">
        <v>29.126621246337901</v>
      </c>
      <c r="R29">
        <v>141.83082580566401</v>
      </c>
      <c r="S29">
        <v>3.6113092899322501</v>
      </c>
      <c r="T29">
        <v>12.675265312194799</v>
      </c>
      <c r="U29">
        <v>0.73868952959817102</v>
      </c>
      <c r="V29" t="s">
        <v>23</v>
      </c>
      <c r="W29" t="s">
        <v>26</v>
      </c>
    </row>
    <row r="30" spans="1:23" x14ac:dyDescent="0.35">
      <c r="A30">
        <v>2.1522883443830598</v>
      </c>
      <c r="B30">
        <v>359</v>
      </c>
      <c r="C30">
        <v>571.52545166015602</v>
      </c>
      <c r="D30">
        <v>0.170192014148526</v>
      </c>
      <c r="E30">
        <v>4.7117585672134004</v>
      </c>
      <c r="F30">
        <v>36.622120309814598</v>
      </c>
      <c r="G30">
        <v>18.473102657423699</v>
      </c>
      <c r="H30">
        <v>0.51701034999999995</v>
      </c>
      <c r="I30">
        <v>268.31204223632801</v>
      </c>
      <c r="J30">
        <v>0</v>
      </c>
      <c r="K30">
        <v>1435.1435546875</v>
      </c>
      <c r="L30">
        <v>12.6237388165271</v>
      </c>
      <c r="M30">
        <v>805.18059602330902</v>
      </c>
      <c r="N30">
        <v>154.43385414999</v>
      </c>
      <c r="O30">
        <v>54.571375737424802</v>
      </c>
      <c r="P30">
        <v>5.6482815742492702</v>
      </c>
      <c r="Q30">
        <v>24.947574615478501</v>
      </c>
      <c r="R30">
        <v>19.395391464233398</v>
      </c>
      <c r="S30">
        <v>3.6240046024322501</v>
      </c>
      <c r="T30">
        <v>10.75</v>
      </c>
      <c r="U30">
        <v>1.6359968477001401</v>
      </c>
      <c r="V30" t="s">
        <v>27</v>
      </c>
      <c r="W30" t="s">
        <v>31</v>
      </c>
    </row>
    <row r="31" spans="1:23" x14ac:dyDescent="0.35">
      <c r="A31">
        <v>3.13321945673249</v>
      </c>
      <c r="B31">
        <v>2777</v>
      </c>
      <c r="C31">
        <v>1018.46362304688</v>
      </c>
      <c r="D31">
        <v>0.21250938934510799</v>
      </c>
      <c r="E31">
        <v>22.903043429593499</v>
      </c>
      <c r="F31">
        <v>2.0858957177873498</v>
      </c>
      <c r="G31">
        <v>21.615944884793201</v>
      </c>
      <c r="H31">
        <v>6.20022124057789</v>
      </c>
      <c r="I31">
        <v>17.638086318969702</v>
      </c>
      <c r="J31">
        <v>25.777185415541101</v>
      </c>
      <c r="K31">
        <v>709.35632324218795</v>
      </c>
      <c r="L31">
        <v>32.815557917610498</v>
      </c>
      <c r="M31">
        <v>893.73049776671405</v>
      </c>
      <c r="N31">
        <v>162.01567277752</v>
      </c>
      <c r="O31">
        <v>41.710376551893901</v>
      </c>
      <c r="P31">
        <v>5.1229014396667498</v>
      </c>
      <c r="Q31">
        <v>29.154813766479499</v>
      </c>
      <c r="R31">
        <v>282.7109375</v>
      </c>
      <c r="S31">
        <v>3.7847247123718302</v>
      </c>
      <c r="T31">
        <v>7.52183294296265</v>
      </c>
      <c r="U31">
        <v>1.3272642809781801</v>
      </c>
      <c r="V31" t="s">
        <v>29</v>
      </c>
      <c r="W31" t="s">
        <v>26</v>
      </c>
    </row>
    <row r="32" spans="1:23" x14ac:dyDescent="0.35">
      <c r="A32">
        <v>1.3979400086720399</v>
      </c>
      <c r="B32">
        <v>433</v>
      </c>
      <c r="C32">
        <v>122.597709655762</v>
      </c>
      <c r="D32">
        <v>0.29094760770108902</v>
      </c>
      <c r="E32">
        <v>0.13059157460423401</v>
      </c>
      <c r="F32">
        <v>60.356203370498498</v>
      </c>
      <c r="G32">
        <v>4.5531680108400101</v>
      </c>
      <c r="H32">
        <v>0.67543105466237896</v>
      </c>
      <c r="I32">
        <v>52.0672416687012</v>
      </c>
      <c r="J32">
        <v>0</v>
      </c>
      <c r="K32">
        <v>637.95745849609398</v>
      </c>
      <c r="L32">
        <v>4.3809736165844004</v>
      </c>
      <c r="M32">
        <v>517.59529689100896</v>
      </c>
      <c r="N32">
        <v>146.022400402632</v>
      </c>
      <c r="O32">
        <v>38.862518748299003</v>
      </c>
      <c r="P32">
        <v>1.3487868309021001</v>
      </c>
      <c r="Q32">
        <v>19.573205947876001</v>
      </c>
      <c r="R32">
        <v>18.578117370605501</v>
      </c>
      <c r="S32">
        <v>2.1853158473968501</v>
      </c>
      <c r="T32">
        <v>10.72975730896</v>
      </c>
      <c r="U32">
        <v>0.93725470105414299</v>
      </c>
      <c r="V32" t="s">
        <v>25</v>
      </c>
      <c r="W32" t="s">
        <v>31</v>
      </c>
    </row>
    <row r="33" spans="1:23" x14ac:dyDescent="0.35">
      <c r="A33">
        <v>1.88081359228079</v>
      </c>
      <c r="B33">
        <v>602</v>
      </c>
      <c r="C33">
        <v>404.89340209960898</v>
      </c>
      <c r="D33">
        <v>0.47440138041857199</v>
      </c>
      <c r="E33">
        <v>1.3714172995721701</v>
      </c>
      <c r="F33">
        <v>25.4427069126303</v>
      </c>
      <c r="G33">
        <v>46.3839142354378</v>
      </c>
      <c r="H33">
        <v>1.4391607939142499</v>
      </c>
      <c r="I33">
        <v>117.46340179443401</v>
      </c>
      <c r="J33">
        <v>0</v>
      </c>
      <c r="K33">
        <v>1320.82946777344</v>
      </c>
      <c r="L33">
        <v>12.8094910598192</v>
      </c>
      <c r="M33">
        <v>791.12985279521001</v>
      </c>
      <c r="N33">
        <v>154.98807863329299</v>
      </c>
      <c r="O33">
        <v>53.221405592121101</v>
      </c>
      <c r="P33">
        <v>12.473438262939499</v>
      </c>
      <c r="Q33">
        <v>26.4075031280518</v>
      </c>
      <c r="R33">
        <v>69.119102478027301</v>
      </c>
      <c r="S33">
        <v>3.6241078376770002</v>
      </c>
      <c r="T33">
        <v>12.069323539733899</v>
      </c>
      <c r="U33">
        <v>1.29929885253892</v>
      </c>
      <c r="V33" t="s">
        <v>23</v>
      </c>
      <c r="W33" t="s">
        <v>31</v>
      </c>
    </row>
    <row r="34" spans="1:23" x14ac:dyDescent="0.35">
      <c r="A34">
        <v>3.1755118133634501</v>
      </c>
      <c r="B34">
        <v>1860</v>
      </c>
      <c r="C34">
        <v>574.38879394531205</v>
      </c>
      <c r="D34">
        <v>0.34184900391740303</v>
      </c>
      <c r="E34">
        <v>14.2031665750537</v>
      </c>
      <c r="F34">
        <v>1.4086157433598301</v>
      </c>
      <c r="G34">
        <v>34.074918071250202</v>
      </c>
      <c r="H34">
        <v>6.5159623694817697</v>
      </c>
      <c r="I34">
        <v>7.9221253395080602</v>
      </c>
      <c r="J34">
        <v>9.7196967048205405</v>
      </c>
      <c r="K34">
        <v>886.10687255859398</v>
      </c>
      <c r="L34">
        <v>27.221672230079498</v>
      </c>
      <c r="M34">
        <v>872.53716840900404</v>
      </c>
      <c r="N34">
        <v>159.80615059274101</v>
      </c>
      <c r="O34">
        <v>45.564328303102599</v>
      </c>
      <c r="P34">
        <v>7.4843025207519496</v>
      </c>
      <c r="Q34">
        <v>29.756326675415</v>
      </c>
      <c r="R34">
        <v>270.04299926757801</v>
      </c>
      <c r="S34">
        <v>3.74373126029968</v>
      </c>
      <c r="T34">
        <v>9.1732435226440394</v>
      </c>
      <c r="U34">
        <v>1.2904186567915099</v>
      </c>
      <c r="V34" t="s">
        <v>29</v>
      </c>
      <c r="W34" t="s">
        <v>26</v>
      </c>
    </row>
    <row r="35" spans="1:23" x14ac:dyDescent="0.35">
      <c r="A35">
        <v>2.6190933306267401</v>
      </c>
      <c r="B35">
        <v>313</v>
      </c>
      <c r="C35">
        <v>264.39227294921898</v>
      </c>
      <c r="D35">
        <v>0.2304771694826</v>
      </c>
      <c r="E35">
        <v>0.83233418641648005</v>
      </c>
      <c r="F35">
        <v>50.356777753700797</v>
      </c>
      <c r="G35">
        <v>11.934907006868601</v>
      </c>
      <c r="H35">
        <v>0.84279534031413605</v>
      </c>
      <c r="I35">
        <v>91.721076965332003</v>
      </c>
      <c r="J35">
        <v>0</v>
      </c>
      <c r="K35">
        <v>655.27471923828102</v>
      </c>
      <c r="L35">
        <v>4.09625828852419</v>
      </c>
      <c r="M35">
        <v>535.45165165135097</v>
      </c>
      <c r="N35">
        <v>146.52402784003601</v>
      </c>
      <c r="O35">
        <v>40.627045865918802</v>
      </c>
      <c r="P35">
        <v>3.2933399677276598</v>
      </c>
      <c r="Q35">
        <v>19.634840011596701</v>
      </c>
      <c r="R35">
        <v>28.6699333190918</v>
      </c>
      <c r="S35">
        <v>2.4449293613433798</v>
      </c>
      <c r="T35">
        <v>10.75</v>
      </c>
      <c r="U35">
        <v>1.3161955861974599</v>
      </c>
      <c r="V35" t="s">
        <v>25</v>
      </c>
      <c r="W35" t="s">
        <v>31</v>
      </c>
    </row>
    <row r="36" spans="1:23" x14ac:dyDescent="0.35">
      <c r="A36">
        <v>2.2624510897304302</v>
      </c>
      <c r="B36">
        <v>764</v>
      </c>
      <c r="C36">
        <v>700.12561035156205</v>
      </c>
      <c r="D36">
        <v>0.35585918445000903</v>
      </c>
      <c r="E36">
        <v>19.545164061094301</v>
      </c>
      <c r="F36">
        <v>1.2526862766472999</v>
      </c>
      <c r="G36">
        <v>45.169812015813697</v>
      </c>
      <c r="H36">
        <v>6.05448056542056</v>
      </c>
      <c r="I36">
        <v>33.634754180908203</v>
      </c>
      <c r="J36">
        <v>5.9293552768994404</v>
      </c>
      <c r="K36">
        <v>967.0361328125</v>
      </c>
      <c r="L36">
        <v>31.9821802983518</v>
      </c>
      <c r="M36">
        <v>942.40486820408603</v>
      </c>
      <c r="N36">
        <v>159.78721518594699</v>
      </c>
      <c r="O36">
        <v>46.620258393834803</v>
      </c>
      <c r="P36">
        <v>11.1077365875244</v>
      </c>
      <c r="Q36">
        <v>29.630569458007798</v>
      </c>
      <c r="R36">
        <v>251.97305297851599</v>
      </c>
      <c r="S36">
        <v>3.6706092357635498</v>
      </c>
      <c r="T36">
        <v>9.2324657440185494</v>
      </c>
      <c r="U36">
        <v>1.4687157511232301</v>
      </c>
      <c r="V36" t="s">
        <v>23</v>
      </c>
      <c r="W36" t="s">
        <v>26</v>
      </c>
    </row>
    <row r="37" spans="1:23" x14ac:dyDescent="0.35">
      <c r="A37">
        <v>2.3424226808222102</v>
      </c>
      <c r="B37">
        <v>1804</v>
      </c>
      <c r="C37">
        <v>210.22064208984401</v>
      </c>
      <c r="D37">
        <v>0.20749107749741599</v>
      </c>
      <c r="E37">
        <v>1.5169262108981499E-3</v>
      </c>
      <c r="F37">
        <v>53.697284848725602</v>
      </c>
      <c r="G37">
        <v>2.0868753170238601</v>
      </c>
      <c r="H37">
        <v>0.56986547944078902</v>
      </c>
      <c r="I37">
        <v>24.161098480224599</v>
      </c>
      <c r="J37">
        <v>0</v>
      </c>
      <c r="K37">
        <v>681.228759765625</v>
      </c>
      <c r="L37">
        <v>4.0721204222225804</v>
      </c>
      <c r="M37">
        <v>512.22926305552005</v>
      </c>
      <c r="N37">
        <v>147.63861934474301</v>
      </c>
      <c r="O37">
        <v>38.720733017217903</v>
      </c>
      <c r="P37">
        <v>0.57495319843292203</v>
      </c>
      <c r="Q37">
        <v>18.953346252441399</v>
      </c>
      <c r="R37">
        <v>30.094511032104499</v>
      </c>
      <c r="S37">
        <v>2.5342764854431201</v>
      </c>
      <c r="T37">
        <v>8.3442220687866193</v>
      </c>
      <c r="U37">
        <v>0.82566383691237</v>
      </c>
      <c r="V37" t="s">
        <v>25</v>
      </c>
      <c r="W37" t="s">
        <v>31</v>
      </c>
    </row>
    <row r="38" spans="1:23" x14ac:dyDescent="0.35">
      <c r="A38">
        <v>3.23754373814287</v>
      </c>
      <c r="B38">
        <v>55.9</v>
      </c>
      <c r="C38">
        <v>1565.34924316406</v>
      </c>
      <c r="D38">
        <v>0.253537659658986</v>
      </c>
      <c r="E38">
        <v>38.860150884221802</v>
      </c>
      <c r="F38">
        <v>2.5386383121555101</v>
      </c>
      <c r="G38">
        <v>13.4306671194815</v>
      </c>
      <c r="H38">
        <v>10.394392804878001</v>
      </c>
      <c r="I38">
        <v>57.753025054931598</v>
      </c>
      <c r="J38">
        <v>14.5278048989284</v>
      </c>
      <c r="K38">
        <v>906.130859375</v>
      </c>
      <c r="L38">
        <v>58.262507329221599</v>
      </c>
      <c r="M38">
        <v>1056.5923612000499</v>
      </c>
      <c r="N38">
        <v>162.95425214923799</v>
      </c>
      <c r="O38">
        <v>29.869659517632201</v>
      </c>
      <c r="P38">
        <v>15.2785091400146</v>
      </c>
      <c r="Q38">
        <v>31.660026550293001</v>
      </c>
      <c r="R38">
        <v>343.61911010742199</v>
      </c>
      <c r="S38">
        <v>3.7231810092925999</v>
      </c>
      <c r="T38">
        <v>8.8107452392578107</v>
      </c>
      <c r="U38">
        <v>1.4769492494799801</v>
      </c>
      <c r="V38" t="s">
        <v>29</v>
      </c>
      <c r="W38" t="s">
        <v>26</v>
      </c>
    </row>
    <row r="39" spans="1:23" x14ac:dyDescent="0.35">
      <c r="A39">
        <v>2.6263403673750401</v>
      </c>
      <c r="B39">
        <v>129</v>
      </c>
      <c r="C39">
        <v>1473.14416503906</v>
      </c>
      <c r="D39">
        <v>0.28416800111773299</v>
      </c>
      <c r="E39">
        <v>30.749875386647101</v>
      </c>
      <c r="F39">
        <v>0.80775467559820102</v>
      </c>
      <c r="G39">
        <v>11.551362334916099</v>
      </c>
      <c r="H39">
        <v>6.5597437222222199</v>
      </c>
      <c r="I39">
        <v>56.197277069091797</v>
      </c>
      <c r="J39">
        <v>18.9492501960443</v>
      </c>
      <c r="K39">
        <v>921.61608886718795</v>
      </c>
      <c r="L39">
        <v>54.156340427086</v>
      </c>
      <c r="M39">
        <v>1050.2991312996301</v>
      </c>
      <c r="N39">
        <v>162.72267976354399</v>
      </c>
      <c r="O39">
        <v>33.468848462964701</v>
      </c>
      <c r="P39">
        <v>9.6800003051757795</v>
      </c>
      <c r="Q39">
        <v>29.880880355835</v>
      </c>
      <c r="R39">
        <v>282.80978393554699</v>
      </c>
      <c r="S39">
        <v>3.71497583389282</v>
      </c>
      <c r="T39">
        <v>8.2234296798706108</v>
      </c>
      <c r="U39">
        <v>1.3668335935387601</v>
      </c>
      <c r="V39" t="s">
        <v>29</v>
      </c>
      <c r="W39" t="s">
        <v>26</v>
      </c>
    </row>
    <row r="40" spans="1:23" x14ac:dyDescent="0.35">
      <c r="A40">
        <v>0.69897000433601897</v>
      </c>
      <c r="B40">
        <v>841</v>
      </c>
      <c r="C40">
        <v>215.25958251953099</v>
      </c>
      <c r="D40">
        <v>0.46686485321747601</v>
      </c>
      <c r="E40">
        <v>6.0831835511289699E-2</v>
      </c>
      <c r="F40">
        <v>74.682674741230102</v>
      </c>
      <c r="G40">
        <v>2.9982303173921601</v>
      </c>
      <c r="H40">
        <v>0.78730959590043903</v>
      </c>
      <c r="I40">
        <v>39.908737182617202</v>
      </c>
      <c r="J40">
        <v>0</v>
      </c>
      <c r="K40">
        <v>810.20379638671898</v>
      </c>
      <c r="L40">
        <v>6.2821626604580496</v>
      </c>
      <c r="M40">
        <v>594.62321146980696</v>
      </c>
      <c r="N40">
        <v>151.007605880987</v>
      </c>
      <c r="O40">
        <v>43.362776240364397</v>
      </c>
      <c r="P40">
        <v>0.69830644130706798</v>
      </c>
      <c r="Q40">
        <v>25.357282638549801</v>
      </c>
      <c r="R40">
        <v>21.8348712921143</v>
      </c>
      <c r="S40">
        <v>2.4111301898956299</v>
      </c>
      <c r="T40">
        <v>13.630201339721699</v>
      </c>
      <c r="U40">
        <v>0.70201173259363303</v>
      </c>
      <c r="V40" t="s">
        <v>23</v>
      </c>
      <c r="W40" t="s">
        <v>31</v>
      </c>
    </row>
    <row r="41" spans="1:23" x14ac:dyDescent="0.35">
      <c r="A41">
        <v>1.3979400086720399</v>
      </c>
      <c r="B41">
        <v>153</v>
      </c>
      <c r="C41">
        <v>26.643671035766602</v>
      </c>
      <c r="D41">
        <v>0.63602215739592405</v>
      </c>
      <c r="E41">
        <v>1</v>
      </c>
      <c r="F41">
        <v>4.9849195633356604</v>
      </c>
      <c r="G41">
        <v>59.956629122499699</v>
      </c>
      <c r="H41">
        <v>3.75662456666667</v>
      </c>
      <c r="I41">
        <v>195.74348449707</v>
      </c>
      <c r="J41">
        <v>0</v>
      </c>
      <c r="K41">
        <v>1401.11108398438</v>
      </c>
      <c r="L41">
        <v>14.658208362391701</v>
      </c>
      <c r="M41">
        <v>674.10144042968795</v>
      </c>
      <c r="N41">
        <v>165.26793282931001</v>
      </c>
      <c r="O41">
        <v>41.612852127825597</v>
      </c>
      <c r="P41">
        <v>15.2212724685669</v>
      </c>
      <c r="Q41">
        <v>22.644935607910199</v>
      </c>
      <c r="R41">
        <v>155.292236328125</v>
      </c>
      <c r="S41">
        <v>3.4987831115722701</v>
      </c>
      <c r="T41">
        <v>17.4083042144775</v>
      </c>
      <c r="U41">
        <v>1.10368203906272</v>
      </c>
      <c r="V41" t="s">
        <v>32</v>
      </c>
      <c r="W41" t="s">
        <v>33</v>
      </c>
    </row>
    <row r="42" spans="1:23" x14ac:dyDescent="0.35">
      <c r="A42">
        <v>2.3443922736851102</v>
      </c>
      <c r="B42">
        <v>304</v>
      </c>
      <c r="C42">
        <v>646.99688720703102</v>
      </c>
      <c r="D42">
        <v>0.448594368727393</v>
      </c>
      <c r="E42">
        <v>7.5541146052153003</v>
      </c>
      <c r="F42">
        <v>0.470142784818952</v>
      </c>
      <c r="G42">
        <v>71.188669540192706</v>
      </c>
      <c r="H42">
        <v>4.1876292989690702</v>
      </c>
      <c r="I42">
        <v>25.834306716918899</v>
      </c>
      <c r="J42">
        <v>0</v>
      </c>
      <c r="K42">
        <v>1094.76184082031</v>
      </c>
      <c r="L42">
        <v>29.806300022563001</v>
      </c>
      <c r="M42">
        <v>989.27728171426702</v>
      </c>
      <c r="N42">
        <v>154.76719915671401</v>
      </c>
      <c r="O42">
        <v>52.745682012839403</v>
      </c>
      <c r="P42">
        <v>16.286226272583001</v>
      </c>
      <c r="Q42">
        <v>32.647216796875</v>
      </c>
      <c r="R42">
        <v>162.90011596679699</v>
      </c>
      <c r="S42">
        <v>3.6763057708740199</v>
      </c>
      <c r="T42">
        <v>15.524329185485801</v>
      </c>
      <c r="U42">
        <v>1.0232159912271399</v>
      </c>
      <c r="V42" t="s">
        <v>23</v>
      </c>
      <c r="W42" t="s">
        <v>26</v>
      </c>
    </row>
    <row r="43" spans="1:23" x14ac:dyDescent="0.35">
      <c r="A43">
        <v>2.1271047983648099</v>
      </c>
      <c r="B43">
        <v>238</v>
      </c>
      <c r="C43">
        <v>1277.5986328125</v>
      </c>
      <c r="D43">
        <v>0.25204815431672301</v>
      </c>
      <c r="E43">
        <v>37.347743120395698</v>
      </c>
      <c r="F43">
        <v>1.17829712879487</v>
      </c>
      <c r="G43">
        <v>14.117827234238</v>
      </c>
      <c r="H43">
        <v>7.7662413840579703</v>
      </c>
      <c r="I43">
        <v>19.4784126281738</v>
      </c>
      <c r="J43">
        <v>12.6852985696784</v>
      </c>
      <c r="K43">
        <v>855.0029296875</v>
      </c>
      <c r="L43">
        <v>51.0912734485063</v>
      </c>
      <c r="M43">
        <v>1064.51193487449</v>
      </c>
      <c r="N43">
        <v>161.86360268514699</v>
      </c>
      <c r="O43">
        <v>37.683912933849903</v>
      </c>
      <c r="P43">
        <v>3.8679139614105198</v>
      </c>
      <c r="Q43">
        <v>30.6658821105957</v>
      </c>
      <c r="R43">
        <v>325.15002441406199</v>
      </c>
      <c r="S43">
        <v>3.7156329154968302</v>
      </c>
      <c r="T43">
        <v>7.9668040275573704</v>
      </c>
      <c r="U43">
        <v>1.2682841665456901</v>
      </c>
      <c r="V43" t="s">
        <v>29</v>
      </c>
      <c r="W43" t="s">
        <v>26</v>
      </c>
    </row>
    <row r="44" spans="1:23" x14ac:dyDescent="0.35">
      <c r="A44">
        <v>3.1112625136590699</v>
      </c>
      <c r="B44">
        <v>778</v>
      </c>
      <c r="C44">
        <v>1786.68786621094</v>
      </c>
      <c r="D44">
        <v>0.17729493102372099</v>
      </c>
      <c r="E44">
        <v>35.997800694737798</v>
      </c>
      <c r="F44">
        <v>0.79365755724063602</v>
      </c>
      <c r="G44">
        <v>6.8417250380214503</v>
      </c>
      <c r="H44">
        <v>5.10530968025751</v>
      </c>
      <c r="I44">
        <v>4.5363030433654803</v>
      </c>
      <c r="J44">
        <v>39.439625408023502</v>
      </c>
      <c r="K44">
        <v>780.51959228515602</v>
      </c>
      <c r="L44">
        <v>57.780570045846403</v>
      </c>
      <c r="M44">
        <v>1123.6729676293501</v>
      </c>
      <c r="N44">
        <v>162.32101365386501</v>
      </c>
      <c r="O44">
        <v>35.897833714719702</v>
      </c>
      <c r="P44">
        <v>3.9481003284454301</v>
      </c>
      <c r="Q44">
        <v>30.6594123840332</v>
      </c>
      <c r="R44">
        <v>244.34017944335901</v>
      </c>
      <c r="S44">
        <v>3.75466012954712</v>
      </c>
      <c r="T44">
        <v>8.6642885208129901</v>
      </c>
      <c r="U44">
        <v>1.0384097973997799</v>
      </c>
      <c r="V44" t="s">
        <v>29</v>
      </c>
      <c r="W44" t="s">
        <v>24</v>
      </c>
    </row>
    <row r="45" spans="1:23" x14ac:dyDescent="0.35">
      <c r="A45">
        <v>2.04139268515822</v>
      </c>
      <c r="B45">
        <v>893</v>
      </c>
      <c r="C45">
        <v>84.455581665039105</v>
      </c>
      <c r="D45">
        <v>0.43368471456402502</v>
      </c>
      <c r="E45">
        <v>0.56370290947796298</v>
      </c>
      <c r="F45">
        <v>6.3571402861050696</v>
      </c>
      <c r="G45">
        <v>25.603685626743399</v>
      </c>
      <c r="H45">
        <v>3.7604822521739099</v>
      </c>
      <c r="I45">
        <v>80.700347900390597</v>
      </c>
      <c r="J45">
        <v>0</v>
      </c>
      <c r="K45">
        <v>743.770263671875</v>
      </c>
      <c r="L45">
        <v>8.0335748938263407</v>
      </c>
      <c r="M45">
        <v>534.29716416656004</v>
      </c>
      <c r="N45">
        <v>168.86757072073499</v>
      </c>
      <c r="O45">
        <v>36.594953505719303</v>
      </c>
      <c r="P45">
        <v>6.4969334602356001</v>
      </c>
      <c r="Q45">
        <v>26.434139251708999</v>
      </c>
      <c r="R45">
        <v>128.449462890625</v>
      </c>
      <c r="S45">
        <v>3.2291390895843501</v>
      </c>
      <c r="T45">
        <v>16.717004776001001</v>
      </c>
      <c r="U45">
        <v>0.96021301380927204</v>
      </c>
      <c r="V45" t="s">
        <v>32</v>
      </c>
      <c r="W45" t="s">
        <v>33</v>
      </c>
    </row>
    <row r="46" spans="1:23" x14ac:dyDescent="0.35">
      <c r="A46">
        <v>3.1089031276673098</v>
      </c>
      <c r="B46">
        <v>140</v>
      </c>
      <c r="C46">
        <v>796.614501953125</v>
      </c>
      <c r="D46">
        <v>0.31721949856277298</v>
      </c>
      <c r="E46">
        <v>2.6534679466995499</v>
      </c>
      <c r="F46">
        <v>1.2969523720173399</v>
      </c>
      <c r="G46">
        <v>62.054372208043901</v>
      </c>
      <c r="H46">
        <v>3.6332501063829801</v>
      </c>
      <c r="I46">
        <v>48.3058471679688</v>
      </c>
      <c r="J46">
        <v>0</v>
      </c>
      <c r="K46">
        <v>839.444580078125</v>
      </c>
      <c r="L46">
        <v>27.059840327403599</v>
      </c>
      <c r="M46">
        <v>910.54954453765401</v>
      </c>
      <c r="N46">
        <v>152.23062609062799</v>
      </c>
      <c r="O46">
        <v>48.919439784816099</v>
      </c>
      <c r="P46">
        <v>13.249448776245099</v>
      </c>
      <c r="Q46">
        <v>34.356723785400398</v>
      </c>
      <c r="R46">
        <v>127.96792602539099</v>
      </c>
      <c r="S46">
        <v>3.2364149093627899</v>
      </c>
      <c r="T46">
        <v>12.609194755554199</v>
      </c>
      <c r="U46">
        <v>1.0197387798650599</v>
      </c>
      <c r="V46" t="s">
        <v>23</v>
      </c>
      <c r="W46" t="s">
        <v>26</v>
      </c>
    </row>
    <row r="47" spans="1:23" x14ac:dyDescent="0.35">
      <c r="A47">
        <v>1.3664229572259701</v>
      </c>
      <c r="B47">
        <v>315</v>
      </c>
      <c r="C47">
        <v>785.96038818359398</v>
      </c>
      <c r="D47">
        <v>0.21043407325942301</v>
      </c>
      <c r="E47">
        <v>8.2361623598248196E-2</v>
      </c>
      <c r="F47">
        <v>7.5633094811543504</v>
      </c>
      <c r="G47">
        <v>12.0824658472155</v>
      </c>
      <c r="H47">
        <v>3.7309718823529399</v>
      </c>
      <c r="I47">
        <v>74.790252685546903</v>
      </c>
      <c r="J47">
        <v>0</v>
      </c>
      <c r="K47">
        <v>442.82308959960898</v>
      </c>
      <c r="L47">
        <v>4.3421662811373096</v>
      </c>
      <c r="M47">
        <v>466.77618308145497</v>
      </c>
      <c r="N47">
        <v>170.765125212122</v>
      </c>
      <c r="O47">
        <v>34.665814602961298</v>
      </c>
      <c r="P47">
        <v>3.9000759124755899</v>
      </c>
      <c r="Q47">
        <v>28.601198196411101</v>
      </c>
      <c r="R47">
        <v>126.216552734375</v>
      </c>
      <c r="S47">
        <v>2.7261297702789302</v>
      </c>
      <c r="T47">
        <v>17.0722141265869</v>
      </c>
      <c r="U47">
        <v>0.69988138870615002</v>
      </c>
      <c r="V47" t="s">
        <v>34</v>
      </c>
      <c r="W47" t="s">
        <v>35</v>
      </c>
    </row>
    <row r="48" spans="1:23" x14ac:dyDescent="0.35">
      <c r="A48">
        <v>1.5797835966168099</v>
      </c>
      <c r="B48">
        <v>148</v>
      </c>
      <c r="C48">
        <v>827.30364990234398</v>
      </c>
      <c r="D48">
        <v>0.22827694494394701</v>
      </c>
      <c r="E48">
        <v>4.9398239419866999E-2</v>
      </c>
      <c r="F48">
        <v>2.85898923910865</v>
      </c>
      <c r="G48">
        <v>23.177889804783302</v>
      </c>
      <c r="H48">
        <v>2.7447103736263698</v>
      </c>
      <c r="I48">
        <v>38.2409477233887</v>
      </c>
      <c r="J48">
        <v>0</v>
      </c>
      <c r="K48">
        <v>691.062255859375</v>
      </c>
      <c r="L48">
        <v>10.5353851318359</v>
      </c>
      <c r="M48">
        <v>670.21843331759101</v>
      </c>
      <c r="N48">
        <v>154.215728259477</v>
      </c>
      <c r="O48">
        <v>45.398109123355098</v>
      </c>
      <c r="P48">
        <v>3.49431347846985</v>
      </c>
      <c r="Q48">
        <v>30.513257980346701</v>
      </c>
      <c r="R48">
        <v>78.949279785156193</v>
      </c>
      <c r="S48">
        <v>2.2594799995422399</v>
      </c>
      <c r="T48">
        <v>10.75</v>
      </c>
      <c r="U48">
        <v>0.96939748006767401</v>
      </c>
      <c r="V48" t="s">
        <v>23</v>
      </c>
      <c r="W48" t="s">
        <v>26</v>
      </c>
    </row>
    <row r="49" spans="1:23" x14ac:dyDescent="0.35">
      <c r="A49">
        <v>0.95424250943932498</v>
      </c>
      <c r="B49">
        <v>144</v>
      </c>
      <c r="C49">
        <v>1242.99853515625</v>
      </c>
      <c r="D49">
        <v>0.25022594940583298</v>
      </c>
      <c r="E49">
        <v>16.178018809927199</v>
      </c>
      <c r="F49">
        <v>2.2943374925208802</v>
      </c>
      <c r="G49">
        <v>16.7103390465373</v>
      </c>
      <c r="H49">
        <v>6.1486651428571397</v>
      </c>
      <c r="I49">
        <v>50.2711372375488</v>
      </c>
      <c r="J49">
        <v>0</v>
      </c>
      <c r="K49">
        <v>677.75238037109398</v>
      </c>
      <c r="L49">
        <v>18.431955532949502</v>
      </c>
      <c r="M49">
        <v>718.85039232598001</v>
      </c>
      <c r="N49">
        <v>167.81799491507101</v>
      </c>
      <c r="O49">
        <v>41.5461230356185</v>
      </c>
      <c r="P49">
        <v>3.7025997638702401</v>
      </c>
      <c r="Q49">
        <v>29.782777786254901</v>
      </c>
      <c r="R49">
        <v>179.45951843261699</v>
      </c>
      <c r="S49">
        <v>2.9670701026916499</v>
      </c>
      <c r="T49">
        <v>17.2638053894043</v>
      </c>
      <c r="U49">
        <v>1.0391438290564801</v>
      </c>
      <c r="V49" t="s">
        <v>29</v>
      </c>
      <c r="W49" t="s">
        <v>36</v>
      </c>
    </row>
    <row r="50" spans="1:23" x14ac:dyDescent="0.35">
      <c r="A50">
        <v>2.5502283530550902</v>
      </c>
      <c r="B50">
        <v>1150</v>
      </c>
      <c r="C50">
        <v>694.945068359375</v>
      </c>
      <c r="D50">
        <v>0.34945202815099202</v>
      </c>
      <c r="E50">
        <v>19.185027404170299</v>
      </c>
      <c r="F50">
        <v>0.66011640857017295</v>
      </c>
      <c r="G50">
        <v>27.3767180871119</v>
      </c>
      <c r="H50">
        <v>6.6080512660300101</v>
      </c>
      <c r="I50">
        <v>13.448693275451699</v>
      </c>
      <c r="J50">
        <v>115.086081083853</v>
      </c>
      <c r="K50">
        <v>874.82873535156205</v>
      </c>
      <c r="L50">
        <v>46.8297212944656</v>
      </c>
      <c r="M50">
        <v>1036.8570386542599</v>
      </c>
      <c r="N50">
        <v>160.34555453941499</v>
      </c>
      <c r="O50">
        <v>39.674049877729601</v>
      </c>
      <c r="P50">
        <v>15.171317100524901</v>
      </c>
      <c r="Q50">
        <v>32.541637420654297</v>
      </c>
      <c r="R50">
        <v>241.28480529785199</v>
      </c>
      <c r="S50">
        <v>3.7113492488861102</v>
      </c>
      <c r="T50">
        <v>9.8754339218139595</v>
      </c>
      <c r="U50">
        <v>1.39027403731358</v>
      </c>
      <c r="V50" t="s">
        <v>29</v>
      </c>
      <c r="W50" t="s">
        <v>26</v>
      </c>
    </row>
    <row r="51" spans="1:23" x14ac:dyDescent="0.35">
      <c r="A51">
        <v>2.2671717284030102</v>
      </c>
      <c r="B51">
        <v>552</v>
      </c>
      <c r="C51">
        <v>1847.70251464844</v>
      </c>
      <c r="D51">
        <v>0.16273711519533801</v>
      </c>
      <c r="E51">
        <v>24.7506337182894</v>
      </c>
      <c r="F51">
        <v>0.38423778238795703</v>
      </c>
      <c r="G51">
        <v>13.6720112300337</v>
      </c>
      <c r="H51">
        <v>5.2023676500000002</v>
      </c>
      <c r="I51">
        <v>17.996599197387699</v>
      </c>
      <c r="J51">
        <v>19.643487550972399</v>
      </c>
      <c r="K51">
        <v>761.93328857421898</v>
      </c>
      <c r="L51">
        <v>53.794568421410702</v>
      </c>
      <c r="M51">
        <v>1095.2273119316701</v>
      </c>
      <c r="N51">
        <v>163.255078425173</v>
      </c>
      <c r="O51">
        <v>37.5269445200435</v>
      </c>
      <c r="P51">
        <v>3.6724319458007799</v>
      </c>
      <c r="Q51">
        <v>31.9821262359619</v>
      </c>
      <c r="R51">
        <v>247.96311950683599</v>
      </c>
      <c r="S51">
        <v>3.7284026145935099</v>
      </c>
      <c r="T51">
        <v>9.1679058074951207</v>
      </c>
      <c r="U51">
        <v>1.1067879833132099</v>
      </c>
      <c r="V51" t="s">
        <v>29</v>
      </c>
      <c r="W51" t="s">
        <v>24</v>
      </c>
    </row>
    <row r="52" spans="1:23" x14ac:dyDescent="0.35">
      <c r="A52">
        <v>1.6901960800285101</v>
      </c>
      <c r="B52">
        <v>268</v>
      </c>
      <c r="C52">
        <v>996.107421875</v>
      </c>
      <c r="D52">
        <v>0.212967150807265</v>
      </c>
      <c r="E52">
        <v>7.0448784362036998E-2</v>
      </c>
      <c r="F52">
        <v>2.95001341336113</v>
      </c>
      <c r="G52">
        <v>13.2809072546429</v>
      </c>
      <c r="H52">
        <v>2.7401693043478299</v>
      </c>
      <c r="I52">
        <v>34.939712524414098</v>
      </c>
      <c r="J52">
        <v>0</v>
      </c>
      <c r="K52">
        <v>606.66680908203102</v>
      </c>
      <c r="L52">
        <v>17.924592143199501</v>
      </c>
      <c r="M52">
        <v>745.882861027952</v>
      </c>
      <c r="N52">
        <v>154.470257868532</v>
      </c>
      <c r="O52">
        <v>44.324097492655802</v>
      </c>
      <c r="P52">
        <v>1.34156405925751</v>
      </c>
      <c r="Q52">
        <v>30.216844558715799</v>
      </c>
      <c r="R52">
        <v>101.36863708496099</v>
      </c>
      <c r="S52">
        <v>2.2920479774475102</v>
      </c>
      <c r="T52">
        <v>12.173552513122599</v>
      </c>
      <c r="U52">
        <v>0.57998209153637004</v>
      </c>
      <c r="V52" t="s">
        <v>23</v>
      </c>
      <c r="W52" t="s">
        <v>26</v>
      </c>
    </row>
    <row r="53" spans="1:23" x14ac:dyDescent="0.35">
      <c r="A53">
        <v>1.90308998699194</v>
      </c>
      <c r="B53">
        <v>439</v>
      </c>
      <c r="C53">
        <v>718.1806640625</v>
      </c>
      <c r="D53">
        <v>0.35232472590567898</v>
      </c>
      <c r="E53">
        <v>6.40014517724362</v>
      </c>
      <c r="F53">
        <v>8.3946728205629206</v>
      </c>
      <c r="G53">
        <v>22.4283703330245</v>
      </c>
      <c r="H53">
        <v>4.4087019262820499</v>
      </c>
      <c r="I53">
        <v>55.424369812011697</v>
      </c>
      <c r="J53">
        <v>0</v>
      </c>
      <c r="K53">
        <v>800.23883056640602</v>
      </c>
      <c r="L53">
        <v>12.463154292497499</v>
      </c>
      <c r="M53">
        <v>675.68526471247401</v>
      </c>
      <c r="N53">
        <v>166.450381919986</v>
      </c>
      <c r="O53">
        <v>43.927878082775699</v>
      </c>
      <c r="P53">
        <v>3.7706441879272501</v>
      </c>
      <c r="Q53">
        <v>27.988075256347699</v>
      </c>
      <c r="R53">
        <v>132.74485778808599</v>
      </c>
      <c r="S53">
        <v>3.0171031951904301</v>
      </c>
      <c r="T53">
        <v>19.837530136108398</v>
      </c>
      <c r="U53">
        <v>1.0845038043125299</v>
      </c>
      <c r="V53" t="s">
        <v>23</v>
      </c>
      <c r="W53" t="s">
        <v>36</v>
      </c>
    </row>
    <row r="54" spans="1:23" x14ac:dyDescent="0.35">
      <c r="A54">
        <v>2.85369821177617</v>
      </c>
      <c r="B54">
        <v>695</v>
      </c>
      <c r="C54">
        <v>782.78765869140602</v>
      </c>
      <c r="D54">
        <v>0.31824014656296101</v>
      </c>
      <c r="E54">
        <v>19.0060398539026</v>
      </c>
      <c r="F54">
        <v>0.186038071637324</v>
      </c>
      <c r="G54">
        <v>18.301108509425799</v>
      </c>
      <c r="H54">
        <v>7.2553221353210997</v>
      </c>
      <c r="I54">
        <v>13.099668502807599</v>
      </c>
      <c r="J54">
        <v>115.06528730932899</v>
      </c>
      <c r="K54">
        <v>819.87170410156205</v>
      </c>
      <c r="L54">
        <v>52.364635029777197</v>
      </c>
      <c r="M54">
        <v>1057.27433101466</v>
      </c>
      <c r="N54">
        <v>160.226370389344</v>
      </c>
      <c r="O54">
        <v>35.847329811971697</v>
      </c>
      <c r="P54">
        <v>20.794879913330099</v>
      </c>
      <c r="Q54">
        <v>32.827522277832003</v>
      </c>
      <c r="R54">
        <v>284.43588256835898</v>
      </c>
      <c r="S54">
        <v>3.7012193202972399</v>
      </c>
      <c r="T54">
        <v>8.8078212738037092</v>
      </c>
      <c r="U54">
        <v>1.23147979378387</v>
      </c>
      <c r="V54" t="s">
        <v>28</v>
      </c>
      <c r="W54" t="s">
        <v>26</v>
      </c>
    </row>
    <row r="55" spans="1:23" x14ac:dyDescent="0.35">
      <c r="A55">
        <v>1.8195439355418701</v>
      </c>
      <c r="B55">
        <v>415</v>
      </c>
      <c r="C55">
        <v>684.95721435546898</v>
      </c>
      <c r="D55">
        <v>0.238990432571209</v>
      </c>
      <c r="E55">
        <v>2.1682806023871301E-3</v>
      </c>
      <c r="F55">
        <v>6.12528092469545</v>
      </c>
      <c r="G55">
        <v>24.149523025912401</v>
      </c>
      <c r="H55">
        <v>2.3280082267658</v>
      </c>
      <c r="I55">
        <v>44.195014953613303</v>
      </c>
      <c r="J55">
        <v>0</v>
      </c>
      <c r="K55">
        <v>724.14251708984398</v>
      </c>
      <c r="L55">
        <v>12.5914191496177</v>
      </c>
      <c r="M55">
        <v>692.637687307889</v>
      </c>
      <c r="N55">
        <v>153.94126591916901</v>
      </c>
      <c r="O55">
        <v>45.232185426305499</v>
      </c>
      <c r="P55">
        <v>3.8889715671539302</v>
      </c>
      <c r="Q55">
        <v>30.158239364623999</v>
      </c>
      <c r="R55">
        <v>81.954086303710895</v>
      </c>
      <c r="S55">
        <v>2.25457739830017</v>
      </c>
      <c r="T55">
        <v>15.2818517684937</v>
      </c>
      <c r="U55">
        <v>0.85219585826350097</v>
      </c>
      <c r="V55" t="s">
        <v>23</v>
      </c>
      <c r="W55" t="s">
        <v>26</v>
      </c>
    </row>
    <row r="56" spans="1:23" x14ac:dyDescent="0.35">
      <c r="A56">
        <v>2.2121876044039599</v>
      </c>
      <c r="B56">
        <v>433</v>
      </c>
      <c r="C56">
        <v>1739.79541015625</v>
      </c>
      <c r="D56">
        <v>0.17993774801173901</v>
      </c>
      <c r="E56">
        <v>35.505603909924403</v>
      </c>
      <c r="F56">
        <v>0.37243870390134798</v>
      </c>
      <c r="G56">
        <v>8.1889459382256895</v>
      </c>
      <c r="H56">
        <v>7.4200162740384599</v>
      </c>
      <c r="I56">
        <v>45.160499572753899</v>
      </c>
      <c r="J56">
        <v>70.6793677594152</v>
      </c>
      <c r="K56">
        <v>762.03363037109398</v>
      </c>
      <c r="L56">
        <v>62.01014546879</v>
      </c>
      <c r="M56">
        <v>1050.8696949442899</v>
      </c>
      <c r="N56">
        <v>163.11110674748701</v>
      </c>
      <c r="O56">
        <v>25.746012171760899</v>
      </c>
      <c r="P56">
        <v>15.497662544250501</v>
      </c>
      <c r="Q56">
        <v>32.284950256347699</v>
      </c>
      <c r="R56">
        <v>273.96139526367199</v>
      </c>
      <c r="S56">
        <v>3.6587858200073198</v>
      </c>
      <c r="T56">
        <v>8.9061927795410192</v>
      </c>
      <c r="U56">
        <v>1.2181124560168599</v>
      </c>
      <c r="V56" t="s">
        <v>28</v>
      </c>
      <c r="W56" t="s">
        <v>26</v>
      </c>
    </row>
    <row r="57" spans="1:23" x14ac:dyDescent="0.35">
      <c r="A57">
        <v>1.4771212547196599</v>
      </c>
      <c r="B57">
        <v>105</v>
      </c>
      <c r="C57">
        <v>1335.75769042969</v>
      </c>
      <c r="D57">
        <v>9.1181251180425804E-2</v>
      </c>
      <c r="E57">
        <v>0.23804801868684999</v>
      </c>
      <c r="F57">
        <v>2.4583212258296898</v>
      </c>
      <c r="G57">
        <v>1.20271871537147</v>
      </c>
      <c r="H57">
        <v>2.1575941428571399</v>
      </c>
      <c r="I57">
        <v>33.953617095947301</v>
      </c>
      <c r="J57">
        <v>0</v>
      </c>
      <c r="K57">
        <v>804.77655029296898</v>
      </c>
      <c r="L57">
        <v>10.301812046864001</v>
      </c>
      <c r="M57">
        <v>664.36062972271998</v>
      </c>
      <c r="N57">
        <v>167.20415884549499</v>
      </c>
      <c r="O57">
        <v>45.147897689068898</v>
      </c>
      <c r="P57">
        <v>0.51414006948471103</v>
      </c>
      <c r="Q57">
        <v>30.261753082275401</v>
      </c>
      <c r="R57">
        <v>92.893814086914105</v>
      </c>
      <c r="S57">
        <v>3.2283384799957302</v>
      </c>
      <c r="T57">
        <v>12.0412702560425</v>
      </c>
      <c r="U57">
        <v>0.25804046665013902</v>
      </c>
      <c r="V57" t="s">
        <v>23</v>
      </c>
      <c r="W57" t="s">
        <v>36</v>
      </c>
    </row>
    <row r="58" spans="1:23" x14ac:dyDescent="0.35">
      <c r="A58">
        <v>1.43136376415899</v>
      </c>
      <c r="B58">
        <v>201</v>
      </c>
      <c r="C58">
        <v>718.109130859375</v>
      </c>
      <c r="D58">
        <v>0.26934895459306801</v>
      </c>
      <c r="E58">
        <v>1</v>
      </c>
      <c r="F58">
        <v>1.0202338260035</v>
      </c>
      <c r="G58">
        <v>58.443395071012297</v>
      </c>
      <c r="H58">
        <v>4.1508516806722699</v>
      </c>
      <c r="I58">
        <v>33.449531555175803</v>
      </c>
      <c r="J58">
        <v>0</v>
      </c>
      <c r="K58">
        <v>892.06768798828102</v>
      </c>
      <c r="L58">
        <v>8.6529471874237096</v>
      </c>
      <c r="M58">
        <v>624.15991911340905</v>
      </c>
      <c r="N58">
        <v>169.43858362416799</v>
      </c>
      <c r="O58">
        <v>43.4551380970439</v>
      </c>
      <c r="P58">
        <v>10.306282043456999</v>
      </c>
      <c r="Q58">
        <v>27.316385269165</v>
      </c>
      <c r="R58">
        <v>150.32156372070301</v>
      </c>
      <c r="S58">
        <v>2.70350885391235</v>
      </c>
      <c r="T58">
        <v>14.759579658508301</v>
      </c>
      <c r="U58">
        <v>0.88816535941913599</v>
      </c>
      <c r="V58" t="s">
        <v>23</v>
      </c>
      <c r="W58" t="s">
        <v>37</v>
      </c>
    </row>
    <row r="59" spans="1:23" x14ac:dyDescent="0.35">
      <c r="A59">
        <v>1.4771212547196599</v>
      </c>
      <c r="B59">
        <v>238</v>
      </c>
      <c r="C59">
        <v>753.52355957031205</v>
      </c>
      <c r="D59">
        <v>0.24076570117579599</v>
      </c>
      <c r="E59">
        <v>0.18069568858948801</v>
      </c>
      <c r="F59">
        <v>5.71565321780351</v>
      </c>
      <c r="G59">
        <v>32.262281905809203</v>
      </c>
      <c r="H59">
        <v>3.68251271052632</v>
      </c>
      <c r="I59">
        <v>63.635868072509801</v>
      </c>
      <c r="J59">
        <v>0</v>
      </c>
      <c r="K59">
        <v>945.84521484375</v>
      </c>
      <c r="L59">
        <v>8.6167421223687306</v>
      </c>
      <c r="M59">
        <v>647.75169397572995</v>
      </c>
      <c r="N59">
        <v>169.11549477499</v>
      </c>
      <c r="O59">
        <v>45.4417376283739</v>
      </c>
      <c r="P59">
        <v>5.6040625572204599</v>
      </c>
      <c r="Q59">
        <v>26.223587036132798</v>
      </c>
      <c r="R59">
        <v>127.70645904541</v>
      </c>
      <c r="S59">
        <v>2.7535815238952601</v>
      </c>
      <c r="T59">
        <v>16.644006729126001</v>
      </c>
      <c r="U59">
        <v>0.93434022356643198</v>
      </c>
      <c r="V59" t="s">
        <v>23</v>
      </c>
      <c r="W59" t="s">
        <v>37</v>
      </c>
    </row>
    <row r="60" spans="1:23" x14ac:dyDescent="0.35">
      <c r="A60">
        <v>1.79865064544527</v>
      </c>
      <c r="B60">
        <v>319.39999999999998</v>
      </c>
      <c r="C60">
        <v>949.70233154296898</v>
      </c>
      <c r="D60">
        <v>0.26354188700485998</v>
      </c>
      <c r="E60">
        <v>2.7383194596178302</v>
      </c>
      <c r="F60">
        <v>1.1271503181962399</v>
      </c>
      <c r="G60">
        <v>32.2026633615124</v>
      </c>
      <c r="H60">
        <v>4.6948317777777797</v>
      </c>
      <c r="I60">
        <v>39.228500366210902</v>
      </c>
      <c r="J60">
        <v>0</v>
      </c>
      <c r="K60">
        <v>739.02600097656205</v>
      </c>
      <c r="L60">
        <v>11.913645122872</v>
      </c>
      <c r="M60">
        <v>670.23541559938496</v>
      </c>
      <c r="N60">
        <v>168.56506672843599</v>
      </c>
      <c r="O60">
        <v>44.0213866937356</v>
      </c>
      <c r="P60">
        <v>5.6785206794738796</v>
      </c>
      <c r="Q60">
        <v>29.894584655761701</v>
      </c>
      <c r="R60">
        <v>167.39549255371099</v>
      </c>
      <c r="S60">
        <v>3.2984929084777801</v>
      </c>
      <c r="T60">
        <v>16.647710800170898</v>
      </c>
      <c r="U60">
        <v>0.88421462425406905</v>
      </c>
      <c r="V60" t="s">
        <v>23</v>
      </c>
      <c r="W60" t="s">
        <v>37</v>
      </c>
    </row>
    <row r="61" spans="1:23" x14ac:dyDescent="0.35">
      <c r="A61">
        <v>2.17318626841227</v>
      </c>
      <c r="B61">
        <v>1080</v>
      </c>
      <c r="C61">
        <v>992.95281982421898</v>
      </c>
      <c r="D61">
        <v>0.30020046336901901</v>
      </c>
      <c r="E61">
        <v>9.5389202296230806</v>
      </c>
      <c r="F61">
        <v>0.53921720603180501</v>
      </c>
      <c r="G61">
        <v>18.896130912693099</v>
      </c>
      <c r="H61">
        <v>4.26562766176471</v>
      </c>
      <c r="I61">
        <v>24.701032638549801</v>
      </c>
      <c r="J61">
        <v>65.192926301092101</v>
      </c>
      <c r="K61">
        <v>575.30511474609398</v>
      </c>
      <c r="L61">
        <v>33.4581665289207</v>
      </c>
      <c r="M61">
        <v>866.83396236232102</v>
      </c>
      <c r="N61">
        <v>157.27711211657899</v>
      </c>
      <c r="O61">
        <v>38.157107931668598</v>
      </c>
      <c r="P61">
        <v>6.7617855072021502</v>
      </c>
      <c r="Q61">
        <v>31.982154846191399</v>
      </c>
      <c r="R61">
        <v>148.62466430664099</v>
      </c>
      <c r="S61">
        <v>2.9458529949188201</v>
      </c>
      <c r="T61">
        <v>9.2042016983032209</v>
      </c>
      <c r="U61">
        <v>1.01612469986031</v>
      </c>
      <c r="V61" t="s">
        <v>29</v>
      </c>
      <c r="W61" t="s">
        <v>26</v>
      </c>
    </row>
    <row r="62" spans="1:23" x14ac:dyDescent="0.35">
      <c r="A62">
        <v>0.89762709129044105</v>
      </c>
      <c r="B62">
        <v>114</v>
      </c>
      <c r="C62">
        <v>816.83380126953102</v>
      </c>
      <c r="D62">
        <v>0.179545745269481</v>
      </c>
      <c r="E62">
        <v>1</v>
      </c>
      <c r="F62">
        <v>15.9628678380117</v>
      </c>
      <c r="G62">
        <v>34.789509496271599</v>
      </c>
      <c r="H62">
        <v>2.8623735312499998</v>
      </c>
      <c r="I62">
        <v>86.884231567382798</v>
      </c>
      <c r="J62">
        <v>0</v>
      </c>
      <c r="K62">
        <v>801.23889160156205</v>
      </c>
      <c r="L62">
        <v>5.9639026649662696</v>
      </c>
      <c r="M62">
        <v>609.76560548876103</v>
      </c>
      <c r="N62">
        <v>167.39421531802299</v>
      </c>
      <c r="O62">
        <v>44.944785352613103</v>
      </c>
      <c r="P62">
        <v>7.0521240234375</v>
      </c>
      <c r="Q62">
        <v>28.585218429565401</v>
      </c>
      <c r="R62">
        <v>113.027351379395</v>
      </c>
      <c r="S62">
        <v>2.6566922664642298</v>
      </c>
      <c r="T62">
        <v>13.2383518218994</v>
      </c>
      <c r="U62">
        <v>1.0647556597068399</v>
      </c>
      <c r="V62" t="s">
        <v>23</v>
      </c>
      <c r="W62" t="s">
        <v>36</v>
      </c>
    </row>
    <row r="63" spans="1:23" x14ac:dyDescent="0.35">
      <c r="A63">
        <v>1.91381385238372</v>
      </c>
      <c r="B63">
        <v>453</v>
      </c>
      <c r="C63">
        <v>1398.68347167969</v>
      </c>
      <c r="D63">
        <v>0.18610250608187501</v>
      </c>
      <c r="E63">
        <v>11.625393483341901</v>
      </c>
      <c r="F63">
        <v>0.64767185546103201</v>
      </c>
      <c r="G63">
        <v>33.322641883718802</v>
      </c>
      <c r="H63">
        <v>4.1368762101167302</v>
      </c>
      <c r="I63">
        <v>16.0521430969238</v>
      </c>
      <c r="J63">
        <v>0</v>
      </c>
      <c r="K63">
        <v>530.28704833984398</v>
      </c>
      <c r="L63">
        <v>42.611109624143502</v>
      </c>
      <c r="M63">
        <v>979.10726978739797</v>
      </c>
      <c r="N63">
        <v>159.272650546715</v>
      </c>
      <c r="O63">
        <v>39.083904391429499</v>
      </c>
      <c r="P63">
        <v>4.3118786811828604</v>
      </c>
      <c r="Q63">
        <v>32.634658813476598</v>
      </c>
      <c r="R63">
        <v>143.35281372070301</v>
      </c>
      <c r="S63">
        <v>3.2263779640197798</v>
      </c>
      <c r="T63">
        <v>8.6677761077880895</v>
      </c>
      <c r="U63">
        <v>1.3099791309920601</v>
      </c>
      <c r="V63" t="s">
        <v>29</v>
      </c>
      <c r="W63" t="s">
        <v>26</v>
      </c>
    </row>
    <row r="64" spans="1:23" x14ac:dyDescent="0.35">
      <c r="A64">
        <v>2.6901960800285099</v>
      </c>
      <c r="B64">
        <v>363</v>
      </c>
      <c r="C64">
        <v>1373.91687011719</v>
      </c>
      <c r="D64">
        <v>0.191897219867113</v>
      </c>
      <c r="E64">
        <v>5.9087661084455201</v>
      </c>
      <c r="F64">
        <v>4.2408828614239402</v>
      </c>
      <c r="G64">
        <v>11.4741168354193</v>
      </c>
      <c r="H64">
        <v>4.8519971642512099</v>
      </c>
      <c r="I64">
        <v>32.053062438964801</v>
      </c>
      <c r="J64">
        <v>0</v>
      </c>
      <c r="K64">
        <v>605.06561279296898</v>
      </c>
      <c r="L64">
        <v>13.0346341172203</v>
      </c>
      <c r="M64">
        <v>668.38400118468201</v>
      </c>
      <c r="N64">
        <v>170.85882393258501</v>
      </c>
      <c r="O64">
        <v>42.747422515368903</v>
      </c>
      <c r="P64">
        <v>2.29844045639038</v>
      </c>
      <c r="Q64">
        <v>30.5362453460693</v>
      </c>
      <c r="R64">
        <v>200.301025390625</v>
      </c>
      <c r="S64">
        <v>3.5471363067627002</v>
      </c>
      <c r="T64">
        <v>18.5084629058838</v>
      </c>
      <c r="U64">
        <v>0.76983481934545905</v>
      </c>
      <c r="V64" t="s">
        <v>23</v>
      </c>
      <c r="W64" t="s">
        <v>37</v>
      </c>
    </row>
    <row r="65" spans="1:23" x14ac:dyDescent="0.35">
      <c r="A65">
        <v>1.6020599913279601</v>
      </c>
      <c r="B65">
        <v>102</v>
      </c>
      <c r="C65">
        <v>973.07476806640602</v>
      </c>
      <c r="D65">
        <v>0.142208296403708</v>
      </c>
      <c r="E65">
        <v>1</v>
      </c>
      <c r="F65">
        <v>1.63288150247458</v>
      </c>
      <c r="G65">
        <v>79.170684692170198</v>
      </c>
      <c r="H65">
        <v>3.19171671666667</v>
      </c>
      <c r="I65">
        <v>37.263450622558601</v>
      </c>
      <c r="J65">
        <v>0</v>
      </c>
      <c r="K65">
        <v>764.85174560546898</v>
      </c>
      <c r="L65">
        <v>6.8619083928280196</v>
      </c>
      <c r="M65">
        <v>627.24571903416404</v>
      </c>
      <c r="N65">
        <v>167.10456522957199</v>
      </c>
      <c r="O65">
        <v>45.503506832435498</v>
      </c>
      <c r="P65">
        <v>15.8033800125122</v>
      </c>
      <c r="Q65">
        <v>30.4840297698975</v>
      </c>
      <c r="R65">
        <v>121.309211730957</v>
      </c>
      <c r="S65">
        <v>2.78899002075195</v>
      </c>
      <c r="T65">
        <v>8.7644329071044904</v>
      </c>
      <c r="U65">
        <v>0.69492175636606801</v>
      </c>
      <c r="V65" t="s">
        <v>23</v>
      </c>
      <c r="W65" t="s">
        <v>36</v>
      </c>
    </row>
    <row r="66" spans="1:23" x14ac:dyDescent="0.35">
      <c r="A66">
        <v>1.98136550907854</v>
      </c>
      <c r="B66">
        <v>920</v>
      </c>
      <c r="C66">
        <v>862.83044433593795</v>
      </c>
      <c r="D66">
        <v>0.26802932509817301</v>
      </c>
      <c r="E66">
        <v>2.3221207555857202</v>
      </c>
      <c r="F66">
        <v>3.8510711025161202</v>
      </c>
      <c r="G66">
        <v>24.194095873950001</v>
      </c>
      <c r="H66">
        <v>4.3031677411971803</v>
      </c>
      <c r="I66">
        <v>56.499359130859403</v>
      </c>
      <c r="J66">
        <v>0</v>
      </c>
      <c r="K66">
        <v>706.15344238281205</v>
      </c>
      <c r="L66">
        <v>9.80439596097977</v>
      </c>
      <c r="M66">
        <v>637.14910888671898</v>
      </c>
      <c r="N66">
        <v>169.30956505947401</v>
      </c>
      <c r="O66">
        <v>43.370832474505299</v>
      </c>
      <c r="P66">
        <v>4.6654019355773899</v>
      </c>
      <c r="Q66">
        <v>31.783988952636701</v>
      </c>
      <c r="R66">
        <v>155.35501098632801</v>
      </c>
      <c r="S66">
        <v>3.35488700866699</v>
      </c>
      <c r="T66">
        <v>16.2577610015869</v>
      </c>
      <c r="U66">
        <v>0.89001766355284295</v>
      </c>
      <c r="V66" t="s">
        <v>23</v>
      </c>
      <c r="W66" t="s">
        <v>36</v>
      </c>
    </row>
    <row r="67" spans="1:23" x14ac:dyDescent="0.35">
      <c r="A67">
        <v>2.5051499783199098</v>
      </c>
      <c r="B67">
        <v>146</v>
      </c>
      <c r="C67">
        <v>1395.98217773438</v>
      </c>
      <c r="D67">
        <v>0.24459934107842099</v>
      </c>
      <c r="E67">
        <v>16.191777457174901</v>
      </c>
      <c r="F67">
        <v>0.48160166636669099</v>
      </c>
      <c r="G67">
        <v>21.564791023717699</v>
      </c>
      <c r="H67">
        <v>6.5581246694915301</v>
      </c>
      <c r="I67">
        <v>5.0534338951110804</v>
      </c>
      <c r="J67">
        <v>46.995170418308703</v>
      </c>
      <c r="K67">
        <v>750.850341796875</v>
      </c>
      <c r="L67">
        <v>67.181258154697105</v>
      </c>
      <c r="M67">
        <v>1195.9386826812199</v>
      </c>
      <c r="N67">
        <v>160.167788145972</v>
      </c>
      <c r="O67">
        <v>32.6016750335693</v>
      </c>
      <c r="P67">
        <v>24.8828239440918</v>
      </c>
      <c r="Q67">
        <v>37.113086700439503</v>
      </c>
      <c r="R67">
        <v>274.65515136718801</v>
      </c>
      <c r="S67">
        <v>3.7349162101745601</v>
      </c>
      <c r="T67">
        <v>10.4258518218994</v>
      </c>
      <c r="U67">
        <v>1.31547644653853</v>
      </c>
      <c r="V67" t="s">
        <v>28</v>
      </c>
      <c r="W67" t="s">
        <v>38</v>
      </c>
    </row>
    <row r="68" spans="1:23" x14ac:dyDescent="0.35">
      <c r="A68">
        <v>1.86923171973098</v>
      </c>
      <c r="B68">
        <v>543</v>
      </c>
      <c r="C68">
        <v>383.04592895507801</v>
      </c>
      <c r="D68">
        <v>0.18876766899363701</v>
      </c>
      <c r="E68">
        <v>3.6742882901046798E-3</v>
      </c>
      <c r="F68">
        <v>55.3679704768603</v>
      </c>
      <c r="G68">
        <v>17.8577867412289</v>
      </c>
      <c r="H68">
        <v>0.76371313624678705</v>
      </c>
      <c r="I68">
        <v>48.147842407226598</v>
      </c>
      <c r="J68">
        <v>0</v>
      </c>
      <c r="K68">
        <v>1124.58544921875</v>
      </c>
      <c r="L68">
        <v>12.3007303691301</v>
      </c>
      <c r="M68">
        <v>792.85040583375996</v>
      </c>
      <c r="N68">
        <v>150.39529869204699</v>
      </c>
      <c r="O68">
        <v>53.895004522604999</v>
      </c>
      <c r="P68">
        <v>2.9485449790954599</v>
      </c>
      <c r="Q68">
        <v>23.306892395019499</v>
      </c>
      <c r="R68">
        <v>31.418052673339801</v>
      </c>
      <c r="S68">
        <v>2.26119160652161</v>
      </c>
      <c r="T68">
        <v>10.550988197326699</v>
      </c>
      <c r="U68">
        <v>1.09527412287951</v>
      </c>
      <c r="V68" t="s">
        <v>25</v>
      </c>
      <c r="W68" t="s">
        <v>31</v>
      </c>
    </row>
    <row r="69" spans="1:23" x14ac:dyDescent="0.35">
      <c r="A69">
        <v>2.53147891704225</v>
      </c>
      <c r="B69">
        <v>740</v>
      </c>
      <c r="C69">
        <v>512.124267578125</v>
      </c>
      <c r="D69">
        <v>0.29080230272271901</v>
      </c>
      <c r="E69">
        <v>6.07083526463673E-2</v>
      </c>
      <c r="F69">
        <v>12.6772597027903</v>
      </c>
      <c r="G69">
        <v>21.214855185714299</v>
      </c>
      <c r="H69">
        <v>3.3268010656660398</v>
      </c>
      <c r="I69">
        <v>78.756317138671903</v>
      </c>
      <c r="J69">
        <v>0</v>
      </c>
      <c r="K69">
        <v>738.44720458984398</v>
      </c>
      <c r="L69">
        <v>6.7133218108630599</v>
      </c>
      <c r="M69">
        <v>603.23410084208501</v>
      </c>
      <c r="N69">
        <v>168.44531275014401</v>
      </c>
      <c r="O69">
        <v>43.639167222820298</v>
      </c>
      <c r="P69">
        <v>4.4627113342285201</v>
      </c>
      <c r="Q69">
        <v>29.520765304565401</v>
      </c>
      <c r="R69">
        <v>126.626457214355</v>
      </c>
      <c r="S69">
        <v>3.0599658489227299</v>
      </c>
      <c r="T69">
        <v>17.228895187377901</v>
      </c>
      <c r="U69">
        <v>0.95083780456146505</v>
      </c>
      <c r="V69" t="s">
        <v>23</v>
      </c>
      <c r="W69" t="s">
        <v>36</v>
      </c>
    </row>
    <row r="70" spans="1:23" x14ac:dyDescent="0.35">
      <c r="A70">
        <v>1.5563025007672899</v>
      </c>
      <c r="B70">
        <v>169</v>
      </c>
      <c r="C70">
        <v>822.731201171875</v>
      </c>
      <c r="D70">
        <v>0.24426406638475501</v>
      </c>
      <c r="E70">
        <v>4.1870721023723897E-2</v>
      </c>
      <c r="F70">
        <v>1.66255644526768</v>
      </c>
      <c r="G70">
        <v>55.705610711749102</v>
      </c>
      <c r="H70">
        <v>3.8788924351851901</v>
      </c>
      <c r="I70">
        <v>11.7085123062134</v>
      </c>
      <c r="J70">
        <v>0</v>
      </c>
      <c r="K70">
        <v>708.332275390625</v>
      </c>
      <c r="L70">
        <v>8.5191322955928896</v>
      </c>
      <c r="M70">
        <v>641.02355907002402</v>
      </c>
      <c r="N70">
        <v>167.515087190222</v>
      </c>
      <c r="O70">
        <v>44.989153189737301</v>
      </c>
      <c r="P70">
        <v>10.1649713516235</v>
      </c>
      <c r="Q70">
        <v>29.476509094238299</v>
      </c>
      <c r="R70">
        <v>136.88470458984401</v>
      </c>
      <c r="S70">
        <v>2.8227777481079102</v>
      </c>
      <c r="T70">
        <v>10.082797050476101</v>
      </c>
      <c r="U70">
        <v>0.82058195019315905</v>
      </c>
      <c r="V70" t="s">
        <v>23</v>
      </c>
      <c r="W70" t="s">
        <v>36</v>
      </c>
    </row>
    <row r="71" spans="1:23" x14ac:dyDescent="0.35">
      <c r="A71">
        <v>1.76342799356294</v>
      </c>
      <c r="B71">
        <v>522</v>
      </c>
      <c r="C71">
        <v>1267.38879394531</v>
      </c>
      <c r="D71">
        <v>0.19206467815752001</v>
      </c>
      <c r="E71">
        <v>1.7122700040010901</v>
      </c>
      <c r="F71">
        <v>6.6059511139748501</v>
      </c>
      <c r="G71">
        <v>19.2095291221463</v>
      </c>
      <c r="H71">
        <v>3.9952220793650799</v>
      </c>
      <c r="I71">
        <v>30.446418762206999</v>
      </c>
      <c r="J71">
        <v>0</v>
      </c>
      <c r="K71">
        <v>714.19317626953102</v>
      </c>
      <c r="L71">
        <v>8.3055586619455308</v>
      </c>
      <c r="M71">
        <v>643.38522238809605</v>
      </c>
      <c r="N71">
        <v>170.33386355540799</v>
      </c>
      <c r="O71">
        <v>45.429503706635003</v>
      </c>
      <c r="P71">
        <v>4.0195350646972701</v>
      </c>
      <c r="Q71">
        <v>31.464561462402301</v>
      </c>
      <c r="R71">
        <v>148.53363037109401</v>
      </c>
      <c r="S71">
        <v>3.3485240936279301</v>
      </c>
      <c r="T71">
        <v>21.6246337890625</v>
      </c>
      <c r="U71">
        <v>0.85784357060704897</v>
      </c>
      <c r="V71" t="s">
        <v>23</v>
      </c>
      <c r="W71" t="s">
        <v>36</v>
      </c>
    </row>
    <row r="72" spans="1:23" x14ac:dyDescent="0.35">
      <c r="A72">
        <v>1.4471580313422201</v>
      </c>
      <c r="B72">
        <v>328</v>
      </c>
      <c r="C72">
        <v>1314.60717773438</v>
      </c>
      <c r="D72">
        <v>0.133119257512756</v>
      </c>
      <c r="E72">
        <v>1.9497390644307E-2</v>
      </c>
      <c r="F72">
        <v>4.3813690330544599</v>
      </c>
      <c r="G72">
        <v>8.6985868125777603</v>
      </c>
      <c r="H72">
        <v>3.5407833619047602</v>
      </c>
      <c r="I72">
        <v>31.807111740112301</v>
      </c>
      <c r="J72">
        <v>0</v>
      </c>
      <c r="K72">
        <v>554.79669189453102</v>
      </c>
      <c r="L72">
        <v>9.1632387833517104</v>
      </c>
      <c r="M72">
        <v>631.41993138047496</v>
      </c>
      <c r="N72">
        <v>171.465958392034</v>
      </c>
      <c r="O72">
        <v>43.531011675224903</v>
      </c>
      <c r="P72">
        <v>1.3022706508636499</v>
      </c>
      <c r="Q72">
        <v>30.826919555664102</v>
      </c>
      <c r="R72">
        <v>130.12991333007801</v>
      </c>
      <c r="S72">
        <v>3.4526290893554701</v>
      </c>
      <c r="T72">
        <v>15.586627960205099</v>
      </c>
      <c r="U72">
        <v>0.51329220655979502</v>
      </c>
      <c r="V72" t="s">
        <v>23</v>
      </c>
      <c r="W72" t="s">
        <v>37</v>
      </c>
    </row>
    <row r="73" spans="1:23" x14ac:dyDescent="0.35">
      <c r="A73">
        <v>2.1139433523068401</v>
      </c>
      <c r="B73">
        <v>231</v>
      </c>
      <c r="C73">
        <v>655.343994140625</v>
      </c>
      <c r="D73">
        <v>0.30439780804688699</v>
      </c>
      <c r="E73">
        <v>1.03749121001756</v>
      </c>
      <c r="F73">
        <v>0.23309134835296</v>
      </c>
      <c r="G73">
        <v>80.495593271696194</v>
      </c>
      <c r="H73">
        <v>5.9190141746031699</v>
      </c>
      <c r="I73">
        <v>14.728167533874499</v>
      </c>
      <c r="J73">
        <v>0</v>
      </c>
      <c r="K73">
        <v>1214.17333984375</v>
      </c>
      <c r="L73">
        <v>58.513543988837597</v>
      </c>
      <c r="M73">
        <v>1298.9896180199801</v>
      </c>
      <c r="N73">
        <v>159.80084678775</v>
      </c>
      <c r="O73">
        <v>49.9094607869133</v>
      </c>
      <c r="P73">
        <v>14.7620191574097</v>
      </c>
      <c r="Q73">
        <v>34.098789215087898</v>
      </c>
      <c r="R73">
        <v>260.68008422851602</v>
      </c>
      <c r="S73">
        <v>3.65730977058411</v>
      </c>
      <c r="T73">
        <v>11.6897029876709</v>
      </c>
      <c r="U73">
        <v>1.01190715516234</v>
      </c>
      <c r="V73" t="s">
        <v>23</v>
      </c>
      <c r="W73" t="s">
        <v>38</v>
      </c>
    </row>
    <row r="74" spans="1:23" x14ac:dyDescent="0.35">
      <c r="A74">
        <v>1.91907809237607</v>
      </c>
      <c r="B74">
        <v>2310</v>
      </c>
      <c r="C74">
        <v>580.25787353515602</v>
      </c>
      <c r="D74">
        <v>0.34880750627569002</v>
      </c>
      <c r="E74">
        <v>4.7281716783773797</v>
      </c>
      <c r="F74">
        <v>14.5785934007978</v>
      </c>
      <c r="G74">
        <v>18.014743926043</v>
      </c>
      <c r="H74">
        <v>3.5304576977198701</v>
      </c>
      <c r="I74">
        <v>42.9297065734863</v>
      </c>
      <c r="J74">
        <v>0</v>
      </c>
      <c r="K74">
        <v>803.736083984375</v>
      </c>
      <c r="L74">
        <v>8.5237589351466401</v>
      </c>
      <c r="M74">
        <v>626.17008396836604</v>
      </c>
      <c r="N74">
        <v>171.62906659235699</v>
      </c>
      <c r="O74">
        <v>43.746141214839703</v>
      </c>
      <c r="P74">
        <v>2.9389882087707502</v>
      </c>
      <c r="Q74">
        <v>29.1888313293457</v>
      </c>
      <c r="R74">
        <v>114.16520690918</v>
      </c>
      <c r="S74">
        <v>3.2470166683196999</v>
      </c>
      <c r="T74">
        <v>18.750551223754901</v>
      </c>
      <c r="U74">
        <v>1.1086200527826999</v>
      </c>
      <c r="V74" t="s">
        <v>23</v>
      </c>
      <c r="W74" t="s">
        <v>37</v>
      </c>
    </row>
    <row r="75" spans="1:23" x14ac:dyDescent="0.35">
      <c r="A75">
        <v>1.94448267215017</v>
      </c>
      <c r="B75">
        <v>136</v>
      </c>
      <c r="C75">
        <v>849.24890136718795</v>
      </c>
      <c r="D75">
        <v>0.20938808268297401</v>
      </c>
      <c r="E75">
        <v>1</v>
      </c>
      <c r="F75">
        <v>0.117070886975088</v>
      </c>
      <c r="G75">
        <v>95.410025600748696</v>
      </c>
      <c r="H75">
        <v>3.3870480652173902</v>
      </c>
      <c r="I75">
        <v>11.4241495132446</v>
      </c>
      <c r="J75">
        <v>0</v>
      </c>
      <c r="K75">
        <v>1379.09851074219</v>
      </c>
      <c r="L75">
        <v>53.240138569816203</v>
      </c>
      <c r="M75">
        <v>1283.0211691934601</v>
      </c>
      <c r="N75">
        <v>162.69771888607801</v>
      </c>
      <c r="O75">
        <v>53.876199128197797</v>
      </c>
      <c r="P75">
        <v>21.6310329437256</v>
      </c>
      <c r="Q75">
        <v>33.159984588622997</v>
      </c>
      <c r="R75">
        <v>145.60015869140599</v>
      </c>
      <c r="S75">
        <v>3.3508710861206099</v>
      </c>
      <c r="T75">
        <v>15.4115190505981</v>
      </c>
      <c r="U75">
        <v>1.1487044232621899</v>
      </c>
      <c r="V75" t="s">
        <v>23</v>
      </c>
      <c r="W75" t="s">
        <v>38</v>
      </c>
    </row>
    <row r="76" spans="1:23" x14ac:dyDescent="0.35">
      <c r="A76">
        <v>2.80482067872116</v>
      </c>
      <c r="B76">
        <v>147</v>
      </c>
      <c r="C76">
        <v>1566.05212402344</v>
      </c>
      <c r="D76">
        <v>0.179964865118106</v>
      </c>
      <c r="E76">
        <v>19.614456720643499</v>
      </c>
      <c r="F76">
        <v>0.86313932001788196</v>
      </c>
      <c r="G76">
        <v>22.345056168272201</v>
      </c>
      <c r="H76">
        <v>4.6044810760869597</v>
      </c>
      <c r="I76">
        <v>8.0803413391113299</v>
      </c>
      <c r="J76">
        <v>15.7724634368726</v>
      </c>
      <c r="K76">
        <v>650.28009033203102</v>
      </c>
      <c r="L76">
        <v>80.933155685174697</v>
      </c>
      <c r="M76">
        <v>1398.2268826844299</v>
      </c>
      <c r="N76">
        <v>160.57436683529701</v>
      </c>
      <c r="O76">
        <v>35.682330803793</v>
      </c>
      <c r="P76">
        <v>15.346798896789601</v>
      </c>
      <c r="Q76">
        <v>34.602123260497997</v>
      </c>
      <c r="R76">
        <v>322.518310546875</v>
      </c>
      <c r="S76">
        <v>3.7781116962432901</v>
      </c>
      <c r="T76">
        <v>8.8360271453857404</v>
      </c>
      <c r="U76">
        <v>1.38727662502101</v>
      </c>
      <c r="V76" t="s">
        <v>28</v>
      </c>
      <c r="W76" t="s">
        <v>39</v>
      </c>
    </row>
    <row r="77" spans="1:23" x14ac:dyDescent="0.35">
      <c r="A77">
        <v>1.72427586960079</v>
      </c>
      <c r="B77">
        <v>222</v>
      </c>
      <c r="C77">
        <v>1296.12719726562</v>
      </c>
      <c r="D77">
        <v>0.170318161522613</v>
      </c>
      <c r="E77">
        <v>3.3927505418302403E-2</v>
      </c>
      <c r="F77">
        <v>1.76409196104314</v>
      </c>
      <c r="G77">
        <v>43.417996746469299</v>
      </c>
      <c r="H77">
        <v>3.4641837761194001</v>
      </c>
      <c r="I77">
        <v>54.577110290527301</v>
      </c>
      <c r="J77">
        <v>0</v>
      </c>
      <c r="K77">
        <v>521.93762207031205</v>
      </c>
      <c r="L77">
        <v>10.9996420379545</v>
      </c>
      <c r="M77">
        <v>656.03866226946695</v>
      </c>
      <c r="N77">
        <v>172.52206821128999</v>
      </c>
      <c r="O77">
        <v>43.739191086565903</v>
      </c>
      <c r="P77">
        <v>7.7021327018737802</v>
      </c>
      <c r="Q77">
        <v>28.882991790771499</v>
      </c>
      <c r="R77">
        <v>150.53257751464801</v>
      </c>
      <c r="S77">
        <v>3.5827107429504399</v>
      </c>
      <c r="T77">
        <v>17.002843856811499</v>
      </c>
      <c r="U77">
        <v>0.92540595152542404</v>
      </c>
      <c r="V77" t="s">
        <v>23</v>
      </c>
      <c r="W77" t="s">
        <v>36</v>
      </c>
    </row>
    <row r="78" spans="1:23" x14ac:dyDescent="0.35">
      <c r="A78">
        <v>1.2041199826559199</v>
      </c>
      <c r="B78">
        <v>105</v>
      </c>
      <c r="C78">
        <v>2055.36865234375</v>
      </c>
      <c r="D78">
        <v>0.11409766787723501</v>
      </c>
      <c r="E78">
        <v>5.58075012643872</v>
      </c>
      <c r="F78">
        <v>5.6691795781540097</v>
      </c>
      <c r="G78">
        <v>0.17091983538938599</v>
      </c>
      <c r="H78">
        <v>3.2786725882352901</v>
      </c>
      <c r="I78">
        <v>49.152023315429702</v>
      </c>
      <c r="J78">
        <v>0</v>
      </c>
      <c r="K78">
        <v>454.77227783203102</v>
      </c>
      <c r="L78">
        <v>14.5506843074423</v>
      </c>
      <c r="M78">
        <v>604.56384477459005</v>
      </c>
      <c r="N78">
        <v>177.37820134397401</v>
      </c>
      <c r="O78">
        <v>35.875259305610001</v>
      </c>
      <c r="P78">
        <v>0.355840474367142</v>
      </c>
      <c r="Q78">
        <v>36.220340728759801</v>
      </c>
      <c r="R78">
        <v>119.91803741455099</v>
      </c>
      <c r="S78">
        <v>3.1407067775726301</v>
      </c>
      <c r="T78">
        <v>15.742395401001</v>
      </c>
      <c r="U78">
        <v>0.44734007210493698</v>
      </c>
      <c r="V78" t="s">
        <v>23</v>
      </c>
      <c r="W78" t="s">
        <v>37</v>
      </c>
    </row>
    <row r="79" spans="1:23" x14ac:dyDescent="0.35">
      <c r="A79">
        <v>2.1789769472931702</v>
      </c>
      <c r="B79">
        <v>312</v>
      </c>
      <c r="C79">
        <v>1088.13732910156</v>
      </c>
      <c r="D79">
        <v>0.236142221463297</v>
      </c>
      <c r="E79">
        <v>12.384011482834699</v>
      </c>
      <c r="F79">
        <v>0.93085892259402303</v>
      </c>
      <c r="G79">
        <v>43.665605261478703</v>
      </c>
      <c r="H79">
        <v>4.3615288631578899</v>
      </c>
      <c r="I79">
        <v>17.797742843627901</v>
      </c>
      <c r="J79">
        <v>3.77538020205971</v>
      </c>
      <c r="K79">
        <v>692.12390136718795</v>
      </c>
      <c r="L79">
        <v>61.949720539030501</v>
      </c>
      <c r="M79">
        <v>1214.5219156234</v>
      </c>
      <c r="N79">
        <v>156.57484260934299</v>
      </c>
      <c r="O79">
        <v>39.3578182282995</v>
      </c>
      <c r="P79">
        <v>9.3666429519653303</v>
      </c>
      <c r="Q79">
        <v>34.019073486328097</v>
      </c>
      <c r="R79">
        <v>188.29039001464801</v>
      </c>
      <c r="S79">
        <v>3.28386354446411</v>
      </c>
      <c r="T79">
        <v>11.6800031661987</v>
      </c>
      <c r="U79">
        <v>1.5061385219901799</v>
      </c>
      <c r="V79" t="s">
        <v>29</v>
      </c>
      <c r="W79" t="s">
        <v>39</v>
      </c>
    </row>
    <row r="80" spans="1:23" x14ac:dyDescent="0.35">
      <c r="A80">
        <v>2.2041199826559201</v>
      </c>
      <c r="B80">
        <v>564</v>
      </c>
      <c r="C80">
        <v>1142.73583984375</v>
      </c>
      <c r="D80">
        <v>0.241496464782159</v>
      </c>
      <c r="E80">
        <v>16.9634430000511</v>
      </c>
      <c r="F80">
        <v>0.69921255206486099</v>
      </c>
      <c r="G80">
        <v>38.284351219597802</v>
      </c>
      <c r="H80">
        <v>5.2657547515151499</v>
      </c>
      <c r="I80">
        <v>16.1986198425293</v>
      </c>
      <c r="J80">
        <v>26.398545439484401</v>
      </c>
      <c r="K80">
        <v>676.16607666015602</v>
      </c>
      <c r="L80">
        <v>66.3993577175453</v>
      </c>
      <c r="M80">
        <v>1239.0500788454101</v>
      </c>
      <c r="N80">
        <v>157.93791899133899</v>
      </c>
      <c r="O80">
        <v>36.963240107551897</v>
      </c>
      <c r="P80">
        <v>10.922665596008301</v>
      </c>
      <c r="Q80">
        <v>33.920475006103501</v>
      </c>
      <c r="R80">
        <v>214.79544067382801</v>
      </c>
      <c r="S80">
        <v>3.3834025859832799</v>
      </c>
      <c r="T80">
        <v>8.7658500671386701</v>
      </c>
      <c r="U80">
        <v>1.58174186716374</v>
      </c>
      <c r="V80" t="s">
        <v>28</v>
      </c>
      <c r="W80" t="s">
        <v>39</v>
      </c>
    </row>
    <row r="81" spans="1:23" x14ac:dyDescent="0.35">
      <c r="A81">
        <v>2.4265112613645798</v>
      </c>
      <c r="B81">
        <v>1401</v>
      </c>
      <c r="C81">
        <v>559.32183837890602</v>
      </c>
      <c r="D81">
        <v>0.37882333990669098</v>
      </c>
      <c r="E81">
        <v>1.4653181016112899</v>
      </c>
      <c r="F81">
        <v>9.0115983489042595</v>
      </c>
      <c r="G81">
        <v>57.306377433837802</v>
      </c>
      <c r="H81">
        <v>2.1904282899343501</v>
      </c>
      <c r="I81">
        <v>14.539857864379901</v>
      </c>
      <c r="J81">
        <v>0</v>
      </c>
      <c r="K81">
        <v>1052.3876953125</v>
      </c>
      <c r="L81">
        <v>30.122064168335999</v>
      </c>
      <c r="M81">
        <v>930.92088943231295</v>
      </c>
      <c r="N81">
        <v>152.96996294865801</v>
      </c>
      <c r="O81">
        <v>47.601764428811002</v>
      </c>
      <c r="P81">
        <v>13.5298805236816</v>
      </c>
      <c r="Q81">
        <v>31.3022556304932</v>
      </c>
      <c r="R81">
        <v>97.689926147460895</v>
      </c>
      <c r="S81">
        <v>2.7173800468444802</v>
      </c>
      <c r="T81">
        <v>12.278657913208001</v>
      </c>
      <c r="U81">
        <v>1.1996154658020799</v>
      </c>
      <c r="V81" t="s">
        <v>23</v>
      </c>
      <c r="W81" t="s">
        <v>39</v>
      </c>
    </row>
    <row r="82" spans="1:23" x14ac:dyDescent="0.35">
      <c r="A82">
        <v>1.7558748556724899</v>
      </c>
      <c r="B82">
        <v>95</v>
      </c>
      <c r="C82">
        <v>1754.71704101562</v>
      </c>
      <c r="D82">
        <v>0.12579225033385899</v>
      </c>
      <c r="E82">
        <v>0.214429047359491</v>
      </c>
      <c r="F82">
        <v>12.700545826284699</v>
      </c>
      <c r="G82">
        <v>10.0483363466514</v>
      </c>
      <c r="H82">
        <v>4.4322654923076898</v>
      </c>
      <c r="I82">
        <v>22.862817764282202</v>
      </c>
      <c r="J82">
        <v>0</v>
      </c>
      <c r="K82">
        <v>496.35037231445301</v>
      </c>
      <c r="L82">
        <v>6.8019234137456897</v>
      </c>
      <c r="M82">
        <v>539.15361998511105</v>
      </c>
      <c r="N82">
        <v>179.796871998271</v>
      </c>
      <c r="O82">
        <v>38.1840830943624</v>
      </c>
      <c r="P82">
        <v>1.0265203714370701</v>
      </c>
      <c r="Q82">
        <v>31.671047210693398</v>
      </c>
      <c r="R82">
        <v>133.90739440918</v>
      </c>
      <c r="S82">
        <v>3.0110218524932901</v>
      </c>
      <c r="T82">
        <v>17.860000610351602</v>
      </c>
      <c r="U82">
        <v>0.77298996687947097</v>
      </c>
      <c r="V82" t="s">
        <v>23</v>
      </c>
      <c r="W82" t="s">
        <v>37</v>
      </c>
    </row>
    <row r="83" spans="1:23" x14ac:dyDescent="0.35">
      <c r="A83">
        <v>2.2405492482825999</v>
      </c>
      <c r="B83">
        <v>143</v>
      </c>
      <c r="C83">
        <v>1511.6826171875</v>
      </c>
      <c r="D83">
        <v>0.197199668679505</v>
      </c>
      <c r="E83">
        <v>18.9571350027935</v>
      </c>
      <c r="F83">
        <v>0.48029346888885399</v>
      </c>
      <c r="G83">
        <v>37.470909838614297</v>
      </c>
      <c r="H83">
        <v>4.17278705825243</v>
      </c>
      <c r="I83">
        <v>18.7977294921875</v>
      </c>
      <c r="J83">
        <v>12.2514714145104</v>
      </c>
      <c r="K83">
        <v>699.55755615234398</v>
      </c>
      <c r="L83">
        <v>73.373445104380096</v>
      </c>
      <c r="M83">
        <v>1345.81236992508</v>
      </c>
      <c r="N83">
        <v>157.99202140432899</v>
      </c>
      <c r="O83">
        <v>38.874642293961301</v>
      </c>
      <c r="P83">
        <v>13.226513862609901</v>
      </c>
      <c r="Q83">
        <v>34.579349517822301</v>
      </c>
      <c r="R83">
        <v>254.37020874023401</v>
      </c>
      <c r="S83">
        <v>3.6773543357849099</v>
      </c>
      <c r="T83">
        <v>8.6379814147949201</v>
      </c>
      <c r="U83">
        <v>1.5970330376144599</v>
      </c>
      <c r="V83" t="s">
        <v>28</v>
      </c>
      <c r="W83" t="s">
        <v>39</v>
      </c>
    </row>
    <row r="84" spans="1:23" x14ac:dyDescent="0.35">
      <c r="A84">
        <v>2.2041199826559201</v>
      </c>
      <c r="B84">
        <v>1190</v>
      </c>
      <c r="C84">
        <v>301.77923583984398</v>
      </c>
      <c r="D84">
        <v>0.40161022998190399</v>
      </c>
      <c r="E84">
        <v>9.2692269310839601E-3</v>
      </c>
      <c r="F84">
        <v>1.22434759072065</v>
      </c>
      <c r="G84">
        <v>82.862449145276102</v>
      </c>
      <c r="H84">
        <v>2.66738731875882</v>
      </c>
      <c r="I84">
        <v>44.5763969421387</v>
      </c>
      <c r="J84">
        <v>0</v>
      </c>
      <c r="K84">
        <v>1055.69323730469</v>
      </c>
      <c r="L84">
        <v>34.080918859262901</v>
      </c>
      <c r="M84">
        <v>1074.9078879434601</v>
      </c>
      <c r="N84">
        <v>164.32681374471699</v>
      </c>
      <c r="O84">
        <v>55.623246302370198</v>
      </c>
      <c r="P84">
        <v>14.2216529846191</v>
      </c>
      <c r="Q84">
        <v>33.445178985595703</v>
      </c>
      <c r="R84">
        <v>120.721160888672</v>
      </c>
      <c r="S84">
        <v>3.2437982559204102</v>
      </c>
      <c r="T84">
        <v>16.225917816162099</v>
      </c>
      <c r="U84">
        <v>1.0116491985087099</v>
      </c>
      <c r="V84" t="s">
        <v>23</v>
      </c>
      <c r="W84" t="s">
        <v>40</v>
      </c>
    </row>
    <row r="85" spans="1:23" x14ac:dyDescent="0.35">
      <c r="A85">
        <v>2.2624510897304302</v>
      </c>
      <c r="B85">
        <v>370</v>
      </c>
      <c r="C85">
        <v>503.76687622070301</v>
      </c>
      <c r="D85">
        <v>0.30967633815810303</v>
      </c>
      <c r="E85">
        <v>0.12722153579157999</v>
      </c>
      <c r="F85">
        <v>0.83177298270908295</v>
      </c>
      <c r="G85">
        <v>96.3586133366274</v>
      </c>
      <c r="H85">
        <v>2.03880183208955</v>
      </c>
      <c r="I85">
        <v>16.2154541015625</v>
      </c>
      <c r="J85">
        <v>0</v>
      </c>
      <c r="K85">
        <v>1294.58984375</v>
      </c>
      <c r="L85">
        <v>47.353015305565997</v>
      </c>
      <c r="M85">
        <v>1227.45029436956</v>
      </c>
      <c r="N85">
        <v>150.87166232750101</v>
      </c>
      <c r="O85">
        <v>55.129092044517598</v>
      </c>
      <c r="P85">
        <v>24.388475418090799</v>
      </c>
      <c r="Q85">
        <v>33.238689422607401</v>
      </c>
      <c r="R85">
        <v>91.888267517089801</v>
      </c>
      <c r="S85">
        <v>2.3998231887817401</v>
      </c>
      <c r="T85">
        <v>14.4718990325928</v>
      </c>
      <c r="U85">
        <v>0.76751781382930095</v>
      </c>
      <c r="V85" t="s">
        <v>41</v>
      </c>
      <c r="W85" t="s">
        <v>39</v>
      </c>
    </row>
    <row r="86" spans="1:23" x14ac:dyDescent="0.35">
      <c r="A86">
        <v>2.63648789635337</v>
      </c>
      <c r="B86">
        <v>513</v>
      </c>
      <c r="C86">
        <v>1495.82214355469</v>
      </c>
      <c r="D86">
        <v>0.18356297504553401</v>
      </c>
      <c r="E86">
        <v>18.619956903553899</v>
      </c>
      <c r="F86">
        <v>0.73395781992031295</v>
      </c>
      <c r="G86">
        <v>36.4646075646098</v>
      </c>
      <c r="H86">
        <v>4.4247351186440698</v>
      </c>
      <c r="I86">
        <v>17.1257133483887</v>
      </c>
      <c r="J86">
        <v>19.992095242871901</v>
      </c>
      <c r="K86">
        <v>690.61749267578102</v>
      </c>
      <c r="L86">
        <v>72.727491222444101</v>
      </c>
      <c r="M86">
        <v>1333.5835541271799</v>
      </c>
      <c r="N86">
        <v>157.014834544698</v>
      </c>
      <c r="O86">
        <v>38.496703538738302</v>
      </c>
      <c r="P86">
        <v>10.2339935302734</v>
      </c>
      <c r="Q86">
        <v>34.446273803710902</v>
      </c>
      <c r="R86">
        <v>205.96258544921901</v>
      </c>
      <c r="S86">
        <v>3.6957929134368901</v>
      </c>
      <c r="T86">
        <v>8.4072523117065394</v>
      </c>
      <c r="U86">
        <v>1.5833493188435199</v>
      </c>
      <c r="V86" t="s">
        <v>29</v>
      </c>
      <c r="W86" t="s">
        <v>39</v>
      </c>
    </row>
    <row r="87" spans="1:23" x14ac:dyDescent="0.35">
      <c r="A87">
        <v>1.2304489213782701</v>
      </c>
      <c r="B87">
        <v>387</v>
      </c>
      <c r="C87">
        <v>1804.72033691406</v>
      </c>
      <c r="D87">
        <v>0.123216460301178</v>
      </c>
      <c r="E87">
        <v>0.66541421196369999</v>
      </c>
      <c r="F87">
        <v>1.92098189847828</v>
      </c>
      <c r="G87">
        <v>18.136502725989899</v>
      </c>
      <c r="H87">
        <v>3.3803940978723399</v>
      </c>
      <c r="I87">
        <v>19.6242160797119</v>
      </c>
      <c r="J87">
        <v>0</v>
      </c>
      <c r="K87">
        <v>428.20065307617199</v>
      </c>
      <c r="L87">
        <v>15.090885861975201</v>
      </c>
      <c r="M87">
        <v>677.09753417968795</v>
      </c>
      <c r="N87">
        <v>176.04533236143999</v>
      </c>
      <c r="O87">
        <v>41.383921701399998</v>
      </c>
      <c r="P87">
        <v>2.2396945953369101</v>
      </c>
      <c r="Q87">
        <v>31.986845016479499</v>
      </c>
      <c r="R87">
        <v>142.53079223632801</v>
      </c>
      <c r="S87">
        <v>3.4706575870513898</v>
      </c>
      <c r="T87">
        <v>11.1285648345947</v>
      </c>
      <c r="U87">
        <v>0.68278412626909302</v>
      </c>
      <c r="V87" t="s">
        <v>23</v>
      </c>
      <c r="W87" t="s">
        <v>37</v>
      </c>
    </row>
    <row r="88" spans="1:23" x14ac:dyDescent="0.35">
      <c r="A88">
        <v>1.6989700043360201</v>
      </c>
      <c r="B88">
        <v>1000</v>
      </c>
      <c r="C88">
        <v>1391.81311035156</v>
      </c>
      <c r="D88">
        <v>0.213968178589515</v>
      </c>
      <c r="E88">
        <v>3.0823764727407998</v>
      </c>
      <c r="F88">
        <v>16.292119331936401</v>
      </c>
      <c r="G88">
        <v>5.8644112168566904</v>
      </c>
      <c r="H88">
        <v>1.88996672634271</v>
      </c>
      <c r="I88">
        <v>30.3980617523193</v>
      </c>
      <c r="J88">
        <v>0</v>
      </c>
      <c r="K88">
        <v>531.34033203125</v>
      </c>
      <c r="L88">
        <v>18.470031323980098</v>
      </c>
      <c r="M88">
        <v>758.91835497246404</v>
      </c>
      <c r="N88">
        <v>170.21179524406099</v>
      </c>
      <c r="O88">
        <v>44.842879873807298</v>
      </c>
      <c r="P88">
        <v>1.02301609516144</v>
      </c>
      <c r="Q88">
        <v>25.549562454223601</v>
      </c>
      <c r="R88">
        <v>85.234756469726605</v>
      </c>
      <c r="S88">
        <v>3.5363638401031499</v>
      </c>
      <c r="T88">
        <v>15.32945728302</v>
      </c>
      <c r="U88">
        <v>0.88160847502185102</v>
      </c>
      <c r="V88" t="s">
        <v>23</v>
      </c>
      <c r="W88" t="s">
        <v>37</v>
      </c>
    </row>
    <row r="89" spans="1:23" x14ac:dyDescent="0.35">
      <c r="A89">
        <v>1.1553360374650601</v>
      </c>
      <c r="B89">
        <v>105</v>
      </c>
      <c r="C89">
        <v>1980.07556152344</v>
      </c>
      <c r="D89">
        <v>0.13816504630396201</v>
      </c>
      <c r="E89">
        <v>9.1041009407685003</v>
      </c>
      <c r="F89">
        <v>11.4668424488922</v>
      </c>
      <c r="G89">
        <v>0.67522023591063296</v>
      </c>
      <c r="H89">
        <v>4.2232193571428596</v>
      </c>
      <c r="I89">
        <v>39.6038818359375</v>
      </c>
      <c r="J89">
        <v>0</v>
      </c>
      <c r="K89">
        <v>375.86337280273398</v>
      </c>
      <c r="L89">
        <v>8.8328904792910699</v>
      </c>
      <c r="M89">
        <v>517.94607243772396</v>
      </c>
      <c r="N89">
        <v>179.089560336754</v>
      </c>
      <c r="O89">
        <v>34.374413255785299</v>
      </c>
      <c r="P89">
        <v>6.2960147857666002E-2</v>
      </c>
      <c r="Q89">
        <v>30.945814132690401</v>
      </c>
      <c r="R89">
        <v>161.80447387695301</v>
      </c>
      <c r="S89">
        <v>2.8186798095703098</v>
      </c>
      <c r="T89">
        <v>16.1175842285156</v>
      </c>
      <c r="U89">
        <v>0.693154662166938</v>
      </c>
      <c r="V89" t="s">
        <v>34</v>
      </c>
      <c r="W89" t="s">
        <v>37</v>
      </c>
    </row>
    <row r="90" spans="1:23" x14ac:dyDescent="0.35">
      <c r="A90">
        <v>1.9493900066449099</v>
      </c>
      <c r="B90">
        <v>458</v>
      </c>
      <c r="C90">
        <v>1337.974609375</v>
      </c>
      <c r="D90">
        <v>0.20866081416059201</v>
      </c>
      <c r="E90">
        <v>4.1485113734167403</v>
      </c>
      <c r="F90">
        <v>7.9296506642756004</v>
      </c>
      <c r="G90">
        <v>4.7685409164747599</v>
      </c>
      <c r="H90">
        <v>4.91480186120996</v>
      </c>
      <c r="I90">
        <v>11.6065816879272</v>
      </c>
      <c r="J90">
        <v>0</v>
      </c>
      <c r="K90">
        <v>476.30010986328102</v>
      </c>
      <c r="L90">
        <v>9.6040131107705502</v>
      </c>
      <c r="M90">
        <v>547.80491613169204</v>
      </c>
      <c r="N90">
        <v>178.26139731485301</v>
      </c>
      <c r="O90">
        <v>36.088922813290502</v>
      </c>
      <c r="P90">
        <v>0.90086072683334395</v>
      </c>
      <c r="Q90">
        <v>32.0972709655762</v>
      </c>
      <c r="R90">
        <v>147.06710815429699</v>
      </c>
      <c r="S90">
        <v>2.92924928665161</v>
      </c>
      <c r="T90">
        <v>15.694415092468301</v>
      </c>
      <c r="U90">
        <v>0.66597989094796906</v>
      </c>
      <c r="V90" t="s">
        <v>23</v>
      </c>
      <c r="W90" t="s">
        <v>37</v>
      </c>
    </row>
    <row r="91" spans="1:23" x14ac:dyDescent="0.35">
      <c r="A91">
        <v>2.14612803567824</v>
      </c>
      <c r="B91">
        <v>274</v>
      </c>
      <c r="C91">
        <v>692.46783447265602</v>
      </c>
      <c r="D91">
        <v>0.30388242995548598</v>
      </c>
      <c r="E91">
        <v>3.85090368804758</v>
      </c>
      <c r="F91">
        <v>9.3601968793458905</v>
      </c>
      <c r="G91">
        <v>19.746425729062601</v>
      </c>
      <c r="H91">
        <v>5.9425949534883697</v>
      </c>
      <c r="I91">
        <v>8.9362306594848597</v>
      </c>
      <c r="J91">
        <v>0</v>
      </c>
      <c r="K91">
        <v>379.51531982421898</v>
      </c>
      <c r="L91">
        <v>5.6149000027140596</v>
      </c>
      <c r="M91">
        <v>446.37375078045</v>
      </c>
      <c r="N91">
        <v>176.90843250712399</v>
      </c>
      <c r="O91">
        <v>31.6274019460209</v>
      </c>
      <c r="P91">
        <v>1.9311333894729601</v>
      </c>
      <c r="Q91">
        <v>30.800033569335898</v>
      </c>
      <c r="R91">
        <v>186.71522521972699</v>
      </c>
      <c r="S91">
        <v>2.7462399005889901</v>
      </c>
      <c r="T91">
        <v>12.986411094665501</v>
      </c>
      <c r="U91">
        <v>1.03452216753868</v>
      </c>
      <c r="V91" t="s">
        <v>23</v>
      </c>
      <c r="W91" t="s">
        <v>37</v>
      </c>
    </row>
    <row r="92" spans="1:23" x14ac:dyDescent="0.35">
      <c r="A92">
        <v>2.6020599913279598</v>
      </c>
      <c r="B92">
        <v>1420</v>
      </c>
      <c r="C92">
        <v>367.18359375</v>
      </c>
      <c r="D92">
        <v>0.36235199619168401</v>
      </c>
      <c r="E92">
        <v>12.0020970869135</v>
      </c>
      <c r="F92">
        <v>0.17890576680301301</v>
      </c>
      <c r="G92">
        <v>57.378483581768897</v>
      </c>
      <c r="H92">
        <v>6.8593632304038001</v>
      </c>
      <c r="I92">
        <v>11.700885772705099</v>
      </c>
      <c r="J92">
        <v>64.6793405978447</v>
      </c>
      <c r="K92">
        <v>1146.63549804688</v>
      </c>
      <c r="L92">
        <v>82.001192249235601</v>
      </c>
      <c r="M92">
        <v>1500.0171378714099</v>
      </c>
      <c r="N92">
        <v>157.32348432697199</v>
      </c>
      <c r="O92">
        <v>43.1328203795386</v>
      </c>
      <c r="P92">
        <v>15.586423873901399</v>
      </c>
      <c r="Q92">
        <v>35.026763916015597</v>
      </c>
      <c r="R92">
        <v>282.45910644531199</v>
      </c>
      <c r="S92">
        <v>3.7652666568756099</v>
      </c>
      <c r="T92">
        <v>9.3416423797607404</v>
      </c>
      <c r="U92">
        <v>1.5538453974998401</v>
      </c>
      <c r="V92" t="s">
        <v>29</v>
      </c>
      <c r="W92" t="s">
        <v>38</v>
      </c>
    </row>
    <row r="93" spans="1:23" x14ac:dyDescent="0.35">
      <c r="A93">
        <v>1.3802112417116099</v>
      </c>
      <c r="B93">
        <v>366</v>
      </c>
      <c r="C93">
        <v>1953.51477050781</v>
      </c>
      <c r="D93">
        <v>0.10198361554091501</v>
      </c>
      <c r="E93">
        <v>2.35901287733933</v>
      </c>
      <c r="F93">
        <v>42.061293370487903</v>
      </c>
      <c r="G93">
        <v>6.00684647958823E-2</v>
      </c>
      <c r="H93">
        <v>1.5057717660377401</v>
      </c>
      <c r="I93">
        <v>39.4085502624512</v>
      </c>
      <c r="J93">
        <v>0</v>
      </c>
      <c r="K93">
        <v>431.62063598632801</v>
      </c>
      <c r="L93">
        <v>8.9986192926031592</v>
      </c>
      <c r="M93">
        <v>543.54392580126103</v>
      </c>
      <c r="N93">
        <v>179.79942021604401</v>
      </c>
      <c r="O93">
        <v>36.340925341746797</v>
      </c>
      <c r="P93">
        <v>4.4412098824977903E-2</v>
      </c>
      <c r="Q93">
        <v>32.767765045166001</v>
      </c>
      <c r="R93">
        <v>60.491985321044901</v>
      </c>
      <c r="S93">
        <v>2.7957396507263201</v>
      </c>
      <c r="T93">
        <v>16.558834075927699</v>
      </c>
      <c r="U93">
        <v>0.78989997874561502</v>
      </c>
      <c r="V93" t="s">
        <v>23</v>
      </c>
      <c r="W93" t="s">
        <v>37</v>
      </c>
    </row>
    <row r="94" spans="1:23" x14ac:dyDescent="0.35">
      <c r="A94">
        <v>2.2041199826559201</v>
      </c>
      <c r="B94">
        <v>1012</v>
      </c>
      <c r="C94">
        <v>1011.79443359375</v>
      </c>
      <c r="D94">
        <v>0.235556132645172</v>
      </c>
      <c r="E94">
        <v>11.7287747255748</v>
      </c>
      <c r="F94">
        <v>0.39903463452113802</v>
      </c>
      <c r="G94">
        <v>55.783615607330198</v>
      </c>
      <c r="H94">
        <v>5.2585068969230804</v>
      </c>
      <c r="I94">
        <v>9.8741197586059606</v>
      </c>
      <c r="J94">
        <v>6.9844078388342901</v>
      </c>
      <c r="K94">
        <v>822.00823974609398</v>
      </c>
      <c r="L94">
        <v>65.690123010854293</v>
      </c>
      <c r="M94">
        <v>1285.4828751360801</v>
      </c>
      <c r="N94">
        <v>155.02535860655701</v>
      </c>
      <c r="O94">
        <v>41.536155262931501</v>
      </c>
      <c r="P94">
        <v>12.9014987945557</v>
      </c>
      <c r="Q94">
        <v>32.826705932617202</v>
      </c>
      <c r="R94">
        <v>215.70594787597699</v>
      </c>
      <c r="S94">
        <v>3.6683511734008798</v>
      </c>
      <c r="T94">
        <v>10.5189561843872</v>
      </c>
      <c r="U94">
        <v>1.6017210819240899</v>
      </c>
      <c r="V94" t="s">
        <v>29</v>
      </c>
      <c r="W94" t="s">
        <v>39</v>
      </c>
    </row>
    <row r="95" spans="1:23" x14ac:dyDescent="0.35">
      <c r="A95">
        <v>1.8750612633917001</v>
      </c>
      <c r="B95">
        <v>1220</v>
      </c>
      <c r="C95">
        <v>1166.73010253906</v>
      </c>
      <c r="D95">
        <v>0.23717727578442199</v>
      </c>
      <c r="E95">
        <v>1.37901189263825</v>
      </c>
      <c r="F95">
        <v>11.8623978099161</v>
      </c>
      <c r="G95">
        <v>4.4591018053701497</v>
      </c>
      <c r="H95">
        <v>3.4166442523255798</v>
      </c>
      <c r="I95">
        <v>20.083320617675799</v>
      </c>
      <c r="J95">
        <v>0</v>
      </c>
      <c r="K95">
        <v>507.79040527343801</v>
      </c>
      <c r="L95">
        <v>6.6025098347273001</v>
      </c>
      <c r="M95">
        <v>518.35243049996802</v>
      </c>
      <c r="N95">
        <v>179.08846095350901</v>
      </c>
      <c r="O95">
        <v>36.646654816924503</v>
      </c>
      <c r="P95">
        <v>0.63836985826492298</v>
      </c>
      <c r="Q95">
        <v>31.370611190795898</v>
      </c>
      <c r="R95">
        <v>104.945518493652</v>
      </c>
      <c r="S95">
        <v>2.9991543292999299</v>
      </c>
      <c r="T95">
        <v>14.6626300811768</v>
      </c>
      <c r="U95">
        <v>0.66991553623731004</v>
      </c>
      <c r="V95" t="s">
        <v>23</v>
      </c>
      <c r="W95" t="s">
        <v>37</v>
      </c>
    </row>
    <row r="96" spans="1:23" x14ac:dyDescent="0.35">
      <c r="A96">
        <v>2</v>
      </c>
      <c r="B96">
        <v>34</v>
      </c>
      <c r="C96">
        <v>1401.07165527344</v>
      </c>
      <c r="D96">
        <v>0.22210413607245999</v>
      </c>
      <c r="E96">
        <v>3.8895400190584</v>
      </c>
      <c r="F96">
        <v>9.1758025807531496</v>
      </c>
      <c r="G96">
        <v>0.58379377523578702</v>
      </c>
      <c r="H96">
        <v>6.2841312941176497</v>
      </c>
      <c r="I96">
        <v>36.303951263427699</v>
      </c>
      <c r="J96">
        <v>0</v>
      </c>
      <c r="K96">
        <v>336.938720703125</v>
      </c>
      <c r="L96">
        <v>7.0017162405076601</v>
      </c>
      <c r="M96">
        <v>438.072273629611</v>
      </c>
      <c r="N96">
        <v>180.608148293417</v>
      </c>
      <c r="O96">
        <v>29.529922235207501</v>
      </c>
      <c r="P96">
        <v>5.03402650356293E-2</v>
      </c>
      <c r="Q96">
        <v>32.166259765625</v>
      </c>
      <c r="R96">
        <v>276.10528564453102</v>
      </c>
      <c r="S96">
        <v>2.7541573047637899</v>
      </c>
      <c r="T96">
        <v>10.947196960449199</v>
      </c>
      <c r="U96">
        <v>0.51369865994388797</v>
      </c>
      <c r="V96" t="s">
        <v>42</v>
      </c>
      <c r="W96" t="s">
        <v>37</v>
      </c>
    </row>
    <row r="97" spans="1:23" x14ac:dyDescent="0.35">
      <c r="A97">
        <v>2.3304137733491901</v>
      </c>
      <c r="B97">
        <v>40</v>
      </c>
      <c r="C97">
        <v>776.93560791015602</v>
      </c>
      <c r="D97">
        <v>0.22837563726260199</v>
      </c>
      <c r="E97">
        <v>5.5834191850214501E-2</v>
      </c>
      <c r="F97">
        <v>0.26500433113252297</v>
      </c>
      <c r="G97">
        <v>96.504042300079504</v>
      </c>
      <c r="H97">
        <v>3.19522885714286</v>
      </c>
      <c r="I97">
        <v>15.90074634552</v>
      </c>
      <c r="J97">
        <v>0</v>
      </c>
      <c r="K97">
        <v>1220.41625976562</v>
      </c>
      <c r="L97">
        <v>63.604669101902701</v>
      </c>
      <c r="M97">
        <v>1355.42191102075</v>
      </c>
      <c r="N97">
        <v>151.06265283803501</v>
      </c>
      <c r="O97">
        <v>49.543591045942499</v>
      </c>
      <c r="P97">
        <v>27.5146160125732</v>
      </c>
      <c r="Q97">
        <v>34.495922088622997</v>
      </c>
      <c r="R97">
        <v>131.03700256347699</v>
      </c>
      <c r="S97">
        <v>2.2520301342010498</v>
      </c>
      <c r="T97">
        <v>7.9244589805603001</v>
      </c>
      <c r="U97">
        <v>0.74819339349392999</v>
      </c>
      <c r="V97" t="s">
        <v>23</v>
      </c>
      <c r="W97" t="s">
        <v>39</v>
      </c>
    </row>
    <row r="98" spans="1:23" x14ac:dyDescent="0.35">
      <c r="A98">
        <v>2.2900346113625201</v>
      </c>
      <c r="B98">
        <v>258</v>
      </c>
      <c r="C98">
        <v>438.28652954101602</v>
      </c>
      <c r="D98">
        <v>0.33088815688944201</v>
      </c>
      <c r="E98">
        <v>0.14341128912124601</v>
      </c>
      <c r="F98">
        <v>0.84609132933446396</v>
      </c>
      <c r="G98">
        <v>83.451835984542399</v>
      </c>
      <c r="H98">
        <v>3.3578068586956502</v>
      </c>
      <c r="I98">
        <v>36.3988037109375</v>
      </c>
      <c r="J98">
        <v>0</v>
      </c>
      <c r="K98">
        <v>1160.40222167969</v>
      </c>
      <c r="L98">
        <v>60.022707266885703</v>
      </c>
      <c r="M98">
        <v>1337.05694680136</v>
      </c>
      <c r="N98">
        <v>149.59421201612099</v>
      </c>
      <c r="O98">
        <v>51.5696288562212</v>
      </c>
      <c r="P98">
        <v>23.174259185791001</v>
      </c>
      <c r="Q98">
        <v>35.9202270507812</v>
      </c>
      <c r="R98">
        <v>104.57374572753901</v>
      </c>
      <c r="S98">
        <v>2.15207743644714</v>
      </c>
      <c r="T98">
        <v>10.4807844161987</v>
      </c>
      <c r="U98">
        <v>1.1802039509332301</v>
      </c>
      <c r="V98" t="s">
        <v>41</v>
      </c>
      <c r="W98" t="s">
        <v>39</v>
      </c>
    </row>
    <row r="99" spans="1:23" x14ac:dyDescent="0.35">
      <c r="A99">
        <v>2.5797835966168101</v>
      </c>
      <c r="B99">
        <v>558</v>
      </c>
      <c r="C99">
        <v>158.25086975097699</v>
      </c>
      <c r="D99">
        <v>0.65753296336651101</v>
      </c>
      <c r="E99">
        <v>0.70960189160452103</v>
      </c>
      <c r="F99">
        <v>4.1322737698301104</v>
      </c>
      <c r="G99">
        <v>71.165972821158107</v>
      </c>
      <c r="H99">
        <v>3.9561035656836498</v>
      </c>
      <c r="I99">
        <v>42.621105194091797</v>
      </c>
      <c r="J99">
        <v>0</v>
      </c>
      <c r="K99">
        <v>2283.9638671875</v>
      </c>
      <c r="L99">
        <v>75.844296940037495</v>
      </c>
      <c r="M99">
        <v>1581.99574354828</v>
      </c>
      <c r="N99">
        <v>158.89688635654099</v>
      </c>
      <c r="O99">
        <v>56.140852380971403</v>
      </c>
      <c r="P99">
        <v>12.388617515564</v>
      </c>
      <c r="Q99">
        <v>30.7905158996582</v>
      </c>
      <c r="R99">
        <v>168.91763305664099</v>
      </c>
      <c r="S99">
        <v>3.3205943107604998</v>
      </c>
      <c r="T99">
        <v>12.7269840240479</v>
      </c>
      <c r="U99">
        <v>1.28462237063994</v>
      </c>
      <c r="V99" t="s">
        <v>23</v>
      </c>
      <c r="W99" t="s">
        <v>38</v>
      </c>
    </row>
    <row r="100" spans="1:23" x14ac:dyDescent="0.35">
      <c r="A100">
        <v>1.50514997831991</v>
      </c>
      <c r="B100">
        <v>359</v>
      </c>
      <c r="C100">
        <v>1689.27392578125</v>
      </c>
      <c r="D100">
        <v>0.133667503947827</v>
      </c>
      <c r="E100">
        <v>1.1057909513057599E-2</v>
      </c>
      <c r="F100">
        <v>15.9660033077731</v>
      </c>
      <c r="G100">
        <v>3.6324927828408899</v>
      </c>
      <c r="H100">
        <v>2.0061122900432902</v>
      </c>
      <c r="I100">
        <v>26.588615417480501</v>
      </c>
      <c r="J100">
        <v>0</v>
      </c>
      <c r="K100">
        <v>439.28997802734398</v>
      </c>
      <c r="L100">
        <v>14.317164100584399</v>
      </c>
      <c r="M100">
        <v>659.49886984903299</v>
      </c>
      <c r="N100">
        <v>178.50030442534899</v>
      </c>
      <c r="O100">
        <v>40.701566352218897</v>
      </c>
      <c r="P100">
        <v>0.61511760950088501</v>
      </c>
      <c r="Q100">
        <v>31.914808273315401</v>
      </c>
      <c r="R100">
        <v>107.77529144287099</v>
      </c>
      <c r="S100">
        <v>3.63880515098572</v>
      </c>
      <c r="T100">
        <v>18.256525039672901</v>
      </c>
      <c r="U100">
        <v>0.61616965459061701</v>
      </c>
      <c r="V100" t="s">
        <v>23</v>
      </c>
      <c r="W100" t="s">
        <v>37</v>
      </c>
    </row>
    <row r="101" spans="1:23" x14ac:dyDescent="0.35">
      <c r="A101">
        <v>2.49136169383427</v>
      </c>
      <c r="B101">
        <v>163</v>
      </c>
      <c r="C101">
        <v>101.08871459960901</v>
      </c>
      <c r="D101">
        <v>0.93465952488645199</v>
      </c>
      <c r="E101">
        <v>1.12127463103862E-2</v>
      </c>
      <c r="F101">
        <v>2.0764065236326998</v>
      </c>
      <c r="G101">
        <v>81.455750915416104</v>
      </c>
      <c r="H101">
        <v>2.41631385714286</v>
      </c>
      <c r="I101">
        <v>31.927173614501999</v>
      </c>
      <c r="J101">
        <v>0</v>
      </c>
      <c r="K101">
        <v>4230.95947265625</v>
      </c>
      <c r="L101">
        <v>82.839177553770995</v>
      </c>
      <c r="M101">
        <v>1770.93588707095</v>
      </c>
      <c r="N101">
        <v>155.58825133276801</v>
      </c>
      <c r="O101">
        <v>64.847734420025901</v>
      </c>
      <c r="P101">
        <v>18.466157913208001</v>
      </c>
      <c r="Q101">
        <v>24.043012619018601</v>
      </c>
      <c r="R101">
        <v>121.68491363525401</v>
      </c>
      <c r="S101">
        <v>3.3567047119140598</v>
      </c>
      <c r="T101">
        <v>14.4469499588013</v>
      </c>
      <c r="U101">
        <v>1.00186000126282</v>
      </c>
      <c r="V101" t="s">
        <v>25</v>
      </c>
      <c r="W101" t="s">
        <v>43</v>
      </c>
    </row>
    <row r="102" spans="1:23" x14ac:dyDescent="0.35">
      <c r="A102">
        <v>1.82607480270083</v>
      </c>
      <c r="B102">
        <v>495</v>
      </c>
      <c r="C102">
        <v>820.840576171875</v>
      </c>
      <c r="D102">
        <v>0.27393061350064801</v>
      </c>
      <c r="E102">
        <v>7.4463553796384803</v>
      </c>
      <c r="F102">
        <v>0.26500573411619899</v>
      </c>
      <c r="G102">
        <v>75.469564583618293</v>
      </c>
      <c r="H102">
        <v>4.7928417068403899</v>
      </c>
      <c r="I102">
        <v>18.7562370300293</v>
      </c>
      <c r="J102">
        <v>3.2909720958204902</v>
      </c>
      <c r="K102">
        <v>968.21319580078102</v>
      </c>
      <c r="L102">
        <v>64.001034345783196</v>
      </c>
      <c r="M102">
        <v>1300.5325837682501</v>
      </c>
      <c r="N102">
        <v>152.11333127881699</v>
      </c>
      <c r="O102">
        <v>44.504612281674198</v>
      </c>
      <c r="P102">
        <v>20.918745040893601</v>
      </c>
      <c r="Q102">
        <v>33.608074188232401</v>
      </c>
      <c r="R102">
        <v>211.80647277832</v>
      </c>
      <c r="S102">
        <v>2.9935853481292698</v>
      </c>
      <c r="T102">
        <v>14.6585369110107</v>
      </c>
      <c r="U102">
        <v>1.5555000451946199</v>
      </c>
      <c r="V102" t="s">
        <v>23</v>
      </c>
      <c r="W102" t="s">
        <v>39</v>
      </c>
    </row>
    <row r="103" spans="1:23" x14ac:dyDescent="0.35">
      <c r="A103">
        <v>2.1139433523068401</v>
      </c>
      <c r="B103">
        <v>907</v>
      </c>
      <c r="C103">
        <v>134.90216064453099</v>
      </c>
      <c r="D103">
        <v>0.44866667053853099</v>
      </c>
      <c r="E103">
        <v>2.43732346263663E-2</v>
      </c>
      <c r="F103">
        <v>0.83218778895779699</v>
      </c>
      <c r="G103">
        <v>87.731667796003805</v>
      </c>
      <c r="H103">
        <v>4.7898155698729603</v>
      </c>
      <c r="I103">
        <v>36.094635009765597</v>
      </c>
      <c r="J103">
        <v>0</v>
      </c>
      <c r="K103">
        <v>1019.69323730469</v>
      </c>
      <c r="L103">
        <v>34.881310228441599</v>
      </c>
      <c r="M103">
        <v>1085.75560522861</v>
      </c>
      <c r="N103">
        <v>165.55156670242101</v>
      </c>
      <c r="O103">
        <v>55.7194389593406</v>
      </c>
      <c r="P103">
        <v>17.375270843505898</v>
      </c>
      <c r="Q103">
        <v>33.739078521728501</v>
      </c>
      <c r="R103">
        <v>190.24342346191401</v>
      </c>
      <c r="S103">
        <v>3.0184643268585201</v>
      </c>
      <c r="T103">
        <v>19.275394439697301</v>
      </c>
      <c r="U103">
        <v>1.1981875595953499</v>
      </c>
      <c r="V103" t="s">
        <v>23</v>
      </c>
      <c r="W103" t="s">
        <v>40</v>
      </c>
    </row>
    <row r="104" spans="1:23" x14ac:dyDescent="0.35">
      <c r="A104">
        <v>1.9493900066449099</v>
      </c>
      <c r="B104">
        <v>348</v>
      </c>
      <c r="C104">
        <v>1195.49047851562</v>
      </c>
      <c r="D104">
        <v>0.16973088263539601</v>
      </c>
      <c r="E104">
        <v>0.95573853492917904</v>
      </c>
      <c r="F104">
        <v>9.9761133834382392</v>
      </c>
      <c r="G104">
        <v>0.15786861687310699</v>
      </c>
      <c r="H104">
        <v>2.9263864647302902</v>
      </c>
      <c r="I104">
        <v>38.821079254150398</v>
      </c>
      <c r="J104">
        <v>0</v>
      </c>
      <c r="K104">
        <v>417.03381347656199</v>
      </c>
      <c r="L104">
        <v>3.4763453612562101</v>
      </c>
      <c r="M104">
        <v>446.20435821032902</v>
      </c>
      <c r="N104">
        <v>181.417437443968</v>
      </c>
      <c r="O104">
        <v>33.751937616066897</v>
      </c>
      <c r="P104">
        <v>3.4029141068458599E-2</v>
      </c>
      <c r="Q104">
        <v>31.3536891937256</v>
      </c>
      <c r="R104">
        <v>101.54892730712901</v>
      </c>
      <c r="S104">
        <v>2.7902035713195801</v>
      </c>
      <c r="T104">
        <v>22.969551086425799</v>
      </c>
      <c r="U104">
        <v>0.38995036625910101</v>
      </c>
      <c r="V104" t="s">
        <v>34</v>
      </c>
      <c r="W104" t="s">
        <v>37</v>
      </c>
    </row>
    <row r="105" spans="1:23" x14ac:dyDescent="0.35">
      <c r="A105">
        <v>2.6127838567197399</v>
      </c>
      <c r="B105">
        <v>529</v>
      </c>
      <c r="C105">
        <v>580.29113769531205</v>
      </c>
      <c r="D105">
        <v>0.330117712340876</v>
      </c>
      <c r="E105">
        <v>9.2444307590803607</v>
      </c>
      <c r="F105">
        <v>0.81050137876598205</v>
      </c>
      <c r="G105">
        <v>67.410578372495706</v>
      </c>
      <c r="H105">
        <v>5.6887026506849301</v>
      </c>
      <c r="I105">
        <v>107.44598388671901</v>
      </c>
      <c r="J105">
        <v>2.39895542186783</v>
      </c>
      <c r="K105">
        <v>1136.44787597656</v>
      </c>
      <c r="L105">
        <v>73.618074761062402</v>
      </c>
      <c r="M105">
        <v>1419.4813892802299</v>
      </c>
      <c r="N105">
        <v>152.641094520444</v>
      </c>
      <c r="O105">
        <v>44.802898219374399</v>
      </c>
      <c r="P105">
        <v>16.8118782043457</v>
      </c>
      <c r="Q105">
        <v>34.281986236572301</v>
      </c>
      <c r="R105">
        <v>243.74884033203099</v>
      </c>
      <c r="S105">
        <v>3.5260648727417001</v>
      </c>
      <c r="T105">
        <v>8.5202760696411097</v>
      </c>
      <c r="U105">
        <v>1.5562639651486401</v>
      </c>
      <c r="V105" t="s">
        <v>29</v>
      </c>
      <c r="W105" t="s">
        <v>38</v>
      </c>
    </row>
    <row r="106" spans="1:23" x14ac:dyDescent="0.35">
      <c r="A106">
        <v>2.7007037171450201</v>
      </c>
      <c r="B106">
        <v>579</v>
      </c>
      <c r="C106">
        <v>748.54138183593795</v>
      </c>
      <c r="D106">
        <v>0.26969946935003802</v>
      </c>
      <c r="E106">
        <v>5.6299901148596199</v>
      </c>
      <c r="F106">
        <v>0.15178105723587201</v>
      </c>
      <c r="G106">
        <v>78.316167880609797</v>
      </c>
      <c r="H106">
        <v>4.3009809022081997</v>
      </c>
      <c r="I106">
        <v>52.886119842529297</v>
      </c>
      <c r="J106">
        <v>3.67025088484157</v>
      </c>
      <c r="K106">
        <v>1076.08032226562</v>
      </c>
      <c r="L106">
        <v>69.5648214621622</v>
      </c>
      <c r="M106">
        <v>1381.2666155705699</v>
      </c>
      <c r="N106">
        <v>151.25485279521001</v>
      </c>
      <c r="O106">
        <v>45.687595429967701</v>
      </c>
      <c r="P106">
        <v>22.560623168945298</v>
      </c>
      <c r="Q106">
        <v>34.830356597900398</v>
      </c>
      <c r="R106">
        <v>231.62365722656199</v>
      </c>
      <c r="S106">
        <v>2.4428021907806401</v>
      </c>
      <c r="T106">
        <v>9.5120954513549805</v>
      </c>
      <c r="U106">
        <v>1.42311770418669</v>
      </c>
      <c r="V106" t="s">
        <v>23</v>
      </c>
      <c r="W106" t="s">
        <v>38</v>
      </c>
    </row>
    <row r="107" spans="1:23" x14ac:dyDescent="0.35">
      <c r="A107">
        <v>2.2304489213782701</v>
      </c>
      <c r="B107">
        <v>556</v>
      </c>
      <c r="C107">
        <v>40.947540283203097</v>
      </c>
      <c r="D107">
        <v>0.50449207613087799</v>
      </c>
      <c r="E107">
        <v>1.00419919124871</v>
      </c>
      <c r="F107">
        <v>9.3886954828648103E-2</v>
      </c>
      <c r="G107">
        <v>92.660795536411996</v>
      </c>
      <c r="H107">
        <v>4.8648139691357999</v>
      </c>
      <c r="I107">
        <v>38.137954711914098</v>
      </c>
      <c r="J107">
        <v>1.10783139516953E-2</v>
      </c>
      <c r="K107">
        <v>2152.06860351562</v>
      </c>
      <c r="L107">
        <v>72.546463700591502</v>
      </c>
      <c r="M107">
        <v>1517.44066382236</v>
      </c>
      <c r="N107">
        <v>152.78680419921901</v>
      </c>
      <c r="O107">
        <v>54.025824187231798</v>
      </c>
      <c r="P107">
        <v>23.708702087402301</v>
      </c>
      <c r="Q107">
        <v>33.314662933349602</v>
      </c>
      <c r="R107">
        <v>215.10987854003901</v>
      </c>
      <c r="S107">
        <v>3.6788072586059601</v>
      </c>
      <c r="T107">
        <v>10.7950801849365</v>
      </c>
      <c r="U107">
        <v>0.97030174393347102</v>
      </c>
      <c r="V107" t="s">
        <v>23</v>
      </c>
      <c r="W107" t="s">
        <v>38</v>
      </c>
    </row>
    <row r="108" spans="1:23" x14ac:dyDescent="0.35">
      <c r="A108">
        <v>1.4771212547196599</v>
      </c>
      <c r="B108">
        <v>839</v>
      </c>
      <c r="C108">
        <v>1685.59228515625</v>
      </c>
      <c r="D108">
        <v>0.122263328961041</v>
      </c>
      <c r="E108">
        <v>1.27721591189991</v>
      </c>
      <c r="F108">
        <v>27.562064206119501</v>
      </c>
      <c r="G108">
        <v>1.1779037208318099</v>
      </c>
      <c r="H108">
        <v>1.5636185929648201</v>
      </c>
      <c r="I108">
        <v>15.7080793380737</v>
      </c>
      <c r="J108">
        <v>0</v>
      </c>
      <c r="K108">
        <v>416.26123046875</v>
      </c>
      <c r="L108">
        <v>19.032057261857801</v>
      </c>
      <c r="M108">
        <v>717.11670121990301</v>
      </c>
      <c r="N108">
        <v>177.90402421795</v>
      </c>
      <c r="O108">
        <v>40.776684870485397</v>
      </c>
      <c r="P108">
        <v>1.66529870033264</v>
      </c>
      <c r="Q108">
        <v>29.676267623901399</v>
      </c>
      <c r="R108">
        <v>61.477439880371101</v>
      </c>
      <c r="S108">
        <v>4.01928806304932</v>
      </c>
      <c r="T108">
        <v>14.2648210525513</v>
      </c>
      <c r="U108">
        <v>0.83832246163689195</v>
      </c>
      <c r="V108" t="s">
        <v>23</v>
      </c>
      <c r="W108" t="s">
        <v>37</v>
      </c>
    </row>
    <row r="109" spans="1:23" x14ac:dyDescent="0.35">
      <c r="A109">
        <v>2.3961993470957399</v>
      </c>
      <c r="B109">
        <v>654</v>
      </c>
      <c r="C109">
        <v>305.478515625</v>
      </c>
      <c r="D109">
        <v>0.441409700212608</v>
      </c>
      <c r="E109">
        <v>1.0129883269459099</v>
      </c>
      <c r="F109">
        <v>0.36825013973446402</v>
      </c>
      <c r="G109">
        <v>92.906153360778504</v>
      </c>
      <c r="H109">
        <v>2.9791518771084302</v>
      </c>
      <c r="I109">
        <v>41.488937377929702</v>
      </c>
      <c r="J109">
        <v>0.53121590167757904</v>
      </c>
      <c r="K109">
        <v>1346.04272460938</v>
      </c>
      <c r="L109">
        <v>68.229389690961995</v>
      </c>
      <c r="M109">
        <v>1473.14301237513</v>
      </c>
      <c r="N109">
        <v>149.13224767466099</v>
      </c>
      <c r="O109">
        <v>54.6888151950523</v>
      </c>
      <c r="P109">
        <v>25.923892974853501</v>
      </c>
      <c r="Q109">
        <v>37.235435485839801</v>
      </c>
      <c r="R109">
        <v>143.88134765625</v>
      </c>
      <c r="S109">
        <v>2.1427848339080802</v>
      </c>
      <c r="T109">
        <v>10.278679847717299</v>
      </c>
      <c r="U109">
        <v>1.02917535988947</v>
      </c>
      <c r="V109" t="s">
        <v>41</v>
      </c>
      <c r="W109" t="s">
        <v>39</v>
      </c>
    </row>
    <row r="110" spans="1:23" x14ac:dyDescent="0.35">
      <c r="A110">
        <v>1.9731278535997001</v>
      </c>
      <c r="B110">
        <v>316</v>
      </c>
      <c r="C110">
        <v>142.14680480957</v>
      </c>
      <c r="D110">
        <v>0.53451265993294905</v>
      </c>
      <c r="E110">
        <v>3.4694222735268503E-2</v>
      </c>
      <c r="F110">
        <v>0.81768384575757602</v>
      </c>
      <c r="G110">
        <v>85.0762068106594</v>
      </c>
      <c r="H110">
        <v>4.2740014166666702</v>
      </c>
      <c r="I110">
        <v>32.497604370117202</v>
      </c>
      <c r="J110">
        <v>0</v>
      </c>
      <c r="K110">
        <v>1658.77026367188</v>
      </c>
      <c r="L110">
        <v>59.349386559158098</v>
      </c>
      <c r="M110">
        <v>1403.6253041752</v>
      </c>
      <c r="N110">
        <v>163.93427739377901</v>
      </c>
      <c r="O110">
        <v>57.7476418917296</v>
      </c>
      <c r="P110">
        <v>16.186683654785199</v>
      </c>
      <c r="Q110">
        <v>31.423801422119102</v>
      </c>
      <c r="R110">
        <v>175.32142639160199</v>
      </c>
      <c r="S110">
        <v>2.9174776077270499</v>
      </c>
      <c r="T110">
        <v>17.822231292724599</v>
      </c>
      <c r="U110">
        <v>1.2242678864553</v>
      </c>
      <c r="V110" t="s">
        <v>23</v>
      </c>
      <c r="W110" t="s">
        <v>40</v>
      </c>
    </row>
    <row r="111" spans="1:23" x14ac:dyDescent="0.35">
      <c r="A111">
        <v>2.3096301674259001</v>
      </c>
      <c r="B111">
        <v>773</v>
      </c>
      <c r="C111">
        <v>55.009841918945298</v>
      </c>
      <c r="D111">
        <v>0.47850614055664298</v>
      </c>
      <c r="E111">
        <v>3.7413568736084403E-2</v>
      </c>
      <c r="F111">
        <v>0.493779308173873</v>
      </c>
      <c r="G111">
        <v>97.201762339312893</v>
      </c>
      <c r="H111">
        <v>0.90829939797979797</v>
      </c>
      <c r="I111">
        <v>40.995128631591797</v>
      </c>
      <c r="J111">
        <v>0</v>
      </c>
      <c r="K111">
        <v>1110.08459472656</v>
      </c>
      <c r="L111">
        <v>43.452544009099199</v>
      </c>
      <c r="M111">
        <v>1241.82905953829</v>
      </c>
      <c r="N111">
        <v>147.99125796458799</v>
      </c>
      <c r="O111">
        <v>60.126516998791303</v>
      </c>
      <c r="P111">
        <v>22.5249328613281</v>
      </c>
      <c r="Q111">
        <v>32.107208251953097</v>
      </c>
      <c r="R111">
        <v>74.7760009765625</v>
      </c>
      <c r="S111">
        <v>2.1520519256591801</v>
      </c>
      <c r="T111">
        <v>10.6621255874634</v>
      </c>
      <c r="U111">
        <v>0.41820671975530699</v>
      </c>
      <c r="V111" t="s">
        <v>25</v>
      </c>
      <c r="W111" t="s">
        <v>39</v>
      </c>
    </row>
    <row r="112" spans="1:23" x14ac:dyDescent="0.35">
      <c r="A112">
        <v>2.2304489213782701</v>
      </c>
      <c r="B112">
        <v>337</v>
      </c>
      <c r="C112">
        <v>155.56552124023401</v>
      </c>
      <c r="D112">
        <v>0.44387188747899597</v>
      </c>
      <c r="E112">
        <v>6.7554717334028597E-2</v>
      </c>
      <c r="F112">
        <v>0.30570117795316898</v>
      </c>
      <c r="G112">
        <v>85.112849344320196</v>
      </c>
      <c r="H112">
        <v>4.8844823502304102</v>
      </c>
      <c r="I112">
        <v>28.210985183715799</v>
      </c>
      <c r="J112">
        <v>0</v>
      </c>
      <c r="K112">
        <v>1576.99877929688</v>
      </c>
      <c r="L112">
        <v>62.5200184681376</v>
      </c>
      <c r="M112">
        <v>1424.0554439357099</v>
      </c>
      <c r="N112">
        <v>164.37546201612099</v>
      </c>
      <c r="O112">
        <v>56.306735367071397</v>
      </c>
      <c r="P112">
        <v>15.7987279891968</v>
      </c>
      <c r="Q112">
        <v>32.161281585693402</v>
      </c>
      <c r="R112">
        <v>188.31640625</v>
      </c>
      <c r="S112">
        <v>2.91419124603271</v>
      </c>
      <c r="T112">
        <v>17.586278915405298</v>
      </c>
      <c r="U112">
        <v>1.20006324040693</v>
      </c>
      <c r="V112" t="s">
        <v>23</v>
      </c>
      <c r="W112" t="s">
        <v>40</v>
      </c>
    </row>
    <row r="113" spans="1:23" x14ac:dyDescent="0.35">
      <c r="A113">
        <v>2.4814426285022999</v>
      </c>
      <c r="B113">
        <v>1410</v>
      </c>
      <c r="C113">
        <v>237.62783813476599</v>
      </c>
      <c r="D113">
        <v>0.35309555694343397</v>
      </c>
      <c r="E113">
        <v>7.7538232238907003</v>
      </c>
      <c r="F113">
        <v>0.231809944701175</v>
      </c>
      <c r="G113">
        <v>68.097934395935496</v>
      </c>
      <c r="H113">
        <v>6.3994036964078802</v>
      </c>
      <c r="I113">
        <v>33.365802764892599</v>
      </c>
      <c r="J113">
        <v>9.7033468774578697</v>
      </c>
      <c r="K113">
        <v>1288.42883300781</v>
      </c>
      <c r="L113">
        <v>75.548649271980693</v>
      </c>
      <c r="M113">
        <v>1452.8533995581499</v>
      </c>
      <c r="N113">
        <v>153.97616902335699</v>
      </c>
      <c r="O113">
        <v>45.648343258216698</v>
      </c>
      <c r="P113">
        <v>17.160987854003899</v>
      </c>
      <c r="Q113">
        <v>34.534408569335902</v>
      </c>
      <c r="R113">
        <v>253.41947937011699</v>
      </c>
      <c r="S113">
        <v>3.7198474407196001</v>
      </c>
      <c r="T113">
        <v>12.017753601074199</v>
      </c>
      <c r="U113">
        <v>1.54700381769511</v>
      </c>
      <c r="V113" t="s">
        <v>29</v>
      </c>
      <c r="W113" t="s">
        <v>38</v>
      </c>
    </row>
    <row r="114" spans="1:23" x14ac:dyDescent="0.35">
      <c r="A114">
        <v>2.7084209001347102</v>
      </c>
      <c r="B114">
        <v>411</v>
      </c>
      <c r="C114">
        <v>242.47085571289099</v>
      </c>
      <c r="D114">
        <v>0.39524760436574802</v>
      </c>
      <c r="E114">
        <v>0.28340671751266</v>
      </c>
      <c r="F114">
        <v>0.115226798301757</v>
      </c>
      <c r="G114">
        <v>96.853513221318295</v>
      </c>
      <c r="H114">
        <v>4.5002795836734704</v>
      </c>
      <c r="I114">
        <v>114.80435180664099</v>
      </c>
      <c r="J114">
        <v>0</v>
      </c>
      <c r="K114">
        <v>1563.80749511719</v>
      </c>
      <c r="L114">
        <v>73.231488712498404</v>
      </c>
      <c r="M114">
        <v>1539.2645243660299</v>
      </c>
      <c r="N114">
        <v>149.54820501608901</v>
      </c>
      <c r="O114">
        <v>55.182854699306802</v>
      </c>
      <c r="P114">
        <v>28.283863067626999</v>
      </c>
      <c r="Q114">
        <v>35.596607208252003</v>
      </c>
      <c r="R114">
        <v>206.62808227539099</v>
      </c>
      <c r="S114">
        <v>2.1590726375579798</v>
      </c>
      <c r="T114">
        <v>10.205717086791999</v>
      </c>
      <c r="U114">
        <v>0.94448053618422301</v>
      </c>
      <c r="V114" t="s">
        <v>41</v>
      </c>
      <c r="W114" t="s">
        <v>38</v>
      </c>
    </row>
    <row r="115" spans="1:23" x14ac:dyDescent="0.35">
      <c r="A115">
        <v>2.1789769472931702</v>
      </c>
      <c r="B115">
        <v>115</v>
      </c>
      <c r="C115">
        <v>59.252727508544901</v>
      </c>
      <c r="D115">
        <v>0.56207795976855102</v>
      </c>
      <c r="E115">
        <v>7.8827893595284304E-2</v>
      </c>
      <c r="F115">
        <v>1.86380103636582</v>
      </c>
      <c r="G115">
        <v>82.315532610782597</v>
      </c>
      <c r="H115">
        <v>0.91346319718309898</v>
      </c>
      <c r="I115">
        <v>54.282222747802699</v>
      </c>
      <c r="J115">
        <v>0</v>
      </c>
      <c r="K115">
        <v>760.57562255859398</v>
      </c>
      <c r="L115">
        <v>24.054151159818101</v>
      </c>
      <c r="M115">
        <v>881.62957063268402</v>
      </c>
      <c r="N115">
        <v>147.85691758452899</v>
      </c>
      <c r="O115">
        <v>49.499497147857198</v>
      </c>
      <c r="P115">
        <v>14.454002380371101</v>
      </c>
      <c r="Q115">
        <v>26.434013366699201</v>
      </c>
      <c r="R115">
        <v>57.770748138427699</v>
      </c>
      <c r="S115">
        <v>2.1526453495025599</v>
      </c>
      <c r="T115">
        <v>10.7500009536743</v>
      </c>
      <c r="U115">
        <v>0.91673712529514995</v>
      </c>
      <c r="V115" t="s">
        <v>25</v>
      </c>
      <c r="W115" t="s">
        <v>39</v>
      </c>
    </row>
    <row r="116" spans="1:23" x14ac:dyDescent="0.35">
      <c r="A116">
        <v>2.33645973384853</v>
      </c>
      <c r="B116">
        <v>190</v>
      </c>
      <c r="C116">
        <v>47.410888671875</v>
      </c>
      <c r="D116">
        <v>0.63875867124780605</v>
      </c>
      <c r="E116">
        <v>1</v>
      </c>
      <c r="F116">
        <v>8.5475121893302397</v>
      </c>
      <c r="G116">
        <v>79.8561140457428</v>
      </c>
      <c r="H116">
        <v>0.81005595275590503</v>
      </c>
      <c r="I116">
        <v>54.345516204833999</v>
      </c>
      <c r="J116">
        <v>0</v>
      </c>
      <c r="K116">
        <v>786.01379394531205</v>
      </c>
      <c r="L116">
        <v>24.780593731364299</v>
      </c>
      <c r="M116">
        <v>906.17235327548701</v>
      </c>
      <c r="N116">
        <v>147.58705364289801</v>
      </c>
      <c r="O116">
        <v>50.8168384989754</v>
      </c>
      <c r="P116">
        <v>14.216426849365201</v>
      </c>
      <c r="Q116">
        <v>27.550235748291001</v>
      </c>
      <c r="R116">
        <v>60.844081878662102</v>
      </c>
      <c r="S116">
        <v>2.1539928913116499</v>
      </c>
      <c r="T116">
        <v>11.144345283508301</v>
      </c>
      <c r="U116">
        <v>1.0140327678085299</v>
      </c>
      <c r="V116" t="s">
        <v>25</v>
      </c>
      <c r="W116" t="s">
        <v>39</v>
      </c>
    </row>
    <row r="117" spans="1:23" x14ac:dyDescent="0.35">
      <c r="A117">
        <v>2.4712917110589401</v>
      </c>
      <c r="B117">
        <v>254</v>
      </c>
      <c r="C117">
        <v>197.90408325195301</v>
      </c>
      <c r="D117">
        <v>0.40068642940562499</v>
      </c>
      <c r="E117">
        <v>4.9568983205817103E-2</v>
      </c>
      <c r="F117">
        <v>0.357060483383078</v>
      </c>
      <c r="G117">
        <v>97.942757651711204</v>
      </c>
      <c r="H117">
        <v>3.38634011347518</v>
      </c>
      <c r="I117">
        <v>115.779350280762</v>
      </c>
      <c r="J117">
        <v>0</v>
      </c>
      <c r="K117">
        <v>1635.51599121094</v>
      </c>
      <c r="L117">
        <v>70.331166689513196</v>
      </c>
      <c r="M117">
        <v>1572.4179747534599</v>
      </c>
      <c r="N117">
        <v>149.08389132140101</v>
      </c>
      <c r="O117">
        <v>60.828294910368399</v>
      </c>
      <c r="P117">
        <v>28.288639068603501</v>
      </c>
      <c r="Q117">
        <v>35.868560791015597</v>
      </c>
      <c r="R117">
        <v>182.55644226074199</v>
      </c>
      <c r="S117">
        <v>2.1499712467193599</v>
      </c>
      <c r="T117">
        <v>10.8175144195557</v>
      </c>
      <c r="U117">
        <v>0.75067255955218304</v>
      </c>
      <c r="V117" t="s">
        <v>41</v>
      </c>
      <c r="W117" t="s">
        <v>38</v>
      </c>
    </row>
    <row r="118" spans="1:23" x14ac:dyDescent="0.35">
      <c r="A118">
        <v>2.0086001717619202</v>
      </c>
      <c r="B118">
        <v>329</v>
      </c>
      <c r="C118">
        <v>38.550846099853501</v>
      </c>
      <c r="D118">
        <v>0.59774330934181397</v>
      </c>
      <c r="E118">
        <v>6.3137869700078302E-3</v>
      </c>
      <c r="F118">
        <v>2.3990973818022301</v>
      </c>
      <c r="G118">
        <v>92.448554217317295</v>
      </c>
      <c r="H118">
        <v>0.84825004639175305</v>
      </c>
      <c r="I118">
        <v>54.5536499023438</v>
      </c>
      <c r="J118">
        <v>0</v>
      </c>
      <c r="K118">
        <v>834.87860107421898</v>
      </c>
      <c r="L118">
        <v>26.229152007181099</v>
      </c>
      <c r="M118">
        <v>952.37174512519198</v>
      </c>
      <c r="N118">
        <v>147.61230018490701</v>
      </c>
      <c r="O118">
        <v>53.230179145687899</v>
      </c>
      <c r="P118">
        <v>16.9352931976318</v>
      </c>
      <c r="Q118">
        <v>27.836046218872099</v>
      </c>
      <c r="R118">
        <v>68.493621826171903</v>
      </c>
      <c r="S118">
        <v>2.1530745029449498</v>
      </c>
      <c r="T118">
        <v>11.9165592193604</v>
      </c>
      <c r="U118">
        <v>0.62530418318141101</v>
      </c>
      <c r="V118" t="s">
        <v>25</v>
      </c>
      <c r="W118" t="s">
        <v>39</v>
      </c>
    </row>
    <row r="119" spans="1:23" x14ac:dyDescent="0.35">
      <c r="A119">
        <v>2.59769518592551</v>
      </c>
      <c r="B119">
        <v>332</v>
      </c>
      <c r="C119">
        <v>106.483642578125</v>
      </c>
      <c r="D119">
        <v>0.57680070619345403</v>
      </c>
      <c r="E119">
        <v>0.104625689925921</v>
      </c>
      <c r="F119">
        <v>0.99567946939640894</v>
      </c>
      <c r="G119">
        <v>95.098152092274304</v>
      </c>
      <c r="H119">
        <v>1.71712428636364</v>
      </c>
      <c r="I119">
        <v>54.450244903564503</v>
      </c>
      <c r="J119">
        <v>0</v>
      </c>
      <c r="K119">
        <v>1553.78283691406</v>
      </c>
      <c r="L119">
        <v>61.240227120821601</v>
      </c>
      <c r="M119">
        <v>1509.2788326075799</v>
      </c>
      <c r="N119">
        <v>149.34407918961301</v>
      </c>
      <c r="O119">
        <v>64.6245465513136</v>
      </c>
      <c r="P119">
        <v>22.460971832275401</v>
      </c>
      <c r="Q119">
        <v>33.094161987304702</v>
      </c>
      <c r="R119">
        <v>112.49770355224599</v>
      </c>
      <c r="S119">
        <v>2.1534683704376198</v>
      </c>
      <c r="T119">
        <v>10.75</v>
      </c>
      <c r="U119">
        <v>0.59469244824771095</v>
      </c>
      <c r="V119" t="s">
        <v>41</v>
      </c>
      <c r="W119" t="s">
        <v>38</v>
      </c>
    </row>
    <row r="120" spans="1:23" x14ac:dyDescent="0.35">
      <c r="A120">
        <v>2.4623979978989601</v>
      </c>
      <c r="B120">
        <v>233</v>
      </c>
      <c r="C120">
        <v>121.64266204834</v>
      </c>
      <c r="D120">
        <v>0.50291019968821504</v>
      </c>
      <c r="E120">
        <v>1.3855672310491601E-2</v>
      </c>
      <c r="F120">
        <v>0.23122039558992999</v>
      </c>
      <c r="G120">
        <v>97.9274406564804</v>
      </c>
      <c r="H120">
        <v>3.5368779189189201</v>
      </c>
      <c r="I120">
        <v>119.02700805664099</v>
      </c>
      <c r="J120">
        <v>0</v>
      </c>
      <c r="K120">
        <v>1927.31005859375</v>
      </c>
      <c r="L120">
        <v>74.834219197757903</v>
      </c>
      <c r="M120">
        <v>1613.9385766201301</v>
      </c>
      <c r="N120">
        <v>148.61273618604301</v>
      </c>
      <c r="O120">
        <v>59.791465258989199</v>
      </c>
      <c r="P120">
        <v>28.293596267700199</v>
      </c>
      <c r="Q120">
        <v>34.148384094238303</v>
      </c>
      <c r="R120">
        <v>188.07385253906199</v>
      </c>
      <c r="S120">
        <v>2.2367081642150901</v>
      </c>
      <c r="T120">
        <v>11.8209276199341</v>
      </c>
      <c r="U120">
        <v>0.80363968850075596</v>
      </c>
      <c r="V120" t="s">
        <v>41</v>
      </c>
      <c r="W120" t="s">
        <v>38</v>
      </c>
    </row>
    <row r="121" spans="1:23" x14ac:dyDescent="0.35">
      <c r="A121">
        <v>2.3201462861110498</v>
      </c>
      <c r="B121">
        <v>277</v>
      </c>
      <c r="C121">
        <v>69.440910339355497</v>
      </c>
      <c r="D121">
        <v>0.56764577705977404</v>
      </c>
      <c r="E121">
        <v>0.180822543773724</v>
      </c>
      <c r="F121">
        <v>0.43709847242786798</v>
      </c>
      <c r="G121">
        <v>96.522716924757006</v>
      </c>
      <c r="H121">
        <v>2.7734635773809502</v>
      </c>
      <c r="I121">
        <v>107.37164306640599</v>
      </c>
      <c r="J121">
        <v>0</v>
      </c>
      <c r="K121">
        <v>1657.00927734375</v>
      </c>
      <c r="L121">
        <v>66.101530481557404</v>
      </c>
      <c r="M121">
        <v>1559.77519851434</v>
      </c>
      <c r="N121">
        <v>149.36198100105699</v>
      </c>
      <c r="O121">
        <v>63.990690074983199</v>
      </c>
      <c r="P121">
        <v>25.110418319702099</v>
      </c>
      <c r="Q121">
        <v>34.387992858886697</v>
      </c>
      <c r="R121">
        <v>146.56327819824199</v>
      </c>
      <c r="S121">
        <v>2.1521685123443599</v>
      </c>
      <c r="T121">
        <v>10.7500009536743</v>
      </c>
      <c r="U121">
        <v>0.71327304048741702</v>
      </c>
      <c r="V121" t="s">
        <v>41</v>
      </c>
      <c r="W121" t="s">
        <v>38</v>
      </c>
    </row>
    <row r="122" spans="1:23" x14ac:dyDescent="0.35">
      <c r="A122">
        <v>2.5611013836490599</v>
      </c>
      <c r="B122">
        <v>98</v>
      </c>
      <c r="C122">
        <v>112.95513916015599</v>
      </c>
      <c r="D122">
        <v>0.605571815927053</v>
      </c>
      <c r="E122">
        <v>1</v>
      </c>
      <c r="F122">
        <v>0.27590375870867301</v>
      </c>
      <c r="G122">
        <v>97.140645173540804</v>
      </c>
      <c r="H122">
        <v>2.331976</v>
      </c>
      <c r="I122">
        <v>119.02700805664099</v>
      </c>
      <c r="J122">
        <v>0</v>
      </c>
      <c r="K122">
        <v>2661.39111328125</v>
      </c>
      <c r="L122">
        <v>71.313389762503206</v>
      </c>
      <c r="M122">
        <v>1671.4903544441599</v>
      </c>
      <c r="N122">
        <v>149.08776480252601</v>
      </c>
      <c r="O122">
        <v>68.061406932893306</v>
      </c>
      <c r="P122">
        <v>22.805534362793001</v>
      </c>
      <c r="Q122">
        <v>30.167385101318398</v>
      </c>
      <c r="R122">
        <v>106.164688110352</v>
      </c>
      <c r="S122">
        <v>2.33504438400269</v>
      </c>
      <c r="T122">
        <v>15.371862411499</v>
      </c>
      <c r="U122">
        <v>0.54896529176980202</v>
      </c>
      <c r="V122" t="s">
        <v>25</v>
      </c>
      <c r="W122" t="s">
        <v>43</v>
      </c>
    </row>
    <row r="123" spans="1:23" x14ac:dyDescent="0.35">
      <c r="A123">
        <v>3.17609125905568</v>
      </c>
      <c r="B123">
        <v>251</v>
      </c>
      <c r="C123">
        <v>819.19049072265602</v>
      </c>
      <c r="D123">
        <v>0.224538406132443</v>
      </c>
      <c r="E123">
        <v>0.14020517497721199</v>
      </c>
      <c r="F123">
        <v>0.80555650672088097</v>
      </c>
      <c r="G123">
        <v>69.9068508673802</v>
      </c>
      <c r="H123">
        <v>5.0558207861635198</v>
      </c>
      <c r="I123">
        <v>37.332145690917997</v>
      </c>
      <c r="J123">
        <v>0</v>
      </c>
      <c r="K123">
        <v>1022.8154296875</v>
      </c>
      <c r="L123">
        <v>46.114685152397797</v>
      </c>
      <c r="M123">
        <v>1175.49738449347</v>
      </c>
      <c r="N123">
        <v>170.092051271532</v>
      </c>
      <c r="O123">
        <v>52.011831064693297</v>
      </c>
      <c r="P123">
        <v>10.180139541626</v>
      </c>
      <c r="Q123">
        <v>35.367752075195298</v>
      </c>
      <c r="R123">
        <v>172.56155395507801</v>
      </c>
      <c r="S123">
        <v>2.8412454128265399</v>
      </c>
      <c r="T123">
        <v>17.860000610351602</v>
      </c>
      <c r="U123">
        <v>1.35228081740087</v>
      </c>
      <c r="V123" t="s">
        <v>23</v>
      </c>
      <c r="W123" t="s">
        <v>40</v>
      </c>
    </row>
    <row r="124" spans="1:23" x14ac:dyDescent="0.35">
      <c r="A124">
        <v>1.8573324964312701</v>
      </c>
      <c r="B124">
        <v>35</v>
      </c>
      <c r="C124">
        <v>84.530220031738295</v>
      </c>
      <c r="D124">
        <v>0.32092737303166902</v>
      </c>
      <c r="E124">
        <v>1</v>
      </c>
      <c r="F124">
        <v>20.918200853670399</v>
      </c>
      <c r="G124">
        <v>53.299520057448603</v>
      </c>
      <c r="H124">
        <v>0.64409473913043502</v>
      </c>
      <c r="I124">
        <v>86.045379638671903</v>
      </c>
      <c r="J124">
        <v>0</v>
      </c>
      <c r="K124">
        <v>649.09808349609398</v>
      </c>
      <c r="L124">
        <v>15.985252446815601</v>
      </c>
      <c r="M124">
        <v>723.80295150006395</v>
      </c>
      <c r="N124">
        <v>147.182683725826</v>
      </c>
      <c r="O124">
        <v>44.410108222336099</v>
      </c>
      <c r="P124">
        <v>10.182146072387701</v>
      </c>
      <c r="Q124">
        <v>20.597263336181602</v>
      </c>
      <c r="R124">
        <v>38.3928031921387</v>
      </c>
      <c r="S124">
        <v>2.1878526210784899</v>
      </c>
      <c r="T124">
        <v>19.624700546264599</v>
      </c>
      <c r="U124">
        <v>1.1456171513508799</v>
      </c>
      <c r="V124" t="s">
        <v>25</v>
      </c>
      <c r="W124" t="s">
        <v>39</v>
      </c>
    </row>
    <row r="125" spans="1:23" x14ac:dyDescent="0.35">
      <c r="A125">
        <v>2.3324384599156098</v>
      </c>
      <c r="B125">
        <v>203</v>
      </c>
      <c r="C125">
        <v>101.783561706543</v>
      </c>
      <c r="D125">
        <v>0.49069613920865301</v>
      </c>
      <c r="E125">
        <v>1</v>
      </c>
      <c r="F125">
        <v>0.228988632650312</v>
      </c>
      <c r="G125">
        <v>97.254657600381705</v>
      </c>
      <c r="H125">
        <v>0.96761575333333305</v>
      </c>
      <c r="I125">
        <v>58.231025695800803</v>
      </c>
      <c r="J125">
        <v>0</v>
      </c>
      <c r="K125">
        <v>743.22644042968795</v>
      </c>
      <c r="L125">
        <v>22.559213325625599</v>
      </c>
      <c r="M125">
        <v>885.61909159675997</v>
      </c>
      <c r="N125">
        <v>148.27605125552299</v>
      </c>
      <c r="O125">
        <v>51.3369931080302</v>
      </c>
      <c r="P125">
        <v>22.568080902099599</v>
      </c>
      <c r="Q125">
        <v>28.4686794281006</v>
      </c>
      <c r="R125">
        <v>71.202056884765597</v>
      </c>
      <c r="S125">
        <v>2.1538400650024401</v>
      </c>
      <c r="T125">
        <v>11.3436393737793</v>
      </c>
      <c r="U125">
        <v>0.543526177725149</v>
      </c>
      <c r="V125" t="s">
        <v>25</v>
      </c>
      <c r="W125" t="s">
        <v>44</v>
      </c>
    </row>
    <row r="126" spans="1:23" x14ac:dyDescent="0.35">
      <c r="A126">
        <v>2.3263358609287499</v>
      </c>
      <c r="B126">
        <v>267</v>
      </c>
      <c r="C126">
        <v>22.357303619384801</v>
      </c>
      <c r="D126">
        <v>0.62274243001290597</v>
      </c>
      <c r="E126">
        <v>1</v>
      </c>
      <c r="F126">
        <v>0.87277831759153901</v>
      </c>
      <c r="G126">
        <v>94.785226014946403</v>
      </c>
      <c r="H126">
        <v>0.85648922651933701</v>
      </c>
      <c r="I126">
        <v>72.769859313964801</v>
      </c>
      <c r="J126">
        <v>0</v>
      </c>
      <c r="K126">
        <v>988.30804443359398</v>
      </c>
      <c r="L126">
        <v>26.997531273325901</v>
      </c>
      <c r="M126">
        <v>1035.1360523661599</v>
      </c>
      <c r="N126">
        <v>148.416286531042</v>
      </c>
      <c r="O126">
        <v>59.353429512899403</v>
      </c>
      <c r="P126">
        <v>18.738155364990199</v>
      </c>
      <c r="Q126">
        <v>32.260543823242202</v>
      </c>
      <c r="R126">
        <v>86.071563720703097</v>
      </c>
      <c r="S126">
        <v>2.1547515392303498</v>
      </c>
      <c r="T126">
        <v>10.7499990463257</v>
      </c>
      <c r="U126">
        <v>0.63335017054720699</v>
      </c>
      <c r="V126" t="s">
        <v>25</v>
      </c>
      <c r="W126" t="s">
        <v>44</v>
      </c>
    </row>
    <row r="127" spans="1:23" x14ac:dyDescent="0.35">
      <c r="A127">
        <v>2.1139433523068401</v>
      </c>
      <c r="B127">
        <v>469</v>
      </c>
      <c r="C127">
        <v>7.86120557785034</v>
      </c>
      <c r="D127">
        <v>0.91443288778479104</v>
      </c>
      <c r="E127">
        <v>0.163675553815264</v>
      </c>
      <c r="F127">
        <v>4.9229838364974698</v>
      </c>
      <c r="G127">
        <v>73.204211981246004</v>
      </c>
      <c r="H127">
        <v>3.5668159853801198</v>
      </c>
      <c r="I127">
        <v>105.58990478515599</v>
      </c>
      <c r="J127">
        <v>0</v>
      </c>
      <c r="K127">
        <v>2893.0625</v>
      </c>
      <c r="L127">
        <v>84.326742078437206</v>
      </c>
      <c r="M127">
        <v>1757.97590011847</v>
      </c>
      <c r="N127">
        <v>161.437998036869</v>
      </c>
      <c r="O127">
        <v>62.297242836873998</v>
      </c>
      <c r="P127">
        <v>11.262591361999499</v>
      </c>
      <c r="Q127">
        <v>21.341394424438501</v>
      </c>
      <c r="R127">
        <v>119.94165802002</v>
      </c>
      <c r="S127">
        <v>2.9103033542633101</v>
      </c>
      <c r="T127">
        <v>15.3044652938843</v>
      </c>
      <c r="U127">
        <v>1.3119885279674199</v>
      </c>
      <c r="V127" t="s">
        <v>25</v>
      </c>
      <c r="W127" t="s">
        <v>40</v>
      </c>
    </row>
    <row r="128" spans="1:23" x14ac:dyDescent="0.35">
      <c r="A128">
        <v>2.2148438480477002</v>
      </c>
      <c r="B128">
        <v>77</v>
      </c>
      <c r="C128">
        <v>55.192588806152301</v>
      </c>
      <c r="D128">
        <v>0.47027530441267101</v>
      </c>
      <c r="E128">
        <v>3.6683729181476298E-2</v>
      </c>
      <c r="F128">
        <v>17.7283578774124</v>
      </c>
      <c r="G128">
        <v>61.789164556588403</v>
      </c>
      <c r="H128">
        <v>0.75366128846153801</v>
      </c>
      <c r="I128">
        <v>222.30218505859401</v>
      </c>
      <c r="J128">
        <v>0</v>
      </c>
      <c r="K128">
        <v>607.44323730468795</v>
      </c>
      <c r="L128">
        <v>7.9148805571384102</v>
      </c>
      <c r="M128">
        <v>634.88046965051899</v>
      </c>
      <c r="N128">
        <v>147.77297023085299</v>
      </c>
      <c r="O128">
        <v>44.997306073298198</v>
      </c>
      <c r="P128">
        <v>9.2088356018066406</v>
      </c>
      <c r="Q128">
        <v>18.684078216552699</v>
      </c>
      <c r="R128">
        <v>37.3689155578613</v>
      </c>
      <c r="S128">
        <v>2.16585350036621</v>
      </c>
      <c r="T128">
        <v>25.824504852294901</v>
      </c>
      <c r="U128">
        <v>1.05997719551985</v>
      </c>
      <c r="V128" t="s">
        <v>25</v>
      </c>
      <c r="W128" t="s">
        <v>39</v>
      </c>
    </row>
    <row r="129" spans="1:23" x14ac:dyDescent="0.35">
      <c r="A129">
        <v>2.2405492482825999</v>
      </c>
      <c r="B129">
        <v>67</v>
      </c>
      <c r="C129">
        <v>66.005088806152301</v>
      </c>
      <c r="D129">
        <v>0.49490302950028597</v>
      </c>
      <c r="E129">
        <v>7.4741258305324604E-3</v>
      </c>
      <c r="F129">
        <v>1.18263485422058</v>
      </c>
      <c r="G129">
        <v>89.625079204809893</v>
      </c>
      <c r="H129">
        <v>1.3242297804878</v>
      </c>
      <c r="I129">
        <v>72.865119934082003</v>
      </c>
      <c r="J129">
        <v>0</v>
      </c>
      <c r="K129">
        <v>753.98486328125</v>
      </c>
      <c r="L129">
        <v>19.081091536850199</v>
      </c>
      <c r="M129">
        <v>886.15116106877599</v>
      </c>
      <c r="N129">
        <v>148.248585435211</v>
      </c>
      <c r="O129">
        <v>54.837284776030998</v>
      </c>
      <c r="P129">
        <v>19.8503227233887</v>
      </c>
      <c r="Q129">
        <v>30.55859375</v>
      </c>
      <c r="R129">
        <v>99.273048400878906</v>
      </c>
      <c r="S129">
        <v>2.1553268432617201</v>
      </c>
      <c r="T129">
        <v>10.7499990463257</v>
      </c>
      <c r="U129">
        <v>0.63134772977077103</v>
      </c>
      <c r="V129" t="s">
        <v>25</v>
      </c>
      <c r="W129" t="s">
        <v>44</v>
      </c>
    </row>
    <row r="130" spans="1:23" x14ac:dyDescent="0.35">
      <c r="A130">
        <v>1.86923171973098</v>
      </c>
      <c r="B130">
        <v>122</v>
      </c>
      <c r="C130">
        <v>121.058349609375</v>
      </c>
      <c r="D130">
        <v>0.388075707925296</v>
      </c>
      <c r="E130">
        <v>0.16131540285752199</v>
      </c>
      <c r="F130">
        <v>0.50454669102410898</v>
      </c>
      <c r="G130">
        <v>93.344683749410905</v>
      </c>
      <c r="H130">
        <v>1.1110765764705901</v>
      </c>
      <c r="I130">
        <v>82.868827819824205</v>
      </c>
      <c r="J130">
        <v>0</v>
      </c>
      <c r="K130">
        <v>693.62542724609398</v>
      </c>
      <c r="L130">
        <v>20.3200127804866</v>
      </c>
      <c r="M130">
        <v>839.89567590932404</v>
      </c>
      <c r="N130">
        <v>147.92838625048</v>
      </c>
      <c r="O130">
        <v>49.743849769967497</v>
      </c>
      <c r="P130">
        <v>21.1060466766357</v>
      </c>
      <c r="Q130">
        <v>28.1995849609375</v>
      </c>
      <c r="R130">
        <v>90.887268066406193</v>
      </c>
      <c r="S130">
        <v>2.1578609943389901</v>
      </c>
      <c r="T130">
        <v>11.5201320648193</v>
      </c>
      <c r="U130">
        <v>0.551216970528144</v>
      </c>
      <c r="V130" t="s">
        <v>25</v>
      </c>
      <c r="W130" t="s">
        <v>44</v>
      </c>
    </row>
    <row r="131" spans="1:23" x14ac:dyDescent="0.35">
      <c r="A131">
        <v>2.0334237554869499</v>
      </c>
      <c r="B131">
        <v>332</v>
      </c>
      <c r="C131">
        <v>27.552217483520501</v>
      </c>
      <c r="D131">
        <v>0.49406955265116997</v>
      </c>
      <c r="E131">
        <v>0.85447677169720904</v>
      </c>
      <c r="F131">
        <v>7.6391269028457298</v>
      </c>
      <c r="G131">
        <v>74.884748272161801</v>
      </c>
      <c r="H131">
        <v>0.82459732160804</v>
      </c>
      <c r="I131">
        <v>223.89936828613301</v>
      </c>
      <c r="J131">
        <v>0</v>
      </c>
      <c r="K131">
        <v>661.19219970703102</v>
      </c>
      <c r="L131">
        <v>16.120741222725499</v>
      </c>
      <c r="M131">
        <v>750.88227919281496</v>
      </c>
      <c r="N131">
        <v>147.46611548251801</v>
      </c>
      <c r="O131">
        <v>46.512471808761802</v>
      </c>
      <c r="P131">
        <v>13.904639244079601</v>
      </c>
      <c r="Q131">
        <v>23.8013515472412</v>
      </c>
      <c r="R131">
        <v>55.190589904785199</v>
      </c>
      <c r="S131">
        <v>2.1733245849609402</v>
      </c>
      <c r="T131">
        <v>22.758043289184599</v>
      </c>
      <c r="U131">
        <v>0.96427182498427899</v>
      </c>
      <c r="V131" t="s">
        <v>25</v>
      </c>
      <c r="W131" t="s">
        <v>39</v>
      </c>
    </row>
    <row r="132" spans="1:23" x14ac:dyDescent="0.35">
      <c r="A132">
        <v>1.77085201164214</v>
      </c>
      <c r="B132">
        <v>191</v>
      </c>
      <c r="C132">
        <v>178.84619140625</v>
      </c>
      <c r="D132">
        <v>0.46337249951951898</v>
      </c>
      <c r="E132">
        <v>3.6437676703890802E-3</v>
      </c>
      <c r="F132">
        <v>2.8736524870352598E-2</v>
      </c>
      <c r="G132">
        <v>98.253895173858197</v>
      </c>
      <c r="H132">
        <v>4.6240703716814204</v>
      </c>
      <c r="I132">
        <v>103.77954864502</v>
      </c>
      <c r="J132">
        <v>0</v>
      </c>
      <c r="K132">
        <v>1960.98791503906</v>
      </c>
      <c r="L132">
        <v>74.253733212830596</v>
      </c>
      <c r="M132">
        <v>1621.42127265305</v>
      </c>
      <c r="N132">
        <v>162.95228576660199</v>
      </c>
      <c r="O132">
        <v>61.010756820928897</v>
      </c>
      <c r="P132">
        <v>21.776006698608398</v>
      </c>
      <c r="Q132">
        <v>28.433280944824201</v>
      </c>
      <c r="R132">
        <v>221.98236083984401</v>
      </c>
      <c r="S132">
        <v>2.8904232978820801</v>
      </c>
      <c r="T132">
        <v>17.860000610351602</v>
      </c>
      <c r="U132">
        <v>0.77380623603022303</v>
      </c>
      <c r="V132" t="s">
        <v>23</v>
      </c>
      <c r="W132" t="s">
        <v>40</v>
      </c>
    </row>
    <row r="133" spans="1:23" x14ac:dyDescent="0.35">
      <c r="A133">
        <v>1.3802112417116099</v>
      </c>
      <c r="B133">
        <v>52</v>
      </c>
      <c r="C133">
        <v>100.866165161133</v>
      </c>
      <c r="D133">
        <v>0.44426184185560802</v>
      </c>
      <c r="E133">
        <v>2.2084213246955798E-3</v>
      </c>
      <c r="F133">
        <v>5.1490027772300904</v>
      </c>
      <c r="G133">
        <v>74.680545291141996</v>
      </c>
      <c r="H133">
        <v>0.91613512121212104</v>
      </c>
      <c r="I133">
        <v>352.05862426757801</v>
      </c>
      <c r="J133">
        <v>0</v>
      </c>
      <c r="K133">
        <v>653.17071533203102</v>
      </c>
      <c r="L133">
        <v>8.9793560348573305</v>
      </c>
      <c r="M133">
        <v>701.02385023773695</v>
      </c>
      <c r="N133">
        <v>148.285840894355</v>
      </c>
      <c r="O133">
        <v>49.462696200511502</v>
      </c>
      <c r="P133">
        <v>7.5384826660156197</v>
      </c>
      <c r="Q133">
        <v>25.227869033813501</v>
      </c>
      <c r="R133">
        <v>70.971237182617202</v>
      </c>
      <c r="S133">
        <v>2.16069555282593</v>
      </c>
      <c r="T133">
        <v>30.129999160766602</v>
      </c>
      <c r="U133">
        <v>0.82331392523720304</v>
      </c>
      <c r="V133" t="s">
        <v>25</v>
      </c>
      <c r="W133" t="s">
        <v>44</v>
      </c>
    </row>
    <row r="134" spans="1:23" x14ac:dyDescent="0.35">
      <c r="A134">
        <v>1.8573324964312701</v>
      </c>
      <c r="B134">
        <v>120</v>
      </c>
      <c r="C134">
        <v>134.87666320800801</v>
      </c>
      <c r="D134">
        <v>0.43007975498043</v>
      </c>
      <c r="E134">
        <v>1</v>
      </c>
      <c r="F134">
        <v>3.3010519682187198E-2</v>
      </c>
      <c r="G134">
        <v>99.332129725966894</v>
      </c>
      <c r="H134">
        <v>3.9683667702702698</v>
      </c>
      <c r="I134">
        <v>96.703315734863295</v>
      </c>
      <c r="J134">
        <v>0</v>
      </c>
      <c r="K134">
        <v>2271.39038085938</v>
      </c>
      <c r="L134">
        <v>77.181162912337498</v>
      </c>
      <c r="M134">
        <v>1702.4113469358399</v>
      </c>
      <c r="N134">
        <v>161.63763577820799</v>
      </c>
      <c r="O134">
        <v>64.793748073890598</v>
      </c>
      <c r="P134">
        <v>23.486516952514599</v>
      </c>
      <c r="Q134">
        <v>26.201635360717798</v>
      </c>
      <c r="R134">
        <v>211.01609802246099</v>
      </c>
      <c r="S134">
        <v>2.8201315402984601</v>
      </c>
      <c r="T134">
        <v>17.860000610351602</v>
      </c>
      <c r="U134">
        <v>0.763086090492758</v>
      </c>
      <c r="V134" t="s">
        <v>41</v>
      </c>
      <c r="W134" t="s">
        <v>40</v>
      </c>
    </row>
    <row r="135" spans="1:23" x14ac:dyDescent="0.35">
      <c r="A135">
        <v>2.17609125905568</v>
      </c>
      <c r="B135">
        <v>3.9</v>
      </c>
      <c r="C135">
        <v>28.556066513061499</v>
      </c>
      <c r="D135">
        <v>0.57436942481040998</v>
      </c>
      <c r="E135">
        <v>1</v>
      </c>
      <c r="F135">
        <v>1.3525668382237499</v>
      </c>
      <c r="G135">
        <v>94.257360879669207</v>
      </c>
      <c r="H135">
        <v>0.95861766666666703</v>
      </c>
      <c r="I135">
        <v>147.54373168945301</v>
      </c>
      <c r="J135">
        <v>0</v>
      </c>
      <c r="K135">
        <v>4513.1640625</v>
      </c>
      <c r="L135">
        <v>113.066774337018</v>
      </c>
      <c r="M135">
        <v>2230.8502097208002</v>
      </c>
      <c r="N135">
        <v>159.236620043145</v>
      </c>
      <c r="O135">
        <v>72.918874021436395</v>
      </c>
      <c r="P135">
        <v>9.9331703186035192</v>
      </c>
      <c r="Q135">
        <v>11.9284467697144</v>
      </c>
      <c r="R135">
        <v>68.831748962402301</v>
      </c>
      <c r="S135">
        <v>2.7871930599212602</v>
      </c>
      <c r="T135">
        <v>17.860000610351602</v>
      </c>
      <c r="U135">
        <v>0.887391857004033</v>
      </c>
      <c r="V135" t="s">
        <v>25</v>
      </c>
      <c r="W135" t="s">
        <v>43</v>
      </c>
    </row>
    <row r="136" spans="1:23" x14ac:dyDescent="0.35">
      <c r="A136">
        <v>2.2624510897304302</v>
      </c>
      <c r="B136">
        <v>426</v>
      </c>
      <c r="C136">
        <v>37.646957397460902</v>
      </c>
      <c r="D136">
        <v>0.53638236013390805</v>
      </c>
      <c r="E136">
        <v>5.7074777224185601E-2</v>
      </c>
      <c r="F136">
        <v>0.57688326879927598</v>
      </c>
      <c r="G136">
        <v>94.181544886884694</v>
      </c>
      <c r="H136">
        <v>0.94531465780730894</v>
      </c>
      <c r="I136">
        <v>65.693336486816406</v>
      </c>
      <c r="J136">
        <v>0</v>
      </c>
      <c r="K136">
        <v>723.28118896484398</v>
      </c>
      <c r="L136">
        <v>21.3179765842</v>
      </c>
      <c r="M136">
        <v>853.39988033107102</v>
      </c>
      <c r="N136">
        <v>148.09671070536601</v>
      </c>
      <c r="O136">
        <v>49.8868400698803</v>
      </c>
      <c r="P136">
        <v>20.572084426879901</v>
      </c>
      <c r="Q136">
        <v>27.987991333007798</v>
      </c>
      <c r="R136">
        <v>70.564567565917997</v>
      </c>
      <c r="S136">
        <v>2.15523338317871</v>
      </c>
      <c r="T136">
        <v>13.700389862060501</v>
      </c>
      <c r="U136">
        <v>0.58625790935573296</v>
      </c>
      <c r="V136" t="s">
        <v>25</v>
      </c>
      <c r="W136" t="s">
        <v>44</v>
      </c>
    </row>
    <row r="137" spans="1:23" x14ac:dyDescent="0.35">
      <c r="A137">
        <v>2.63648789635337</v>
      </c>
      <c r="B137">
        <v>1610</v>
      </c>
      <c r="C137">
        <v>45.7267036437988</v>
      </c>
      <c r="D137">
        <v>0.779863591259773</v>
      </c>
      <c r="E137">
        <v>1.06507393784689E-2</v>
      </c>
      <c r="F137">
        <v>6.9699240015899404</v>
      </c>
      <c r="G137">
        <v>86.308090878391894</v>
      </c>
      <c r="H137">
        <v>0.92198782664054801</v>
      </c>
      <c r="I137">
        <v>52.309238433837898</v>
      </c>
      <c r="J137">
        <v>0</v>
      </c>
      <c r="K137">
        <v>1237.58923339844</v>
      </c>
      <c r="L137">
        <v>49.7452606138636</v>
      </c>
      <c r="M137">
        <v>1306.82471503586</v>
      </c>
      <c r="N137">
        <v>148.212663494173</v>
      </c>
      <c r="O137">
        <v>59.259825346899802</v>
      </c>
      <c r="P137">
        <v>19.354415893554702</v>
      </c>
      <c r="Q137">
        <v>33.239421844482401</v>
      </c>
      <c r="R137">
        <v>59.554714202880902</v>
      </c>
      <c r="S137">
        <v>2.1682403087615998</v>
      </c>
      <c r="T137">
        <v>10.6369524002075</v>
      </c>
      <c r="U137">
        <v>0.90443948521156203</v>
      </c>
      <c r="V137" t="s">
        <v>25</v>
      </c>
      <c r="W137" t="s">
        <v>39</v>
      </c>
    </row>
    <row r="138" spans="1:23" x14ac:dyDescent="0.35">
      <c r="A138">
        <v>2.3820170425748701</v>
      </c>
      <c r="B138">
        <v>1493</v>
      </c>
      <c r="C138">
        <v>209.25193786621099</v>
      </c>
      <c r="D138">
        <v>0.681261010678889</v>
      </c>
      <c r="E138">
        <v>1.02096657751311</v>
      </c>
      <c r="F138">
        <v>1.2882819515767501</v>
      </c>
      <c r="G138">
        <v>87.1028318223958</v>
      </c>
      <c r="H138">
        <v>2.2610092936344999</v>
      </c>
      <c r="I138">
        <v>37.696994781494098</v>
      </c>
      <c r="J138">
        <v>0.62450229260674295</v>
      </c>
      <c r="K138">
        <v>1313.5419921875</v>
      </c>
      <c r="L138">
        <v>60.997450969258303</v>
      </c>
      <c r="M138">
        <v>1407.84352386975</v>
      </c>
      <c r="N138">
        <v>148.97088873191001</v>
      </c>
      <c r="O138">
        <v>56.452380195992902</v>
      </c>
      <c r="P138">
        <v>22.064048767089801</v>
      </c>
      <c r="Q138">
        <v>35.516078948974602</v>
      </c>
      <c r="R138">
        <v>107.304000854492</v>
      </c>
      <c r="S138">
        <v>2.1459169387817401</v>
      </c>
      <c r="T138">
        <v>10.379958152771</v>
      </c>
      <c r="U138">
        <v>1.1093280931044001</v>
      </c>
      <c r="V138" t="s">
        <v>41</v>
      </c>
      <c r="W138" t="s">
        <v>39</v>
      </c>
    </row>
    <row r="139" spans="1:23" x14ac:dyDescent="0.35">
      <c r="A139">
        <v>2.1492191126553801</v>
      </c>
      <c r="B139">
        <v>768</v>
      </c>
      <c r="C139">
        <v>221.79849243164099</v>
      </c>
      <c r="D139">
        <v>0.63498891241836497</v>
      </c>
      <c r="E139">
        <v>5.2420625836728303E-2</v>
      </c>
      <c r="F139">
        <v>3.3836513265169899</v>
      </c>
      <c r="G139">
        <v>86.547746555703398</v>
      </c>
      <c r="H139">
        <v>1.8004319307535599</v>
      </c>
      <c r="I139">
        <v>28.1155681610107</v>
      </c>
      <c r="J139">
        <v>0</v>
      </c>
      <c r="K139">
        <v>1278.64526367188</v>
      </c>
      <c r="L139">
        <v>49.998306649630202</v>
      </c>
      <c r="M139">
        <v>1271.52754386527</v>
      </c>
      <c r="N139">
        <v>149.20752953701299</v>
      </c>
      <c r="O139">
        <v>56.104015975701998</v>
      </c>
      <c r="P139">
        <v>20.3008213043213</v>
      </c>
      <c r="Q139">
        <v>34.344966888427699</v>
      </c>
      <c r="R139">
        <v>65.483177185058594</v>
      </c>
      <c r="S139">
        <v>2.1657397747039799</v>
      </c>
      <c r="T139">
        <v>11.2654314041138</v>
      </c>
      <c r="U139">
        <v>1.03211005392986</v>
      </c>
      <c r="V139" t="s">
        <v>25</v>
      </c>
      <c r="W139" t="s">
        <v>39</v>
      </c>
    </row>
    <row r="140" spans="1:23" x14ac:dyDescent="0.35">
      <c r="A140">
        <v>2.2174839442139098</v>
      </c>
      <c r="B140">
        <v>1181</v>
      </c>
      <c r="C140">
        <v>643.27532958984398</v>
      </c>
      <c r="D140">
        <v>0.294367162905599</v>
      </c>
      <c r="E140">
        <v>5.7609302970817504</v>
      </c>
      <c r="F140">
        <v>0.22529303236146</v>
      </c>
      <c r="G140">
        <v>79.262729536721693</v>
      </c>
      <c r="H140">
        <v>4.3994129022346398</v>
      </c>
      <c r="I140">
        <v>34.426727294921903</v>
      </c>
      <c r="J140">
        <v>6.9612229806624404</v>
      </c>
      <c r="K140">
        <v>1056.12475585938</v>
      </c>
      <c r="L140">
        <v>66.186523625108094</v>
      </c>
      <c r="M140">
        <v>1342.9521594438399</v>
      </c>
      <c r="N140">
        <v>151.63498475121699</v>
      </c>
      <c r="O140">
        <v>45.8720150306577</v>
      </c>
      <c r="P140">
        <v>22.450941085815401</v>
      </c>
      <c r="Q140">
        <v>34.2509574890137</v>
      </c>
      <c r="R140">
        <v>213.64988708496099</v>
      </c>
      <c r="S140">
        <v>2.6586461067199698</v>
      </c>
      <c r="T140">
        <v>11.6445827484131</v>
      </c>
      <c r="U140">
        <v>1.4721198268712099</v>
      </c>
      <c r="V140" t="s">
        <v>23</v>
      </c>
      <c r="W140" t="s">
        <v>39</v>
      </c>
    </row>
    <row r="141" spans="1:23" x14ac:dyDescent="0.35">
      <c r="A141">
        <v>2.3096301674259001</v>
      </c>
      <c r="B141">
        <v>1291</v>
      </c>
      <c r="C141">
        <v>535.48297119140602</v>
      </c>
      <c r="D141">
        <v>0.31400574588850899</v>
      </c>
      <c r="E141">
        <v>5.2713829914766999</v>
      </c>
      <c r="F141">
        <v>0.28608771360068902</v>
      </c>
      <c r="G141">
        <v>80.593494990224301</v>
      </c>
      <c r="H141">
        <v>4.3411718812260496</v>
      </c>
      <c r="I141">
        <v>33.075820922851598</v>
      </c>
      <c r="J141">
        <v>6.9612229806624404</v>
      </c>
      <c r="K141">
        <v>1077.39501953125</v>
      </c>
      <c r="L141">
        <v>65.399717424736707</v>
      </c>
      <c r="M141">
        <v>1342.0045666303799</v>
      </c>
      <c r="N141">
        <v>151.50432874335601</v>
      </c>
      <c r="O141">
        <v>46.583518294037397</v>
      </c>
      <c r="P141">
        <v>22.697807312011701</v>
      </c>
      <c r="Q141">
        <v>34.341442108154297</v>
      </c>
      <c r="R141">
        <v>206.42855834960901</v>
      </c>
      <c r="S141">
        <v>2.62219285964966</v>
      </c>
      <c r="T141">
        <v>11.465742111206101</v>
      </c>
      <c r="U141">
        <v>1.46110061969841</v>
      </c>
      <c r="V141" t="s">
        <v>23</v>
      </c>
      <c r="W141" t="s">
        <v>39</v>
      </c>
    </row>
    <row r="142" spans="1:23" x14ac:dyDescent="0.35">
      <c r="A142">
        <v>2.3729120029701098</v>
      </c>
      <c r="B142">
        <v>1876</v>
      </c>
      <c r="C142">
        <v>403.85134887695301</v>
      </c>
      <c r="D142">
        <v>0.39684401035961298</v>
      </c>
      <c r="E142">
        <v>3.6855015387577401</v>
      </c>
      <c r="F142">
        <v>0.63098171892529398</v>
      </c>
      <c r="G142">
        <v>84.512057346769595</v>
      </c>
      <c r="H142">
        <v>3.6005360241171398</v>
      </c>
      <c r="I142">
        <v>27.9021701812744</v>
      </c>
      <c r="J142">
        <v>6.9612229806624404</v>
      </c>
      <c r="K142">
        <v>1149.67407226562</v>
      </c>
      <c r="L142">
        <v>59.889052031470101</v>
      </c>
      <c r="M142">
        <v>1310.4145047547399</v>
      </c>
      <c r="N142">
        <v>151.23056105316701</v>
      </c>
      <c r="O142">
        <v>49.474818870669502</v>
      </c>
      <c r="P142">
        <v>22.9139404296875</v>
      </c>
      <c r="Q142">
        <v>34.050300598144503</v>
      </c>
      <c r="R142">
        <v>171.35430908203099</v>
      </c>
      <c r="S142">
        <v>2.5368494987487802</v>
      </c>
      <c r="T142">
        <v>11.893861770629901</v>
      </c>
      <c r="U142">
        <v>1.3772593916274101</v>
      </c>
      <c r="V142" t="s">
        <v>23</v>
      </c>
      <c r="W142" t="s">
        <v>39</v>
      </c>
    </row>
    <row r="143" spans="1:23" x14ac:dyDescent="0.35">
      <c r="A143">
        <v>2.45636603312904</v>
      </c>
      <c r="B143">
        <v>2311</v>
      </c>
      <c r="C143">
        <v>248.47865295410199</v>
      </c>
      <c r="D143">
        <v>0.498089516606738</v>
      </c>
      <c r="E143">
        <v>2.96920771731748</v>
      </c>
      <c r="F143">
        <v>2.25619189781822</v>
      </c>
      <c r="G143">
        <v>83.512527485625299</v>
      </c>
      <c r="H143">
        <v>3.06371226045884</v>
      </c>
      <c r="I143">
        <v>25.612695693969702</v>
      </c>
      <c r="J143">
        <v>6.9612229806624404</v>
      </c>
      <c r="K143">
        <v>1183.13439941406</v>
      </c>
      <c r="L143">
        <v>55.639408862004501</v>
      </c>
      <c r="M143">
        <v>1279.7178865026301</v>
      </c>
      <c r="N143">
        <v>150.85810001560901</v>
      </c>
      <c r="O143">
        <v>51.163146534904101</v>
      </c>
      <c r="P143">
        <v>21.926679611206101</v>
      </c>
      <c r="Q143">
        <v>33.581707000732401</v>
      </c>
      <c r="R143">
        <v>147.33073425293</v>
      </c>
      <c r="S143">
        <v>2.4758751392364502</v>
      </c>
      <c r="T143">
        <v>11.578406333923301</v>
      </c>
      <c r="U143">
        <v>1.38165633133151</v>
      </c>
      <c r="V143" t="s">
        <v>23</v>
      </c>
      <c r="W143" t="s">
        <v>39</v>
      </c>
    </row>
    <row r="144" spans="1:23" x14ac:dyDescent="0.35">
      <c r="A144">
        <v>2.5352941200427699</v>
      </c>
      <c r="B144">
        <v>296</v>
      </c>
      <c r="C144">
        <v>18.149246215820298</v>
      </c>
      <c r="D144">
        <v>0.58827325293740795</v>
      </c>
      <c r="E144">
        <v>4.8797568209888197E-2</v>
      </c>
      <c r="F144">
        <v>0.916707225575078</v>
      </c>
      <c r="G144">
        <v>93.193148012891797</v>
      </c>
      <c r="H144">
        <v>3.30590349079755</v>
      </c>
      <c r="I144">
        <v>119.02700805664099</v>
      </c>
      <c r="J144">
        <v>0</v>
      </c>
      <c r="K144">
        <v>2054.52954101562</v>
      </c>
      <c r="L144">
        <v>73.707822455734501</v>
      </c>
      <c r="M144">
        <v>1616.3920658299201</v>
      </c>
      <c r="N144">
        <v>148.72679963659101</v>
      </c>
      <c r="O144">
        <v>61.117888653864597</v>
      </c>
      <c r="P144">
        <v>26.320793151855501</v>
      </c>
      <c r="Q144">
        <v>33.627388000488303</v>
      </c>
      <c r="R144">
        <v>176.463302612305</v>
      </c>
      <c r="S144">
        <v>2.2367081642150901</v>
      </c>
      <c r="T144">
        <v>12.481931686401399</v>
      </c>
      <c r="U144">
        <v>0.97363681045359196</v>
      </c>
      <c r="V144" t="s">
        <v>41</v>
      </c>
      <c r="W144" t="s">
        <v>38</v>
      </c>
    </row>
    <row r="145" spans="1:23" x14ac:dyDescent="0.35">
      <c r="A145">
        <v>2.6541765418779599</v>
      </c>
      <c r="B145">
        <v>807</v>
      </c>
      <c r="C145">
        <v>324.77630615234398</v>
      </c>
      <c r="D145">
        <v>0.42681418514175401</v>
      </c>
      <c r="E145">
        <v>6.2827569412430302</v>
      </c>
      <c r="F145">
        <v>0.64561689670829003</v>
      </c>
      <c r="G145">
        <v>76.416757209515794</v>
      </c>
      <c r="H145">
        <v>5.3860652983293598</v>
      </c>
      <c r="I145">
        <v>111.25008392334</v>
      </c>
      <c r="J145">
        <v>2.39895542186783</v>
      </c>
      <c r="K145">
        <v>1358.0634765625</v>
      </c>
      <c r="L145">
        <v>74.217599962578404</v>
      </c>
      <c r="M145">
        <v>1465.8685963114799</v>
      </c>
      <c r="N145">
        <v>152.04305029697099</v>
      </c>
      <c r="O145">
        <v>48.076575982766101</v>
      </c>
      <c r="P145">
        <v>20.471138000488299</v>
      </c>
      <c r="Q145">
        <v>34.507022857666001</v>
      </c>
      <c r="R145">
        <v>231.20851135253901</v>
      </c>
      <c r="S145">
        <v>3.23007035255432</v>
      </c>
      <c r="T145">
        <v>8.6899080276489293</v>
      </c>
      <c r="U145">
        <v>1.4091302631397999</v>
      </c>
      <c r="V145" t="s">
        <v>23</v>
      </c>
      <c r="W145" t="s">
        <v>38</v>
      </c>
    </row>
    <row r="146" spans="1:23" x14ac:dyDescent="0.35">
      <c r="A146">
        <v>2.9532763366673001</v>
      </c>
      <c r="B146">
        <v>862</v>
      </c>
      <c r="C146">
        <v>102.30207824707</v>
      </c>
      <c r="D146">
        <v>0.48551650759989101</v>
      </c>
      <c r="E146">
        <v>5.6052126943879301</v>
      </c>
      <c r="F146">
        <v>0.64817676525487899</v>
      </c>
      <c r="G146">
        <v>78.2185925023458</v>
      </c>
      <c r="H146">
        <v>5.0947698783505198</v>
      </c>
      <c r="I146">
        <v>112.102378845215</v>
      </c>
      <c r="J146">
        <v>2.39895542186783</v>
      </c>
      <c r="K146">
        <v>1479.7119140625</v>
      </c>
      <c r="L146">
        <v>74.132647279833193</v>
      </c>
      <c r="M146">
        <v>1485.8690685834999</v>
      </c>
      <c r="N146">
        <v>151.81305707087299</v>
      </c>
      <c r="O146">
        <v>49.823145756956002</v>
      </c>
      <c r="P146">
        <v>20.985895156860401</v>
      </c>
      <c r="Q146">
        <v>34.147228240966797</v>
      </c>
      <c r="R146">
        <v>225.04098510742199</v>
      </c>
      <c r="S146">
        <v>3.1595275402069101</v>
      </c>
      <c r="T146">
        <v>9.0488729476928693</v>
      </c>
      <c r="U146">
        <v>1.36556592774651</v>
      </c>
      <c r="V146" t="s">
        <v>23</v>
      </c>
      <c r="W146" t="s">
        <v>38</v>
      </c>
    </row>
    <row r="147" spans="1:23" x14ac:dyDescent="0.35">
      <c r="A147">
        <v>2.6720978579357202</v>
      </c>
      <c r="B147">
        <v>1510</v>
      </c>
      <c r="C147">
        <v>6.0252552032470703</v>
      </c>
      <c r="D147">
        <v>0.40515323655038998</v>
      </c>
      <c r="E147">
        <v>7.2982781561780596</v>
      </c>
      <c r="F147">
        <v>0.51353694078662804</v>
      </c>
      <c r="G147">
        <v>68.752593859102802</v>
      </c>
      <c r="H147">
        <v>6.1570301778017198</v>
      </c>
      <c r="I147">
        <v>33.403835296630902</v>
      </c>
      <c r="J147">
        <v>9.7033468774578697</v>
      </c>
      <c r="K147">
        <v>1374.970703125</v>
      </c>
      <c r="L147">
        <v>75.279397808137503</v>
      </c>
      <c r="M147">
        <v>1462.9300417040199</v>
      </c>
      <c r="N147">
        <v>153.77852192863099</v>
      </c>
      <c r="O147">
        <v>46.756566907538698</v>
      </c>
      <c r="P147">
        <v>17.1300659179688</v>
      </c>
      <c r="Q147">
        <v>34.378547668457003</v>
      </c>
      <c r="R147">
        <v>248.57075500488301</v>
      </c>
      <c r="S147">
        <v>3.6818280220031698</v>
      </c>
      <c r="T147">
        <v>12.037743568420399</v>
      </c>
      <c r="U147">
        <v>1.5575307829746901</v>
      </c>
      <c r="V147" t="s">
        <v>29</v>
      </c>
      <c r="W147" t="s">
        <v>38</v>
      </c>
    </row>
    <row r="148" spans="1:23" x14ac:dyDescent="0.35">
      <c r="A148">
        <v>2.6127838567197399</v>
      </c>
      <c r="B148">
        <v>2020</v>
      </c>
      <c r="C148">
        <v>20.6349773406982</v>
      </c>
      <c r="D148">
        <v>0.43829897480024199</v>
      </c>
      <c r="E148">
        <v>9.0509499780146303</v>
      </c>
      <c r="F148">
        <v>0.41454012609359098</v>
      </c>
      <c r="G148">
        <v>64.291140856888703</v>
      </c>
      <c r="H148">
        <v>6.3116698665028697</v>
      </c>
      <c r="I148">
        <v>11.3390550613403</v>
      </c>
      <c r="J148">
        <v>64.766192211647194</v>
      </c>
      <c r="K148">
        <v>1407.21020507812</v>
      </c>
      <c r="L148">
        <v>81.086044686739598</v>
      </c>
      <c r="M148">
        <v>1515.2377689549201</v>
      </c>
      <c r="N148">
        <v>156.423021910621</v>
      </c>
      <c r="O148">
        <v>45.315798337342301</v>
      </c>
      <c r="P148">
        <v>16.345359802246101</v>
      </c>
      <c r="Q148">
        <v>34.412849426269503</v>
      </c>
      <c r="R148">
        <v>261.79278564453102</v>
      </c>
      <c r="S148">
        <v>3.7404930591583301</v>
      </c>
      <c r="T148">
        <v>10.498847961425801</v>
      </c>
      <c r="U148">
        <v>1.51830346574814</v>
      </c>
      <c r="V148" t="s">
        <v>29</v>
      </c>
      <c r="W148" t="s">
        <v>38</v>
      </c>
    </row>
    <row r="149" spans="1:23" x14ac:dyDescent="0.35">
      <c r="A149">
        <v>2.7403626894942401</v>
      </c>
      <c r="B149">
        <v>1760</v>
      </c>
      <c r="C149">
        <v>1081.44836425781</v>
      </c>
      <c r="D149">
        <v>0.27359913798358598</v>
      </c>
      <c r="E149">
        <v>14.5245268725876</v>
      </c>
      <c r="F149">
        <v>0.32793853240412302</v>
      </c>
      <c r="G149">
        <v>36.965121324022697</v>
      </c>
      <c r="H149">
        <v>6.6152608053753497</v>
      </c>
      <c r="I149">
        <v>4.7162437438964799</v>
      </c>
      <c r="J149">
        <v>269.25168192018998</v>
      </c>
      <c r="K149">
        <v>784.28576660156205</v>
      </c>
      <c r="L149">
        <v>63.1394635184867</v>
      </c>
      <c r="M149">
        <v>1199.6021038117999</v>
      </c>
      <c r="N149">
        <v>160.57975268754799</v>
      </c>
      <c r="O149">
        <v>36.942840138419697</v>
      </c>
      <c r="P149">
        <v>18.102907180786101</v>
      </c>
      <c r="Q149">
        <v>36.452869415283203</v>
      </c>
      <c r="R149">
        <v>275.89688110351602</v>
      </c>
      <c r="S149">
        <v>3.7350718975067099</v>
      </c>
      <c r="T149">
        <v>8.3109502792358398</v>
      </c>
      <c r="U149">
        <v>1.4931366066734699</v>
      </c>
      <c r="V149" t="s">
        <v>29</v>
      </c>
      <c r="W149" t="s">
        <v>38</v>
      </c>
    </row>
    <row r="150" spans="1:23" x14ac:dyDescent="0.35">
      <c r="A150">
        <v>2.43136376415899</v>
      </c>
      <c r="B150">
        <v>2780</v>
      </c>
      <c r="C150">
        <v>786.84661865234398</v>
      </c>
      <c r="D150">
        <v>0.29507938279455498</v>
      </c>
      <c r="E150">
        <v>13.6108196098065</v>
      </c>
      <c r="F150">
        <v>0.27103181414653499</v>
      </c>
      <c r="G150">
        <v>43.926144450487797</v>
      </c>
      <c r="H150">
        <v>6.6564657277644201</v>
      </c>
      <c r="I150">
        <v>4.6662349700927699</v>
      </c>
      <c r="J150">
        <v>322.13282496469401</v>
      </c>
      <c r="K150">
        <v>841.93841552734398</v>
      </c>
      <c r="L150">
        <v>66.193813073830498</v>
      </c>
      <c r="M150">
        <v>1260.3235163454101</v>
      </c>
      <c r="N150">
        <v>160.347150458664</v>
      </c>
      <c r="O150">
        <v>38.9533838365899</v>
      </c>
      <c r="P150">
        <v>16.494489669799801</v>
      </c>
      <c r="Q150">
        <v>36.142791748046903</v>
      </c>
      <c r="R150">
        <v>272.34292602539102</v>
      </c>
      <c r="S150">
        <v>3.7377443313598602</v>
      </c>
      <c r="T150">
        <v>8.8258333206176793</v>
      </c>
      <c r="U150">
        <v>1.54429036254247</v>
      </c>
      <c r="V150" t="s">
        <v>29</v>
      </c>
      <c r="W150" t="s">
        <v>38</v>
      </c>
    </row>
    <row r="151" spans="1:23" x14ac:dyDescent="0.35">
      <c r="A151">
        <v>2.93951925261862</v>
      </c>
      <c r="B151">
        <v>1450</v>
      </c>
      <c r="C151">
        <v>695.12005615234398</v>
      </c>
      <c r="D151">
        <v>0.285598073215175</v>
      </c>
      <c r="E151">
        <v>9.0542457990960301</v>
      </c>
      <c r="F151">
        <v>0.34178499526509398</v>
      </c>
      <c r="G151">
        <v>58.015829098213302</v>
      </c>
      <c r="H151">
        <v>6.4796195977584103</v>
      </c>
      <c r="I151">
        <v>4.5620570182800302</v>
      </c>
      <c r="J151">
        <v>16.4751016212632</v>
      </c>
      <c r="K151">
        <v>956.55065917968795</v>
      </c>
      <c r="L151">
        <v>62.367899410060197</v>
      </c>
      <c r="M151">
        <v>1275.5888892001799</v>
      </c>
      <c r="N151">
        <v>160.32881639824501</v>
      </c>
      <c r="O151">
        <v>44.059828211049599</v>
      </c>
      <c r="P151">
        <v>10.169228553771999</v>
      </c>
      <c r="Q151">
        <v>35.214813232421903</v>
      </c>
      <c r="R151">
        <v>280.488525390625</v>
      </c>
      <c r="S151">
        <v>3.7203416824340798</v>
      </c>
      <c r="T151">
        <v>8.9852962493896502</v>
      </c>
      <c r="U151">
        <v>1.44262842930971</v>
      </c>
      <c r="V151" t="s">
        <v>29</v>
      </c>
      <c r="W151" t="s">
        <v>38</v>
      </c>
    </row>
    <row r="152" spans="1:23" x14ac:dyDescent="0.35">
      <c r="A152">
        <v>3.04139268515822</v>
      </c>
      <c r="B152">
        <v>1700</v>
      </c>
      <c r="C152">
        <v>546.1796875</v>
      </c>
      <c r="D152">
        <v>0.33965457120055098</v>
      </c>
      <c r="E152">
        <v>7.6775304311375203</v>
      </c>
      <c r="F152">
        <v>0.48183052275643701</v>
      </c>
      <c r="G152">
        <v>60.178506555051001</v>
      </c>
      <c r="H152">
        <v>6.2057787804632403</v>
      </c>
      <c r="I152">
        <v>6.3047413825988796</v>
      </c>
      <c r="J152">
        <v>16.4751016212632</v>
      </c>
      <c r="K152">
        <v>1078.89416503906</v>
      </c>
      <c r="L152">
        <v>63.028682833812297</v>
      </c>
      <c r="M152">
        <v>1300.8540439292999</v>
      </c>
      <c r="N152">
        <v>160.27032820904799</v>
      </c>
      <c r="O152">
        <v>45.514411738661501</v>
      </c>
      <c r="P152">
        <v>10.179607391357401</v>
      </c>
      <c r="Q152">
        <v>34.611286163330099</v>
      </c>
      <c r="R152">
        <v>265.68881225585898</v>
      </c>
      <c r="S152">
        <v>3.6789698600768999</v>
      </c>
      <c r="T152">
        <v>10.299985885620099</v>
      </c>
      <c r="U152">
        <v>1.41469137208618</v>
      </c>
      <c r="V152" t="s">
        <v>29</v>
      </c>
      <c r="W152" t="s">
        <v>38</v>
      </c>
    </row>
    <row r="153" spans="1:23" x14ac:dyDescent="0.35">
      <c r="A153">
        <v>2.43136376415899</v>
      </c>
      <c r="B153">
        <v>1950</v>
      </c>
      <c r="C153">
        <v>285.77816772460898</v>
      </c>
      <c r="D153">
        <v>0.39358379127315801</v>
      </c>
      <c r="E153">
        <v>6.7283323894897702</v>
      </c>
      <c r="F153">
        <v>0.574392715965235</v>
      </c>
      <c r="G153">
        <v>63.546952130136702</v>
      </c>
      <c r="H153">
        <v>5.96179516652212</v>
      </c>
      <c r="I153">
        <v>11.1154937744141</v>
      </c>
      <c r="J153">
        <v>16.4751016212632</v>
      </c>
      <c r="K153">
        <v>1211.42370605469</v>
      </c>
      <c r="L153">
        <v>64.009802708860306</v>
      </c>
      <c r="M153">
        <v>1331.7338296859</v>
      </c>
      <c r="N153">
        <v>160.23383293777201</v>
      </c>
      <c r="O153">
        <v>47.110539920994498</v>
      </c>
      <c r="P153">
        <v>10.765459060668899</v>
      </c>
      <c r="Q153">
        <v>34.082252502441399</v>
      </c>
      <c r="R153">
        <v>252.38375854492199</v>
      </c>
      <c r="S153">
        <v>3.61451292037964</v>
      </c>
      <c r="T153">
        <v>10.772946357727101</v>
      </c>
      <c r="U153">
        <v>1.37294417846641</v>
      </c>
      <c r="V153" t="s">
        <v>29</v>
      </c>
      <c r="W153" t="s">
        <v>38</v>
      </c>
    </row>
    <row r="154" spans="1:23" x14ac:dyDescent="0.35">
      <c r="A154">
        <v>2.6989700043360201</v>
      </c>
      <c r="B154">
        <v>707</v>
      </c>
      <c r="C154">
        <v>1129.44567871094</v>
      </c>
      <c r="D154">
        <v>0.25575239120189902</v>
      </c>
      <c r="E154">
        <v>13.9207507986763</v>
      </c>
      <c r="F154">
        <v>0.243153098535455</v>
      </c>
      <c r="G154">
        <v>40.728136788470302</v>
      </c>
      <c r="H154">
        <v>6.3661006223277896</v>
      </c>
      <c r="I154">
        <v>4.4270482063293501</v>
      </c>
      <c r="J154">
        <v>53.411385635657801</v>
      </c>
      <c r="K154">
        <v>864.72662353515602</v>
      </c>
      <c r="L154">
        <v>56.307129093858101</v>
      </c>
      <c r="M154">
        <v>1163.4244054575399</v>
      </c>
      <c r="N154">
        <v>161.157668066806</v>
      </c>
      <c r="O154">
        <v>40.744343179171203</v>
      </c>
      <c r="P154">
        <v>15.441850662231399</v>
      </c>
      <c r="Q154">
        <v>35.6273803710938</v>
      </c>
      <c r="R154">
        <v>252.22312927246099</v>
      </c>
      <c r="S154">
        <v>3.7366821765899698</v>
      </c>
      <c r="T154">
        <v>9.4874687194824201</v>
      </c>
      <c r="U154">
        <v>1.4255034565874201</v>
      </c>
      <c r="V154" t="s">
        <v>23</v>
      </c>
      <c r="W154" t="s">
        <v>38</v>
      </c>
    </row>
    <row r="155" spans="1:23" x14ac:dyDescent="0.35">
      <c r="A155">
        <v>2.36172783601759</v>
      </c>
      <c r="B155">
        <v>1060</v>
      </c>
      <c r="C155">
        <v>848.41455078125</v>
      </c>
      <c r="D155">
        <v>0.28599598518026897</v>
      </c>
      <c r="E155">
        <v>12.684301445798599</v>
      </c>
      <c r="F155">
        <v>0.26388700834121998</v>
      </c>
      <c r="G155">
        <v>47.636850509469099</v>
      </c>
      <c r="H155">
        <v>6.2804541001589804</v>
      </c>
      <c r="I155">
        <v>4.2794914245605504</v>
      </c>
      <c r="J155">
        <v>54.856831776769297</v>
      </c>
      <c r="K155">
        <v>905.69781494140602</v>
      </c>
      <c r="L155">
        <v>55.249370012127002</v>
      </c>
      <c r="M155">
        <v>1175.8151665359201</v>
      </c>
      <c r="N155">
        <v>161.03919782794901</v>
      </c>
      <c r="O155">
        <v>42.842642049320403</v>
      </c>
      <c r="P155">
        <v>14.596661567688001</v>
      </c>
      <c r="Q155">
        <v>35.310939788818402</v>
      </c>
      <c r="R155">
        <v>251.47395324707</v>
      </c>
      <c r="S155">
        <v>3.7321264743804901</v>
      </c>
      <c r="T155">
        <v>9.4225072860717791</v>
      </c>
      <c r="U155">
        <v>1.46491469674215</v>
      </c>
      <c r="V155" t="s">
        <v>23</v>
      </c>
      <c r="W155" t="s">
        <v>38</v>
      </c>
    </row>
    <row r="156" spans="1:23" x14ac:dyDescent="0.35">
      <c r="A156">
        <v>2.6127838567197399</v>
      </c>
      <c r="B156">
        <v>2830</v>
      </c>
      <c r="C156">
        <v>474.09869384765602</v>
      </c>
      <c r="D156">
        <v>0.39273628107017</v>
      </c>
      <c r="E156">
        <v>5.7499428167829496</v>
      </c>
      <c r="F156">
        <v>0.45822168260204099</v>
      </c>
      <c r="G156">
        <v>68.208974530607307</v>
      </c>
      <c r="H156">
        <v>5.1266252411087896</v>
      </c>
      <c r="I156">
        <v>7.7873945236206099</v>
      </c>
      <c r="J156">
        <v>62.015663882041601</v>
      </c>
      <c r="K156">
        <v>1142.29931640625</v>
      </c>
      <c r="L156">
        <v>53.668570784271701</v>
      </c>
      <c r="M156">
        <v>1227.8148503538</v>
      </c>
      <c r="N156">
        <v>161.38126310755001</v>
      </c>
      <c r="O156">
        <v>48.7970782420674</v>
      </c>
      <c r="P156">
        <v>15.188962936401399</v>
      </c>
      <c r="Q156">
        <v>33.812122344970703</v>
      </c>
      <c r="R156">
        <v>206.58686828613301</v>
      </c>
      <c r="S156">
        <v>3.64430952072144</v>
      </c>
      <c r="T156">
        <v>11.2374362945557</v>
      </c>
      <c r="U156">
        <v>1.3874995221431501</v>
      </c>
      <c r="V156" t="s">
        <v>23</v>
      </c>
      <c r="W156" t="s">
        <v>38</v>
      </c>
    </row>
    <row r="157" spans="1:23" x14ac:dyDescent="0.35">
      <c r="A157">
        <v>2.82607480270083</v>
      </c>
      <c r="B157">
        <v>3450</v>
      </c>
      <c r="C157">
        <v>351.79504394531199</v>
      </c>
      <c r="D157">
        <v>0.429147667910667</v>
      </c>
      <c r="E157">
        <v>5.2309202178159202</v>
      </c>
      <c r="F157">
        <v>0.455905435049267</v>
      </c>
      <c r="G157">
        <v>70.113878969810997</v>
      </c>
      <c r="H157">
        <v>4.9806774411764696</v>
      </c>
      <c r="I157">
        <v>11.044450759887701</v>
      </c>
      <c r="J157">
        <v>62.015663882041601</v>
      </c>
      <c r="K157">
        <v>1227.46691894531</v>
      </c>
      <c r="L157">
        <v>55.021545034940097</v>
      </c>
      <c r="M157">
        <v>1256.9772799132299</v>
      </c>
      <c r="N157">
        <v>161.31763695888799</v>
      </c>
      <c r="O157">
        <v>49.876654265356798</v>
      </c>
      <c r="P157">
        <v>15.148837089538601</v>
      </c>
      <c r="Q157">
        <v>33.444610595703097</v>
      </c>
      <c r="R157">
        <v>201.96376037597699</v>
      </c>
      <c r="S157">
        <v>3.6100451946258501</v>
      </c>
      <c r="T157">
        <v>11.7065134048462</v>
      </c>
      <c r="U157">
        <v>1.34978796512449</v>
      </c>
      <c r="V157" t="s">
        <v>23</v>
      </c>
      <c r="W157" t="s">
        <v>38</v>
      </c>
    </row>
    <row r="158" spans="1:23" x14ac:dyDescent="0.35">
      <c r="A158">
        <v>2.8325089127062402</v>
      </c>
      <c r="B158">
        <v>2490</v>
      </c>
      <c r="C158">
        <v>170.87965393066401</v>
      </c>
      <c r="D158">
        <v>0.486964754809183</v>
      </c>
      <c r="E158">
        <v>1.95745758259658E-2</v>
      </c>
      <c r="F158">
        <v>2.1720737793535001</v>
      </c>
      <c r="G158">
        <v>77.5246908273039</v>
      </c>
      <c r="H158">
        <v>2.8084275615183198</v>
      </c>
      <c r="I158">
        <v>49.720222473144503</v>
      </c>
      <c r="J158">
        <v>0</v>
      </c>
      <c r="K158">
        <v>1157.89221191406</v>
      </c>
      <c r="L158">
        <v>38.652475607199698</v>
      </c>
      <c r="M158">
        <v>1132.43882176133</v>
      </c>
      <c r="N158">
        <v>163.172918100826</v>
      </c>
      <c r="O158">
        <v>55.851470822193598</v>
      </c>
      <c r="P158">
        <v>13.292606353759799</v>
      </c>
      <c r="Q158">
        <v>32.456153869628899</v>
      </c>
      <c r="R158">
        <v>122.084503173828</v>
      </c>
      <c r="S158">
        <v>3.2556409835815399</v>
      </c>
      <c r="T158">
        <v>16.125371932983398</v>
      </c>
      <c r="U158">
        <v>1.03290898430991</v>
      </c>
      <c r="V158" t="s">
        <v>23</v>
      </c>
      <c r="W158" t="s">
        <v>38</v>
      </c>
    </row>
    <row r="159" spans="1:23" x14ac:dyDescent="0.35">
      <c r="A159">
        <v>2.7993405494535799</v>
      </c>
      <c r="B159">
        <v>3230</v>
      </c>
      <c r="C159">
        <v>111.352531433105</v>
      </c>
      <c r="D159">
        <v>0.57448840853507999</v>
      </c>
      <c r="E159">
        <v>2.1115382431848701E-2</v>
      </c>
      <c r="F159">
        <v>3.7719094122369201</v>
      </c>
      <c r="G159">
        <v>71.634906137988906</v>
      </c>
      <c r="H159">
        <v>2.5304496136801502</v>
      </c>
      <c r="I159">
        <v>60.123851776122997</v>
      </c>
      <c r="J159">
        <v>0</v>
      </c>
      <c r="K159">
        <v>1339.525390625</v>
      </c>
      <c r="L159">
        <v>41.723718142900303</v>
      </c>
      <c r="M159">
        <v>1193.5243480244601</v>
      </c>
      <c r="N159">
        <v>163.00381694856199</v>
      </c>
      <c r="O159">
        <v>57.866775575231301</v>
      </c>
      <c r="P159">
        <v>12.1667394638062</v>
      </c>
      <c r="Q159">
        <v>31.252155303955099</v>
      </c>
      <c r="R159">
        <v>108.74391174316401</v>
      </c>
      <c r="S159">
        <v>3.1992204189300502</v>
      </c>
      <c r="T159">
        <v>15.7191381454468</v>
      </c>
      <c r="U159">
        <v>1.1171902287603299</v>
      </c>
      <c r="V159" t="s">
        <v>23</v>
      </c>
      <c r="W159" t="s">
        <v>38</v>
      </c>
    </row>
    <row r="160" spans="1:23" x14ac:dyDescent="0.35">
      <c r="A160">
        <v>2.2304489213782701</v>
      </c>
      <c r="B160">
        <v>1100</v>
      </c>
      <c r="C160">
        <v>7.1214075088501003</v>
      </c>
      <c r="D160">
        <v>0.79680084529095296</v>
      </c>
      <c r="E160">
        <v>0.100550333843162</v>
      </c>
      <c r="F160">
        <v>3.8306136436579399</v>
      </c>
      <c r="G160">
        <v>78.260324128008506</v>
      </c>
      <c r="H160">
        <v>3.2879094697406299</v>
      </c>
      <c r="I160">
        <v>45.677028656005902</v>
      </c>
      <c r="J160">
        <v>0</v>
      </c>
      <c r="K160">
        <v>2502.79418945312</v>
      </c>
      <c r="L160">
        <v>71.519442448850498</v>
      </c>
      <c r="M160">
        <v>1586.90177542264</v>
      </c>
      <c r="N160">
        <v>162.59964114329901</v>
      </c>
      <c r="O160">
        <v>60.850948396276301</v>
      </c>
      <c r="P160">
        <v>12.688117980956999</v>
      </c>
      <c r="Q160">
        <v>26.117078781127901</v>
      </c>
      <c r="R160">
        <v>136.9970703125</v>
      </c>
      <c r="S160">
        <v>2.9149076938629199</v>
      </c>
      <c r="T160">
        <v>16.338651657104499</v>
      </c>
      <c r="U160">
        <v>1.2820298649841799</v>
      </c>
      <c r="V160" t="s">
        <v>25</v>
      </c>
      <c r="W160" t="s">
        <v>40</v>
      </c>
    </row>
    <row r="161" spans="1:23" x14ac:dyDescent="0.35">
      <c r="A161">
        <v>2.6232492903978999</v>
      </c>
      <c r="B161">
        <v>1360</v>
      </c>
      <c r="C161">
        <v>347.10827636718801</v>
      </c>
      <c r="D161">
        <v>0.342008659895772</v>
      </c>
      <c r="E161">
        <v>0.19527584186118599</v>
      </c>
      <c r="F161">
        <v>0.46778454371920197</v>
      </c>
      <c r="G161">
        <v>77.851426410676396</v>
      </c>
      <c r="H161">
        <v>5.5429013303225796</v>
      </c>
      <c r="I161">
        <v>34.811443328857401</v>
      </c>
      <c r="J161">
        <v>0</v>
      </c>
      <c r="K161">
        <v>1150.35241699219</v>
      </c>
      <c r="L161">
        <v>49.153467303416797</v>
      </c>
      <c r="M161">
        <v>1232.2800513095499</v>
      </c>
      <c r="N161">
        <v>169.72275705806501</v>
      </c>
      <c r="O161">
        <v>53.693349244164601</v>
      </c>
      <c r="P161">
        <v>12.7164516448975</v>
      </c>
      <c r="Q161">
        <v>33.945343017578097</v>
      </c>
      <c r="R161">
        <v>208.22395324707</v>
      </c>
      <c r="S161">
        <v>2.7005176544189502</v>
      </c>
      <c r="T161">
        <v>17.672384262085</v>
      </c>
      <c r="U161">
        <v>1.35013717723625</v>
      </c>
      <c r="V161" t="s">
        <v>23</v>
      </c>
      <c r="W161" t="s">
        <v>40</v>
      </c>
    </row>
    <row r="162" spans="1:23" x14ac:dyDescent="0.35">
      <c r="A162">
        <v>2.5563025007672899</v>
      </c>
      <c r="B162">
        <v>22000</v>
      </c>
      <c r="C162">
        <v>157.66969299316401</v>
      </c>
      <c r="D162">
        <v>0.303596602834315</v>
      </c>
      <c r="E162">
        <v>3.6811938529292897E-2</v>
      </c>
      <c r="F162">
        <v>4.5258712186921103E-2</v>
      </c>
      <c r="G162">
        <v>8.4538145238490898</v>
      </c>
      <c r="H162">
        <v>4.2761278784344601</v>
      </c>
      <c r="I162">
        <v>20.4658012390137</v>
      </c>
      <c r="J162">
        <v>0</v>
      </c>
      <c r="K162">
        <v>595.56329345703102</v>
      </c>
      <c r="L162">
        <v>21.200659001459801</v>
      </c>
      <c r="M162">
        <v>753.01252021164203</v>
      </c>
      <c r="N162">
        <v>181.31437583047801</v>
      </c>
      <c r="O162">
        <v>41.5992381611808</v>
      </c>
      <c r="P162">
        <v>4.7540369033813503</v>
      </c>
      <c r="Q162">
        <v>34.061473846435497</v>
      </c>
      <c r="R162">
        <v>164.60542297363301</v>
      </c>
      <c r="S162">
        <v>3.37540555000305</v>
      </c>
      <c r="T162">
        <v>16.8074436187744</v>
      </c>
      <c r="U162">
        <v>0.374284163982531</v>
      </c>
      <c r="V162" t="s">
        <v>23</v>
      </c>
      <c r="W162" t="s">
        <v>40</v>
      </c>
    </row>
    <row r="163" spans="1:23" x14ac:dyDescent="0.35">
      <c r="A163">
        <v>1.65321251377534</v>
      </c>
      <c r="B163">
        <v>1450</v>
      </c>
      <c r="C163">
        <v>1069.98327636719</v>
      </c>
      <c r="D163">
        <v>0.21423982838390801</v>
      </c>
      <c r="E163">
        <v>2.1512589515871299</v>
      </c>
      <c r="F163">
        <v>14.256102846997999</v>
      </c>
      <c r="G163">
        <v>8.6318980701120598</v>
      </c>
      <c r="H163">
        <v>2.1022325823863599</v>
      </c>
      <c r="I163">
        <v>33.3834838867188</v>
      </c>
      <c r="J163">
        <v>0</v>
      </c>
      <c r="K163">
        <v>553.035888671875</v>
      </c>
      <c r="L163">
        <v>16.6800996045597</v>
      </c>
      <c r="M163">
        <v>741.20939261014303</v>
      </c>
      <c r="N163">
        <v>170.270919049372</v>
      </c>
      <c r="O163">
        <v>45.162723541259801</v>
      </c>
      <c r="P163">
        <v>1.4682030677795399</v>
      </c>
      <c r="Q163">
        <v>25.192497253418001</v>
      </c>
      <c r="R163">
        <v>92.271629333496094</v>
      </c>
      <c r="S163">
        <v>3.4279875755310099</v>
      </c>
      <c r="T163">
        <v>15.298439025878899</v>
      </c>
      <c r="U163">
        <v>0.88994374092052497</v>
      </c>
      <c r="V163" t="s">
        <v>23</v>
      </c>
      <c r="W163" t="s">
        <v>37</v>
      </c>
    </row>
    <row r="164" spans="1:23" x14ac:dyDescent="0.35">
      <c r="A164">
        <v>1.93951925261862</v>
      </c>
      <c r="B164">
        <v>1070</v>
      </c>
      <c r="C164">
        <v>1388.17456054688</v>
      </c>
      <c r="D164">
        <v>0.16524629045525099</v>
      </c>
      <c r="E164">
        <v>0.541787583300811</v>
      </c>
      <c r="F164">
        <v>9.1429936077383402</v>
      </c>
      <c r="G164">
        <v>11.769383364154701</v>
      </c>
      <c r="H164">
        <v>2.8647731367521398</v>
      </c>
      <c r="I164">
        <v>59.324756622314503</v>
      </c>
      <c r="J164">
        <v>0</v>
      </c>
      <c r="K164">
        <v>470.85873413085898</v>
      </c>
      <c r="L164">
        <v>13.080764246768601</v>
      </c>
      <c r="M164">
        <v>658.23702302526306</v>
      </c>
      <c r="N164">
        <v>176.19625779449001</v>
      </c>
      <c r="O164">
        <v>41.836458581392897</v>
      </c>
      <c r="P164">
        <v>1.64485895633698</v>
      </c>
      <c r="Q164">
        <v>30.690624237060501</v>
      </c>
      <c r="R164">
        <v>123.87166595459</v>
      </c>
      <c r="S164">
        <v>3.6004440784454301</v>
      </c>
      <c r="T164">
        <v>18.022455215454102</v>
      </c>
      <c r="U164">
        <v>0.74821501296656001</v>
      </c>
      <c r="V164" t="s">
        <v>23</v>
      </c>
      <c r="W164" t="s">
        <v>37</v>
      </c>
    </row>
    <row r="165" spans="1:23" x14ac:dyDescent="0.35">
      <c r="A165">
        <v>1.90308998699194</v>
      </c>
      <c r="B165">
        <v>1370</v>
      </c>
      <c r="C165">
        <v>1053.162109375</v>
      </c>
      <c r="D165">
        <v>0.177844310161383</v>
      </c>
      <c r="E165">
        <v>0.48042433399744999</v>
      </c>
      <c r="F165">
        <v>8.1251349379262603</v>
      </c>
      <c r="G165">
        <v>18.200419488231098</v>
      </c>
      <c r="H165">
        <v>3.0913825607594898</v>
      </c>
      <c r="I165">
        <v>54.984424591064503</v>
      </c>
      <c r="J165">
        <v>0</v>
      </c>
      <c r="K165">
        <v>484.860595703125</v>
      </c>
      <c r="L165">
        <v>12.6266493211027</v>
      </c>
      <c r="M165">
        <v>655.91808031426103</v>
      </c>
      <c r="N165">
        <v>175.686239273822</v>
      </c>
      <c r="O165">
        <v>42.099200326888301</v>
      </c>
      <c r="P165">
        <v>2.7365190982818599</v>
      </c>
      <c r="Q165">
        <v>30.395452499389599</v>
      </c>
      <c r="R165">
        <v>128.798263549805</v>
      </c>
      <c r="S165">
        <v>3.58372282981873</v>
      </c>
      <c r="T165">
        <v>17.680866241455099</v>
      </c>
      <c r="U165">
        <v>0.83795924253631304</v>
      </c>
      <c r="V165" t="s">
        <v>23</v>
      </c>
      <c r="W165" t="s">
        <v>37</v>
      </c>
    </row>
    <row r="166" spans="1:23" x14ac:dyDescent="0.35">
      <c r="A166">
        <v>1.9777236052888501</v>
      </c>
      <c r="B166">
        <v>3430</v>
      </c>
      <c r="C166">
        <v>691.38201904296898</v>
      </c>
      <c r="D166">
        <v>0.226381907684265</v>
      </c>
      <c r="E166">
        <v>1.08261635958005</v>
      </c>
      <c r="F166">
        <v>9.7700378569895499</v>
      </c>
      <c r="G166">
        <v>21.016380211027201</v>
      </c>
      <c r="H166">
        <v>2.9606124135723402</v>
      </c>
      <c r="I166">
        <v>42.033950805664098</v>
      </c>
      <c r="J166">
        <v>0</v>
      </c>
      <c r="K166">
        <v>551.3642578125</v>
      </c>
      <c r="L166">
        <v>13.767843606042099</v>
      </c>
      <c r="M166">
        <v>692.08048736071999</v>
      </c>
      <c r="N166">
        <v>172.09833814276999</v>
      </c>
      <c r="O166">
        <v>43.977903209748803</v>
      </c>
      <c r="P166">
        <v>3.6852118968963601</v>
      </c>
      <c r="Q166">
        <v>27.585597991943398</v>
      </c>
      <c r="R166">
        <v>117.33835601806599</v>
      </c>
      <c r="S166">
        <v>3.3804972171783398</v>
      </c>
      <c r="T166">
        <v>16.461372375488299</v>
      </c>
      <c r="U166">
        <v>0.97299972577060101</v>
      </c>
      <c r="V166" t="s">
        <v>23</v>
      </c>
      <c r="W166" t="s">
        <v>37</v>
      </c>
    </row>
    <row r="167" spans="1:23" x14ac:dyDescent="0.35">
      <c r="A167">
        <v>1.8573324964312701</v>
      </c>
      <c r="B167">
        <v>1270</v>
      </c>
      <c r="C167">
        <v>739.24853515625</v>
      </c>
      <c r="D167">
        <v>0.232155674634653</v>
      </c>
      <c r="E167">
        <v>1.6566151983936399E-2</v>
      </c>
      <c r="F167">
        <v>2.7675945884838802</v>
      </c>
      <c r="G167">
        <v>42.345582142157703</v>
      </c>
      <c r="H167">
        <v>4.0313225175757603</v>
      </c>
      <c r="I167">
        <v>36.935131072997997</v>
      </c>
      <c r="J167">
        <v>0</v>
      </c>
      <c r="K167">
        <v>589.58856201171898</v>
      </c>
      <c r="L167">
        <v>8.0384734888545797</v>
      </c>
      <c r="M167">
        <v>616.85696861392205</v>
      </c>
      <c r="N167">
        <v>171.53488934626299</v>
      </c>
      <c r="O167">
        <v>43.446869709452599</v>
      </c>
      <c r="P167">
        <v>7.2038259506225604</v>
      </c>
      <c r="Q167">
        <v>29.653413772583001</v>
      </c>
      <c r="R167">
        <v>147.97200012207</v>
      </c>
      <c r="S167">
        <v>3.4422194957733199</v>
      </c>
      <c r="T167">
        <v>16.4519138336182</v>
      </c>
      <c r="U167">
        <v>0.91055656118220996</v>
      </c>
      <c r="V167" t="s">
        <v>23</v>
      </c>
      <c r="W167" t="s">
        <v>37</v>
      </c>
    </row>
    <row r="168" spans="1:23" x14ac:dyDescent="0.35">
      <c r="A168">
        <v>1.77085201164214</v>
      </c>
      <c r="B168">
        <v>1610</v>
      </c>
      <c r="C168">
        <v>583.42346191406205</v>
      </c>
      <c r="D168">
        <v>0.25003163718132398</v>
      </c>
      <c r="E168">
        <v>1.35384074602403E-2</v>
      </c>
      <c r="F168">
        <v>3.0246922080749901</v>
      </c>
      <c r="G168">
        <v>40.424655507597699</v>
      </c>
      <c r="H168">
        <v>4.0315218649951801</v>
      </c>
      <c r="I168">
        <v>34.536911010742202</v>
      </c>
      <c r="J168">
        <v>0</v>
      </c>
      <c r="K168">
        <v>604.47821044921898</v>
      </c>
      <c r="L168">
        <v>8.2513339070023104</v>
      </c>
      <c r="M168">
        <v>620.41692014600403</v>
      </c>
      <c r="N168">
        <v>170.81992127465401</v>
      </c>
      <c r="O168">
        <v>43.531652669437598</v>
      </c>
      <c r="P168">
        <v>6.7388229370117196</v>
      </c>
      <c r="Q168">
        <v>29.054599761962901</v>
      </c>
      <c r="R168">
        <v>142.86674499511699</v>
      </c>
      <c r="S168">
        <v>3.3331947326660201</v>
      </c>
      <c r="T168">
        <v>17.115209579467798</v>
      </c>
      <c r="U168">
        <v>0.90495076939063701</v>
      </c>
      <c r="V168" t="s">
        <v>23</v>
      </c>
      <c r="W168" t="s">
        <v>36</v>
      </c>
    </row>
    <row r="169" spans="1:23" x14ac:dyDescent="0.35">
      <c r="A169">
        <v>2.17609125905568</v>
      </c>
      <c r="B169">
        <v>2460</v>
      </c>
      <c r="C169">
        <v>443.67684936523398</v>
      </c>
      <c r="D169">
        <v>0.32689985131069299</v>
      </c>
      <c r="E169">
        <v>3.2257528801868101</v>
      </c>
      <c r="F169">
        <v>4.9899567969127601</v>
      </c>
      <c r="G169">
        <v>31.496141051606099</v>
      </c>
      <c r="H169">
        <v>4.4215020992063501</v>
      </c>
      <c r="I169">
        <v>37.158504486083999</v>
      </c>
      <c r="J169">
        <v>0</v>
      </c>
      <c r="K169">
        <v>725.21356201171898</v>
      </c>
      <c r="L169">
        <v>9.4227937713998298</v>
      </c>
      <c r="M169">
        <v>640.00772244813004</v>
      </c>
      <c r="N169">
        <v>170.134050713211</v>
      </c>
      <c r="O169">
        <v>44.0152215175941</v>
      </c>
      <c r="P169">
        <v>6.5366253852844203</v>
      </c>
      <c r="Q169">
        <v>30.393985748291001</v>
      </c>
      <c r="R169">
        <v>155.93206787109401</v>
      </c>
      <c r="S169">
        <v>3.2756140232086199</v>
      </c>
      <c r="T169">
        <v>18.6956672668457</v>
      </c>
      <c r="U169">
        <v>1.0112900343851501</v>
      </c>
      <c r="V169" t="s">
        <v>23</v>
      </c>
      <c r="W169" t="s">
        <v>36</v>
      </c>
    </row>
    <row r="170" spans="1:23" x14ac:dyDescent="0.35">
      <c r="A170">
        <v>2</v>
      </c>
      <c r="B170">
        <v>2040</v>
      </c>
      <c r="C170">
        <v>1051.41870117188</v>
      </c>
      <c r="D170">
        <v>0.25482753159163202</v>
      </c>
      <c r="E170">
        <v>1.7247004082681601</v>
      </c>
      <c r="F170">
        <v>10.601302793947699</v>
      </c>
      <c r="G170">
        <v>3.8690053457922899</v>
      </c>
      <c r="H170">
        <v>3.8019013964664299</v>
      </c>
      <c r="I170">
        <v>22.9950466156006</v>
      </c>
      <c r="J170">
        <v>0</v>
      </c>
      <c r="K170">
        <v>485.83413696289102</v>
      </c>
      <c r="L170">
        <v>6.5111219902507598</v>
      </c>
      <c r="M170">
        <v>505.13934776431199</v>
      </c>
      <c r="N170">
        <v>179.289600309778</v>
      </c>
      <c r="O170">
        <v>35.635487853503598</v>
      </c>
      <c r="P170">
        <v>0.63019061088562001</v>
      </c>
      <c r="Q170">
        <v>31.6448974609375</v>
      </c>
      <c r="R170">
        <v>118.689079284668</v>
      </c>
      <c r="S170">
        <v>2.94645047187805</v>
      </c>
      <c r="T170">
        <v>15.3081655502319</v>
      </c>
      <c r="U170">
        <v>0.62953066197952101</v>
      </c>
      <c r="V170" t="s">
        <v>23</v>
      </c>
      <c r="W170" t="s">
        <v>37</v>
      </c>
    </row>
    <row r="171" spans="1:23" x14ac:dyDescent="0.35">
      <c r="A171">
        <v>2.3010299956639799</v>
      </c>
      <c r="B171">
        <v>428</v>
      </c>
      <c r="C171">
        <v>579.41668701171898</v>
      </c>
      <c r="D171">
        <v>0.32615357803198403</v>
      </c>
      <c r="E171">
        <v>6.18589818037256E-2</v>
      </c>
      <c r="F171">
        <v>8.8015351452306891</v>
      </c>
      <c r="G171">
        <v>9.4113720268663297</v>
      </c>
      <c r="H171">
        <v>3.5801435328467202</v>
      </c>
      <c r="I171">
        <v>75.779747009277301</v>
      </c>
      <c r="J171">
        <v>0</v>
      </c>
      <c r="K171">
        <v>553.59576416015602</v>
      </c>
      <c r="L171">
        <v>5.3807005374157999</v>
      </c>
      <c r="M171">
        <v>501.60592901511302</v>
      </c>
      <c r="N171">
        <v>169.640037411549</v>
      </c>
      <c r="O171">
        <v>36.530484621642103</v>
      </c>
      <c r="P171">
        <v>3.1181666851043701</v>
      </c>
      <c r="Q171">
        <v>27.416357040405298</v>
      </c>
      <c r="R171">
        <v>124.26137542724599</v>
      </c>
      <c r="S171">
        <v>2.7588233947753902</v>
      </c>
      <c r="T171">
        <v>16.349836349487301</v>
      </c>
      <c r="U171">
        <v>0.65968380925091596</v>
      </c>
      <c r="V171" t="s">
        <v>34</v>
      </c>
      <c r="W171" t="s">
        <v>35</v>
      </c>
    </row>
    <row r="172" spans="1:23" x14ac:dyDescent="0.35">
      <c r="A172">
        <v>2.17609125905568</v>
      </c>
      <c r="B172">
        <v>785</v>
      </c>
      <c r="C172">
        <v>241.04550170898401</v>
      </c>
      <c r="D172">
        <v>0.45741151139180702</v>
      </c>
      <c r="E172">
        <v>0.117354009728578</v>
      </c>
      <c r="F172">
        <v>8.7355479914697902</v>
      </c>
      <c r="G172">
        <v>17.930168569926899</v>
      </c>
      <c r="H172">
        <v>3.5560597854250999</v>
      </c>
      <c r="I172">
        <v>83.128326416015597</v>
      </c>
      <c r="J172">
        <v>0</v>
      </c>
      <c r="K172">
        <v>692.93310546875</v>
      </c>
      <c r="L172">
        <v>7.15268655292323</v>
      </c>
      <c r="M172">
        <v>535.76921406730298</v>
      </c>
      <c r="N172">
        <v>168.748802310131</v>
      </c>
      <c r="O172">
        <v>37.598161822459701</v>
      </c>
      <c r="P172">
        <v>5.0887689590454102</v>
      </c>
      <c r="Q172">
        <v>26.184566497802699</v>
      </c>
      <c r="R172">
        <v>127.63523864746099</v>
      </c>
      <c r="S172">
        <v>2.9504292011261</v>
      </c>
      <c r="T172">
        <v>15.996768951416</v>
      </c>
      <c r="U172">
        <v>0.85042905027769999</v>
      </c>
      <c r="V172" t="s">
        <v>32</v>
      </c>
      <c r="W172" t="s">
        <v>35</v>
      </c>
    </row>
    <row r="173" spans="1:23" x14ac:dyDescent="0.35">
      <c r="A173">
        <v>2.1613680022349699</v>
      </c>
      <c r="B173">
        <v>1060</v>
      </c>
      <c r="C173">
        <v>-14.084962844848601</v>
      </c>
      <c r="D173">
        <v>0.475527893465508</v>
      </c>
      <c r="E173">
        <v>0.471862554950218</v>
      </c>
      <c r="F173">
        <v>6.3470497463229698</v>
      </c>
      <c r="G173">
        <v>29.4961284865709</v>
      </c>
      <c r="H173">
        <v>3.6603145136298401</v>
      </c>
      <c r="I173">
        <v>90.650581359863295</v>
      </c>
      <c r="J173">
        <v>0</v>
      </c>
      <c r="K173">
        <v>832.324951171875</v>
      </c>
      <c r="L173">
        <v>9.1775484163252994</v>
      </c>
      <c r="M173">
        <v>556.94105804943604</v>
      </c>
      <c r="N173">
        <v>168.29721594638499</v>
      </c>
      <c r="O173">
        <v>37.337577694752198</v>
      </c>
      <c r="P173">
        <v>7.5613327026367196</v>
      </c>
      <c r="Q173">
        <v>25.912366867065401</v>
      </c>
      <c r="R173">
        <v>127.69826507568401</v>
      </c>
      <c r="S173">
        <v>3.27090287208557</v>
      </c>
      <c r="T173">
        <v>16.7583312988281</v>
      </c>
      <c r="U173">
        <v>1.0034007986417901</v>
      </c>
      <c r="V173" t="s">
        <v>32</v>
      </c>
      <c r="W173" t="s">
        <v>33</v>
      </c>
    </row>
    <row r="174" spans="1:23" x14ac:dyDescent="0.35">
      <c r="A174">
        <v>2.9493900066449101</v>
      </c>
      <c r="B174">
        <v>1480</v>
      </c>
      <c r="C174">
        <v>81.998039245605497</v>
      </c>
      <c r="D174">
        <v>0.687085717299592</v>
      </c>
      <c r="E174">
        <v>4.1811563891066896</v>
      </c>
      <c r="F174">
        <v>23.359959221412701</v>
      </c>
      <c r="G174">
        <v>33.463924970873002</v>
      </c>
      <c r="H174">
        <v>2.6607913091633502</v>
      </c>
      <c r="I174">
        <v>48.178260803222699</v>
      </c>
      <c r="J174">
        <v>0.18778471034291599</v>
      </c>
      <c r="K174">
        <v>900.89990234375</v>
      </c>
      <c r="L174">
        <v>8.9628605139060102</v>
      </c>
      <c r="M174">
        <v>634.64710973520698</v>
      </c>
      <c r="N174">
        <v>162.42458305984201</v>
      </c>
      <c r="O174">
        <v>44.041114056696699</v>
      </c>
      <c r="P174">
        <v>8.5293979644775408</v>
      </c>
      <c r="Q174">
        <v>27.516839981079102</v>
      </c>
      <c r="R174">
        <v>120.078323364258</v>
      </c>
      <c r="S174">
        <v>3.9158964157104501</v>
      </c>
      <c r="T174">
        <v>12.9390773773193</v>
      </c>
      <c r="U174">
        <v>1.4916140934614099</v>
      </c>
      <c r="V174" t="s">
        <v>25</v>
      </c>
      <c r="W174" t="s">
        <v>24</v>
      </c>
    </row>
    <row r="175" spans="1:23" x14ac:dyDescent="0.35">
      <c r="A175">
        <v>3.17609125905568</v>
      </c>
      <c r="B175">
        <v>166</v>
      </c>
      <c r="C175">
        <v>1291.99108886719</v>
      </c>
      <c r="D175">
        <v>0.205510564521901</v>
      </c>
      <c r="E175">
        <v>15.537084283711801</v>
      </c>
      <c r="F175">
        <v>4.9035834149362598</v>
      </c>
      <c r="G175">
        <v>19.9879049145379</v>
      </c>
      <c r="H175">
        <v>6.3605835934065897</v>
      </c>
      <c r="I175">
        <v>35.9328002929688</v>
      </c>
      <c r="J175">
        <v>0</v>
      </c>
      <c r="K175">
        <v>626.11102294921898</v>
      </c>
      <c r="L175">
        <v>20.326278014261199</v>
      </c>
      <c r="M175">
        <v>749.12340908363205</v>
      </c>
      <c r="N175">
        <v>163.30263781938399</v>
      </c>
      <c r="O175">
        <v>42.207604361362101</v>
      </c>
      <c r="P175">
        <v>4.6041636466979998</v>
      </c>
      <c r="Q175">
        <v>29.540632247924801</v>
      </c>
      <c r="R175">
        <v>257.58523559570301</v>
      </c>
      <c r="S175">
        <v>3.8078250885009801</v>
      </c>
      <c r="T175">
        <v>12.596529006958001</v>
      </c>
      <c r="U175">
        <v>1.2945733770616601</v>
      </c>
      <c r="V175" t="s">
        <v>29</v>
      </c>
      <c r="W175" t="s">
        <v>24</v>
      </c>
    </row>
    <row r="176" spans="1:23" x14ac:dyDescent="0.35">
      <c r="A176">
        <v>3.2185355052165301</v>
      </c>
      <c r="B176">
        <v>426</v>
      </c>
      <c r="C176">
        <v>1319.23388671875</v>
      </c>
      <c r="D176">
        <v>0.187424913973774</v>
      </c>
      <c r="E176">
        <v>21.423559365155601</v>
      </c>
      <c r="F176">
        <v>3.9230000927446498</v>
      </c>
      <c r="G176">
        <v>1.5474432783026</v>
      </c>
      <c r="H176">
        <v>5.5614542943396197</v>
      </c>
      <c r="I176">
        <v>60.3062934875488</v>
      </c>
      <c r="J176">
        <v>0</v>
      </c>
      <c r="K176">
        <v>439.94192504882801</v>
      </c>
      <c r="L176">
        <v>14.605162800335499</v>
      </c>
      <c r="M176">
        <v>620.79320038342098</v>
      </c>
      <c r="N176">
        <v>166.81094335337201</v>
      </c>
      <c r="O176">
        <v>37.2359584433134</v>
      </c>
      <c r="P176">
        <v>0.51191347837448098</v>
      </c>
      <c r="Q176">
        <v>34.421401977539098</v>
      </c>
      <c r="R176">
        <v>216.41455078125</v>
      </c>
      <c r="S176">
        <v>4.2119941711425799</v>
      </c>
      <c r="T176">
        <v>12.411108970642101</v>
      </c>
      <c r="U176">
        <v>0.79414983887156398</v>
      </c>
      <c r="V176" t="s">
        <v>28</v>
      </c>
      <c r="W176" t="s">
        <v>24</v>
      </c>
    </row>
    <row r="177" spans="1:23" x14ac:dyDescent="0.35">
      <c r="A177">
        <v>3.0534626049254601</v>
      </c>
      <c r="B177">
        <v>916</v>
      </c>
      <c r="C177">
        <v>1601.6982421875</v>
      </c>
      <c r="D177">
        <v>0.15797895504241399</v>
      </c>
      <c r="E177">
        <v>39.624707796834798</v>
      </c>
      <c r="F177">
        <v>2.1653797717295</v>
      </c>
      <c r="G177">
        <v>4.9913562539440903</v>
      </c>
      <c r="H177">
        <v>5.4462303747494998</v>
      </c>
      <c r="I177">
        <v>13.0057363510132</v>
      </c>
      <c r="J177">
        <v>4.9290130346834697</v>
      </c>
      <c r="K177">
        <v>534.23596191406205</v>
      </c>
      <c r="L177">
        <v>29.388559216358601</v>
      </c>
      <c r="M177">
        <v>788.78392253938296</v>
      </c>
      <c r="N177">
        <v>164.84082106293201</v>
      </c>
      <c r="O177">
        <v>36.438141619572903</v>
      </c>
      <c r="P177">
        <v>1.89775454998016</v>
      </c>
      <c r="Q177">
        <v>29.603044509887699</v>
      </c>
      <c r="R177">
        <v>260.66119384765602</v>
      </c>
      <c r="S177">
        <v>3.7615630626678498</v>
      </c>
      <c r="T177">
        <v>9.3720951080322301</v>
      </c>
      <c r="U177">
        <v>1.0161932620343399</v>
      </c>
      <c r="V177" t="s">
        <v>29</v>
      </c>
      <c r="W177" t="s">
        <v>24</v>
      </c>
    </row>
    <row r="178" spans="1:23" x14ac:dyDescent="0.35">
      <c r="A178">
        <v>3.29402509409532</v>
      </c>
      <c r="B178">
        <v>2197</v>
      </c>
      <c r="C178">
        <v>1097.07824707031</v>
      </c>
      <c r="D178">
        <v>0.21845865100682299</v>
      </c>
      <c r="E178">
        <v>34.303299614698297</v>
      </c>
      <c r="F178">
        <v>4.7135857633880702</v>
      </c>
      <c r="G178">
        <v>5.77156090300344</v>
      </c>
      <c r="H178">
        <v>5.7753282488938096</v>
      </c>
      <c r="I178">
        <v>17.095230102539102</v>
      </c>
      <c r="J178">
        <v>7.6020272916573601</v>
      </c>
      <c r="K178">
        <v>545.99017333984398</v>
      </c>
      <c r="L178">
        <v>21.6562347099429</v>
      </c>
      <c r="M178">
        <v>722.51952824827094</v>
      </c>
      <c r="N178">
        <v>165.665886050365</v>
      </c>
      <c r="O178">
        <v>38.665575621557998</v>
      </c>
      <c r="P178">
        <v>1.6061658859252901</v>
      </c>
      <c r="Q178">
        <v>30.750934600830099</v>
      </c>
      <c r="R178">
        <v>256.78997802734398</v>
      </c>
      <c r="S178">
        <v>3.9421246051788299</v>
      </c>
      <c r="T178">
        <v>10.015221595764199</v>
      </c>
      <c r="U178">
        <v>1.1084999465515299</v>
      </c>
      <c r="V178" t="s">
        <v>29</v>
      </c>
      <c r="W178" t="s">
        <v>30</v>
      </c>
    </row>
    <row r="179" spans="1:23" x14ac:dyDescent="0.35">
      <c r="A179">
        <v>3.4005379893919501</v>
      </c>
      <c r="B179">
        <v>3607</v>
      </c>
      <c r="C179">
        <v>916.84997558593795</v>
      </c>
      <c r="D179">
        <v>0.24218911497395099</v>
      </c>
      <c r="E179">
        <v>33.713138842170302</v>
      </c>
      <c r="F179">
        <v>4.7759811002185204</v>
      </c>
      <c r="G179">
        <v>5.2656281346349703</v>
      </c>
      <c r="H179">
        <v>5.8413880985981299</v>
      </c>
      <c r="I179">
        <v>19.788738250732401</v>
      </c>
      <c r="J179">
        <v>14.496633900851601</v>
      </c>
      <c r="K179">
        <v>554.26007080078102</v>
      </c>
      <c r="L179">
        <v>20.721509878752698</v>
      </c>
      <c r="M179">
        <v>710.07892796250599</v>
      </c>
      <c r="N179">
        <v>165.65917093245699</v>
      </c>
      <c r="O179">
        <v>38.564918267922302</v>
      </c>
      <c r="P179">
        <v>1.44429659843445</v>
      </c>
      <c r="Q179">
        <v>31.081863403320298</v>
      </c>
      <c r="R179">
        <v>255.45390319824199</v>
      </c>
      <c r="S179">
        <v>3.9772748947143599</v>
      </c>
      <c r="T179">
        <v>10.100548744201699</v>
      </c>
      <c r="U179">
        <v>1.0956797399654301</v>
      </c>
      <c r="V179" t="s">
        <v>29</v>
      </c>
      <c r="W179" t="s">
        <v>30</v>
      </c>
    </row>
    <row r="180" spans="1:23" x14ac:dyDescent="0.35">
      <c r="A180">
        <v>2.7641761323903302</v>
      </c>
      <c r="B180">
        <v>1060</v>
      </c>
      <c r="C180">
        <v>438.80651855468801</v>
      </c>
      <c r="D180">
        <v>0.35287258701014601</v>
      </c>
      <c r="E180">
        <v>4.8261286335272899</v>
      </c>
      <c r="F180">
        <v>6.6943009006651497</v>
      </c>
      <c r="G180">
        <v>15.387033120384</v>
      </c>
      <c r="H180">
        <v>3.80010120625465</v>
      </c>
      <c r="I180">
        <v>33.384891510009801</v>
      </c>
      <c r="J180">
        <v>0</v>
      </c>
      <c r="K180">
        <v>601.067626953125</v>
      </c>
      <c r="L180">
        <v>9.2430277417917708</v>
      </c>
      <c r="M180">
        <v>617.05105390705</v>
      </c>
      <c r="N180">
        <v>161.11657214555601</v>
      </c>
      <c r="O180">
        <v>42.305766183821902</v>
      </c>
      <c r="P180">
        <v>2.30863690376282</v>
      </c>
      <c r="Q180">
        <v>32.781761169433601</v>
      </c>
      <c r="R180">
        <v>143.40280151367199</v>
      </c>
      <c r="S180">
        <v>4.0223312377929696</v>
      </c>
      <c r="T180">
        <v>10.435952186584499</v>
      </c>
      <c r="U180">
        <v>0.94765334112235</v>
      </c>
      <c r="V180" t="s">
        <v>23</v>
      </c>
      <c r="W180" t="s">
        <v>30</v>
      </c>
    </row>
    <row r="181" spans="1:23" x14ac:dyDescent="0.35">
      <c r="A181">
        <v>2.7701152947871002</v>
      </c>
      <c r="B181">
        <v>7268</v>
      </c>
      <c r="C181">
        <v>596.067626953125</v>
      </c>
      <c r="D181">
        <v>0.30251896074168899</v>
      </c>
      <c r="E181">
        <v>17.5821264441906</v>
      </c>
      <c r="F181">
        <v>4.13988812407454</v>
      </c>
      <c r="G181">
        <v>13.6795865312339</v>
      </c>
      <c r="H181">
        <v>4.9463155975197299</v>
      </c>
      <c r="I181">
        <v>30.212059020996101</v>
      </c>
      <c r="J181">
        <v>28.269773742377801</v>
      </c>
      <c r="K181">
        <v>675.41174316406205</v>
      </c>
      <c r="L181">
        <v>19.958937410448399</v>
      </c>
      <c r="M181">
        <v>734.625502289319</v>
      </c>
      <c r="N181">
        <v>162.58795065958</v>
      </c>
      <c r="O181">
        <v>41.338897955222201</v>
      </c>
      <c r="P181">
        <v>3.0706338882446298</v>
      </c>
      <c r="Q181">
        <v>31.4875602722168</v>
      </c>
      <c r="R181">
        <v>210.97373962402301</v>
      </c>
      <c r="S181">
        <v>3.86907958984375</v>
      </c>
      <c r="T181">
        <v>10.020982742309601</v>
      </c>
      <c r="U181">
        <v>1.14957146698959</v>
      </c>
      <c r="V181" t="s">
        <v>29</v>
      </c>
      <c r="W181" t="s">
        <v>30</v>
      </c>
    </row>
    <row r="182" spans="1:23" x14ac:dyDescent="0.35">
      <c r="A182">
        <v>3.0457140589408702</v>
      </c>
      <c r="B182">
        <v>3932</v>
      </c>
      <c r="C182">
        <v>770.9912109375</v>
      </c>
      <c r="D182">
        <v>0.27724716664105098</v>
      </c>
      <c r="E182">
        <v>17.253799643556501</v>
      </c>
      <c r="F182">
        <v>2.8551746068736801</v>
      </c>
      <c r="G182">
        <v>19.162609570691401</v>
      </c>
      <c r="H182">
        <v>5.8386653430502697</v>
      </c>
      <c r="I182">
        <v>32.028285980224602</v>
      </c>
      <c r="J182">
        <v>25.777185415541101</v>
      </c>
      <c r="K182">
        <v>738.513916015625</v>
      </c>
      <c r="L182">
        <v>25.761096485325499</v>
      </c>
      <c r="M182">
        <v>820.67047419313496</v>
      </c>
      <c r="N182">
        <v>161.84253705134199</v>
      </c>
      <c r="O182">
        <v>42.688430473452698</v>
      </c>
      <c r="P182">
        <v>4.5772070884704599</v>
      </c>
      <c r="Q182">
        <v>30.292669296264599</v>
      </c>
      <c r="R182">
        <v>260.16104125976602</v>
      </c>
      <c r="S182">
        <v>3.8342475891113299</v>
      </c>
      <c r="T182">
        <v>9.3232231140136701</v>
      </c>
      <c r="U182">
        <v>1.23968054297272</v>
      </c>
      <c r="V182" t="s">
        <v>29</v>
      </c>
      <c r="W182" t="s">
        <v>26</v>
      </c>
    </row>
    <row r="183" spans="1:23" x14ac:dyDescent="0.35">
      <c r="A183">
        <v>3.14488541828714</v>
      </c>
      <c r="B183">
        <v>4762</v>
      </c>
      <c r="C183">
        <v>509.55752563476602</v>
      </c>
      <c r="D183">
        <v>0.30774757088753002</v>
      </c>
      <c r="E183">
        <v>15.8270495516306</v>
      </c>
      <c r="F183">
        <v>3.2568585193003901</v>
      </c>
      <c r="G183">
        <v>18.0584620254016</v>
      </c>
      <c r="H183">
        <v>5.7632717336399004</v>
      </c>
      <c r="I183">
        <v>33.122123718261697</v>
      </c>
      <c r="J183">
        <v>25.777185415541101</v>
      </c>
      <c r="K183">
        <v>742.346435546875</v>
      </c>
      <c r="L183">
        <v>22.708521733518499</v>
      </c>
      <c r="M183">
        <v>786.31788009893705</v>
      </c>
      <c r="N183">
        <v>161.59321369108599</v>
      </c>
      <c r="O183">
        <v>42.884557755266997</v>
      </c>
      <c r="P183">
        <v>4.2781815528869602</v>
      </c>
      <c r="Q183">
        <v>30.688825607299801</v>
      </c>
      <c r="R183">
        <v>250.49217224121099</v>
      </c>
      <c r="S183">
        <v>3.8521153926849401</v>
      </c>
      <c r="T183">
        <v>10.427176475524901</v>
      </c>
      <c r="U183">
        <v>1.20555746592661</v>
      </c>
      <c r="V183" t="s">
        <v>29</v>
      </c>
      <c r="W183" t="s">
        <v>26</v>
      </c>
    </row>
    <row r="184" spans="1:23" x14ac:dyDescent="0.35">
      <c r="A184">
        <v>2.9912260756924902</v>
      </c>
      <c r="B184">
        <v>3190</v>
      </c>
      <c r="C184">
        <v>355.44140625</v>
      </c>
      <c r="D184">
        <v>0.39564215406208503</v>
      </c>
      <c r="E184">
        <v>11.878133112353099</v>
      </c>
      <c r="F184">
        <v>1.3415556056486</v>
      </c>
      <c r="G184">
        <v>39.552447790732202</v>
      </c>
      <c r="H184">
        <v>5.9400872264864901</v>
      </c>
      <c r="I184">
        <v>15.0428562164307</v>
      </c>
      <c r="J184">
        <v>34.213322298715703</v>
      </c>
      <c r="K184">
        <v>886.33489990234398</v>
      </c>
      <c r="L184">
        <v>22.139131874334598</v>
      </c>
      <c r="M184">
        <v>812.61948882556396</v>
      </c>
      <c r="N184">
        <v>159.46150682793299</v>
      </c>
      <c r="O184">
        <v>45.663429760542101</v>
      </c>
      <c r="P184">
        <v>9.1807146072387695</v>
      </c>
      <c r="Q184">
        <v>30.455659866333001</v>
      </c>
      <c r="R184">
        <v>249.25234985351599</v>
      </c>
      <c r="S184">
        <v>3.7944176197052002</v>
      </c>
      <c r="T184">
        <v>11.3444814682007</v>
      </c>
      <c r="U184">
        <v>1.2703644918894099</v>
      </c>
      <c r="V184" t="s">
        <v>23</v>
      </c>
      <c r="W184" t="s">
        <v>26</v>
      </c>
    </row>
    <row r="185" spans="1:23" x14ac:dyDescent="0.35">
      <c r="A185">
        <v>2.6170003411209</v>
      </c>
      <c r="B185">
        <v>908</v>
      </c>
      <c r="C185">
        <v>407.53878784179699</v>
      </c>
      <c r="D185">
        <v>0.45884870563132901</v>
      </c>
      <c r="E185">
        <v>16.047558259699599</v>
      </c>
      <c r="F185">
        <v>2.2947971494302299</v>
      </c>
      <c r="G185">
        <v>50.082145386846399</v>
      </c>
      <c r="H185">
        <v>5.2668622817679598</v>
      </c>
      <c r="I185">
        <v>53.692752838134801</v>
      </c>
      <c r="J185">
        <v>5.9293552768994404</v>
      </c>
      <c r="K185">
        <v>1027.16857910156</v>
      </c>
      <c r="L185">
        <v>27.6370243009974</v>
      </c>
      <c r="M185">
        <v>904.25296070536604</v>
      </c>
      <c r="N185">
        <v>158.90097596215401</v>
      </c>
      <c r="O185">
        <v>47.791973989517999</v>
      </c>
      <c r="P185">
        <v>12.301100730896</v>
      </c>
      <c r="Q185">
        <v>29.0688991546631</v>
      </c>
      <c r="R185">
        <v>221.84075927734401</v>
      </c>
      <c r="S185">
        <v>3.6592247486114502</v>
      </c>
      <c r="T185">
        <v>9.5064592361450195</v>
      </c>
      <c r="U185">
        <v>1.4386751468408301</v>
      </c>
      <c r="V185" t="s">
        <v>23</v>
      </c>
      <c r="W185" t="s">
        <v>26</v>
      </c>
    </row>
    <row r="186" spans="1:23" x14ac:dyDescent="0.35">
      <c r="A186">
        <v>2.6551384348113798</v>
      </c>
      <c r="B186">
        <v>4820</v>
      </c>
      <c r="C186">
        <v>130.33842468261699</v>
      </c>
      <c r="D186">
        <v>0.80468830876903896</v>
      </c>
      <c r="E186">
        <v>3.2713190731028199</v>
      </c>
      <c r="F186">
        <v>25.1822633552665</v>
      </c>
      <c r="G186">
        <v>44.842242675757099</v>
      </c>
      <c r="H186">
        <v>2.0189248696109399</v>
      </c>
      <c r="I186">
        <v>119.101554870605</v>
      </c>
      <c r="J186">
        <v>5.9293552768994404</v>
      </c>
      <c r="K186">
        <v>1083.84387207031</v>
      </c>
      <c r="L186">
        <v>11.869589829054</v>
      </c>
      <c r="M186">
        <v>713.75260600105696</v>
      </c>
      <c r="N186">
        <v>155.1256616311</v>
      </c>
      <c r="O186">
        <v>47.699491344514399</v>
      </c>
      <c r="P186">
        <v>11.3671960830688</v>
      </c>
      <c r="Q186">
        <v>26.121383666992202</v>
      </c>
      <c r="R186">
        <v>96.714179992675795</v>
      </c>
      <c r="S186">
        <v>3.6288709640502899</v>
      </c>
      <c r="T186">
        <v>11.3396253585815</v>
      </c>
      <c r="U186">
        <v>1.3863972344834701</v>
      </c>
      <c r="V186" t="s">
        <v>25</v>
      </c>
      <c r="W186" t="s">
        <v>26</v>
      </c>
    </row>
    <row r="187" spans="1:23" x14ac:dyDescent="0.35">
      <c r="A187">
        <v>2.2810333672477299</v>
      </c>
      <c r="B187">
        <v>851</v>
      </c>
      <c r="C187">
        <v>198.45062255859401</v>
      </c>
      <c r="D187">
        <v>0.27420128193965998</v>
      </c>
      <c r="E187">
        <v>0.291974760524431</v>
      </c>
      <c r="F187">
        <v>63.666629891426098</v>
      </c>
      <c r="G187">
        <v>4.8503451303015801</v>
      </c>
      <c r="H187">
        <v>0.70473382029950105</v>
      </c>
      <c r="I187">
        <v>46.717655181884801</v>
      </c>
      <c r="J187">
        <v>0</v>
      </c>
      <c r="K187">
        <v>651.26751708984398</v>
      </c>
      <c r="L187">
        <v>3.9894217350443899</v>
      </c>
      <c r="M187">
        <v>521.823776995549</v>
      </c>
      <c r="N187">
        <v>146.51689097920399</v>
      </c>
      <c r="O187">
        <v>39.599652556122301</v>
      </c>
      <c r="P187">
        <v>1.4931583404541</v>
      </c>
      <c r="Q187">
        <v>20.417890548706101</v>
      </c>
      <c r="R187">
        <v>25.136665344238299</v>
      </c>
      <c r="S187">
        <v>2.50838994979858</v>
      </c>
      <c r="T187">
        <v>10.7500009536743</v>
      </c>
      <c r="U187">
        <v>0.97277944213639</v>
      </c>
      <c r="V187" t="s">
        <v>25</v>
      </c>
      <c r="W187" t="s">
        <v>31</v>
      </c>
    </row>
    <row r="188" spans="1:23" x14ac:dyDescent="0.35">
      <c r="A188">
        <v>1.9777236052888501</v>
      </c>
      <c r="B188">
        <v>4807</v>
      </c>
      <c r="C188">
        <v>129.08174133300801</v>
      </c>
      <c r="D188">
        <v>0.30589045830957801</v>
      </c>
      <c r="E188">
        <v>7.1791648252753498E-2</v>
      </c>
      <c r="F188">
        <v>62.671655838616601</v>
      </c>
      <c r="G188">
        <v>2.2638204759292</v>
      </c>
      <c r="H188">
        <v>0.59473506809396404</v>
      </c>
      <c r="I188">
        <v>29.078954696655298</v>
      </c>
      <c r="J188">
        <v>0</v>
      </c>
      <c r="K188">
        <v>639.5693359375</v>
      </c>
      <c r="L188">
        <v>3.9819362632563902</v>
      </c>
      <c r="M188">
        <v>501.132551349577</v>
      </c>
      <c r="N188">
        <v>146.706620513416</v>
      </c>
      <c r="O188">
        <v>37.885536412723702</v>
      </c>
      <c r="P188">
        <v>0.85846722126007102</v>
      </c>
      <c r="Q188">
        <v>20.322280883789102</v>
      </c>
      <c r="R188">
        <v>24.749057769775401</v>
      </c>
      <c r="S188">
        <v>2.4735269546508798</v>
      </c>
      <c r="T188">
        <v>9.8490219116210902</v>
      </c>
      <c r="U188">
        <v>0.83415556792100998</v>
      </c>
      <c r="V188" t="s">
        <v>25</v>
      </c>
      <c r="W188" t="s">
        <v>31</v>
      </c>
    </row>
    <row r="189" spans="1:23" x14ac:dyDescent="0.35">
      <c r="A189">
        <v>2.2624510897304302</v>
      </c>
      <c r="B189">
        <v>3350</v>
      </c>
      <c r="C189">
        <v>434.54141235351602</v>
      </c>
      <c r="D189">
        <v>0.42188607010055201</v>
      </c>
      <c r="E189">
        <v>7.4225746706960098</v>
      </c>
      <c r="F189">
        <v>3.4932354763924298</v>
      </c>
      <c r="G189">
        <v>61.479789900392198</v>
      </c>
      <c r="H189">
        <v>3.8294040906998199</v>
      </c>
      <c r="I189">
        <v>18.381809234619102</v>
      </c>
      <c r="J189">
        <v>18.119585885361499</v>
      </c>
      <c r="K189">
        <v>966.642578125</v>
      </c>
      <c r="L189">
        <v>52.283877450911703</v>
      </c>
      <c r="M189">
        <v>1171.6868576299901</v>
      </c>
      <c r="N189">
        <v>153.24667708600199</v>
      </c>
      <c r="O189">
        <v>45.479233976270301</v>
      </c>
      <c r="P189">
        <v>15.0295162200928</v>
      </c>
      <c r="Q189">
        <v>32.191867828369098</v>
      </c>
      <c r="R189">
        <v>168.03663635253901</v>
      </c>
      <c r="S189">
        <v>3.2979736328125</v>
      </c>
      <c r="T189">
        <v>11.9503030776978</v>
      </c>
      <c r="U189">
        <v>1.6089640482171901</v>
      </c>
      <c r="V189" t="s">
        <v>29</v>
      </c>
      <c r="W189" t="s">
        <v>39</v>
      </c>
    </row>
    <row r="190" spans="1:23" x14ac:dyDescent="0.35">
      <c r="A190">
        <v>1.91381385238372</v>
      </c>
      <c r="B190">
        <v>4879</v>
      </c>
      <c r="C190">
        <v>169.26229858398401</v>
      </c>
      <c r="D190">
        <v>0.56244656954968197</v>
      </c>
      <c r="E190">
        <v>4.9878224355903296</v>
      </c>
      <c r="F190">
        <v>10.268615834568401</v>
      </c>
      <c r="G190">
        <v>59.602311515385203</v>
      </c>
      <c r="H190">
        <v>2.91107468608124</v>
      </c>
      <c r="I190">
        <v>21.435789108276399</v>
      </c>
      <c r="J190">
        <v>18.119585885361499</v>
      </c>
      <c r="K190">
        <v>1052.98291015625</v>
      </c>
      <c r="L190">
        <v>44.664251733998803</v>
      </c>
      <c r="M190">
        <v>1114.6379634669599</v>
      </c>
      <c r="N190">
        <v>152.192324779073</v>
      </c>
      <c r="O190">
        <v>48.352703344626498</v>
      </c>
      <c r="P190">
        <v>14.5103244781494</v>
      </c>
      <c r="Q190">
        <v>30.929157257080099</v>
      </c>
      <c r="R190">
        <v>130.48411560058599</v>
      </c>
      <c r="S190">
        <v>3.0213859081268302</v>
      </c>
      <c r="T190">
        <v>11.9334516525269</v>
      </c>
      <c r="U190">
        <v>1.6285362931615099</v>
      </c>
      <c r="V190" t="s">
        <v>29</v>
      </c>
      <c r="W190" t="s">
        <v>39</v>
      </c>
    </row>
    <row r="191" spans="1:23" x14ac:dyDescent="0.35">
      <c r="A191">
        <v>2.0128372247051698</v>
      </c>
      <c r="B191">
        <v>11975</v>
      </c>
      <c r="C191">
        <v>37.977848052978501</v>
      </c>
      <c r="D191">
        <v>0.984752036410945</v>
      </c>
      <c r="E191">
        <v>2.0407982482207698</v>
      </c>
      <c r="F191">
        <v>46.1224074329402</v>
      </c>
      <c r="G191">
        <v>33.826300377561502</v>
      </c>
      <c r="H191">
        <v>1.3820372357019099</v>
      </c>
      <c r="I191">
        <v>37.243003845214801</v>
      </c>
      <c r="J191">
        <v>18.119585885361499</v>
      </c>
      <c r="K191">
        <v>1070.09252929688</v>
      </c>
      <c r="L191">
        <v>27.817578018688799</v>
      </c>
      <c r="M191">
        <v>940.17490974801501</v>
      </c>
      <c r="N191">
        <v>149.75467094046201</v>
      </c>
      <c r="O191">
        <v>50.649662330502402</v>
      </c>
      <c r="P191">
        <v>8.0372037887573207</v>
      </c>
      <c r="Q191">
        <v>27.384370803833001</v>
      </c>
      <c r="R191">
        <v>61.207420349121101</v>
      </c>
      <c r="S191">
        <v>2.57371306419373</v>
      </c>
      <c r="T191">
        <v>11.215213775634799</v>
      </c>
      <c r="U191">
        <v>1.4519923645929</v>
      </c>
      <c r="V191" t="s">
        <v>25</v>
      </c>
      <c r="W191" t="s">
        <v>31</v>
      </c>
    </row>
    <row r="192" spans="1:23" x14ac:dyDescent="0.35">
      <c r="A192">
        <v>2.0293837776852102</v>
      </c>
      <c r="B192">
        <v>802</v>
      </c>
      <c r="C192">
        <v>905.13427734375</v>
      </c>
      <c r="D192">
        <v>0.295101045921494</v>
      </c>
      <c r="E192">
        <v>11.086934064516001</v>
      </c>
      <c r="F192">
        <v>3.2161739031953802</v>
      </c>
      <c r="G192">
        <v>47.882102349036401</v>
      </c>
      <c r="H192">
        <v>3.8086971112929602</v>
      </c>
      <c r="I192">
        <v>17.670061111450199</v>
      </c>
      <c r="J192">
        <v>32.243566657384697</v>
      </c>
      <c r="K192">
        <v>793.95959472656205</v>
      </c>
      <c r="L192">
        <v>58.695396360803798</v>
      </c>
      <c r="M192">
        <v>1197.3098074490899</v>
      </c>
      <c r="N192">
        <v>156.40416554935601</v>
      </c>
      <c r="O192">
        <v>41.184256319139799</v>
      </c>
      <c r="P192">
        <v>12.322497367858899</v>
      </c>
      <c r="Q192">
        <v>33.960807800292997</v>
      </c>
      <c r="R192">
        <v>186.43206787109401</v>
      </c>
      <c r="S192">
        <v>3.38190841674805</v>
      </c>
      <c r="T192">
        <v>9.9837779998779297</v>
      </c>
      <c r="U192">
        <v>1.6529393446377201</v>
      </c>
      <c r="V192" t="s">
        <v>29</v>
      </c>
      <c r="W192" t="s">
        <v>39</v>
      </c>
    </row>
    <row r="193" spans="1:23" x14ac:dyDescent="0.35">
      <c r="A193">
        <v>2.11727129565576</v>
      </c>
      <c r="B193">
        <v>1336</v>
      </c>
      <c r="C193">
        <v>773.847900390625</v>
      </c>
      <c r="D193">
        <v>0.39018950533004298</v>
      </c>
      <c r="E193">
        <v>9.9354066160125907</v>
      </c>
      <c r="F193">
        <v>7.87958350132718</v>
      </c>
      <c r="G193">
        <v>38.634128490736799</v>
      </c>
      <c r="H193">
        <v>3.47563403100775</v>
      </c>
      <c r="I193">
        <v>18.859037399291999</v>
      </c>
      <c r="J193">
        <v>30.173925641543999</v>
      </c>
      <c r="K193">
        <v>821.47564697265602</v>
      </c>
      <c r="L193">
        <v>46.968921817717003</v>
      </c>
      <c r="M193">
        <v>1060.4606033075099</v>
      </c>
      <c r="N193">
        <v>156.509691832496</v>
      </c>
      <c r="O193">
        <v>41.515947623331002</v>
      </c>
      <c r="P193">
        <v>9.4502487182617205</v>
      </c>
      <c r="Q193">
        <v>32.458633422851598</v>
      </c>
      <c r="R193">
        <v>151.14004516601599</v>
      </c>
      <c r="S193">
        <v>3.00981616973877</v>
      </c>
      <c r="T193">
        <v>10.037133216857899</v>
      </c>
      <c r="U193">
        <v>1.5858505319629701</v>
      </c>
      <c r="V193" t="s">
        <v>23</v>
      </c>
      <c r="W193" t="s">
        <v>39</v>
      </c>
    </row>
    <row r="194" spans="1:23" x14ac:dyDescent="0.35">
      <c r="A194">
        <v>2.3802112417116099</v>
      </c>
      <c r="B194">
        <v>507</v>
      </c>
      <c r="C194">
        <v>1366.892578125</v>
      </c>
      <c r="D194">
        <v>0.20498677153005199</v>
      </c>
      <c r="E194">
        <v>20.9770596434584</v>
      </c>
      <c r="F194">
        <v>0.68799018188065897</v>
      </c>
      <c r="G194">
        <v>27.4939373495361</v>
      </c>
      <c r="H194">
        <v>5.5015916026058598</v>
      </c>
      <c r="I194">
        <v>8.2760963439941406</v>
      </c>
      <c r="J194">
        <v>58.276413096783202</v>
      </c>
      <c r="K194">
        <v>674.440673828125</v>
      </c>
      <c r="L194">
        <v>78.230060952608696</v>
      </c>
      <c r="M194">
        <v>1371.7220058753801</v>
      </c>
      <c r="N194">
        <v>159.89352216876901</v>
      </c>
      <c r="O194">
        <v>36.1819826032295</v>
      </c>
      <c r="P194">
        <v>15.9052228927612</v>
      </c>
      <c r="Q194">
        <v>34.677692413330099</v>
      </c>
      <c r="R194">
        <v>304.58581542968801</v>
      </c>
      <c r="S194">
        <v>3.74368524551392</v>
      </c>
      <c r="T194">
        <v>8.8418788909912092</v>
      </c>
      <c r="U194">
        <v>1.4966896882463501</v>
      </c>
      <c r="V194" t="s">
        <v>28</v>
      </c>
      <c r="W194" t="s">
        <v>39</v>
      </c>
    </row>
    <row r="195" spans="1:23" x14ac:dyDescent="0.35">
      <c r="A195">
        <v>2.1139433523068401</v>
      </c>
      <c r="B195">
        <v>3793</v>
      </c>
      <c r="C195">
        <v>842.346435546875</v>
      </c>
      <c r="D195">
        <v>0.29086846626930402</v>
      </c>
      <c r="E195">
        <v>15.5190042163551</v>
      </c>
      <c r="F195">
        <v>0.68450683379392496</v>
      </c>
      <c r="G195">
        <v>38.5795766898217</v>
      </c>
      <c r="H195">
        <v>4.9616053581291801</v>
      </c>
      <c r="I195">
        <v>10.415495872497599</v>
      </c>
      <c r="J195">
        <v>164.47010223249899</v>
      </c>
      <c r="K195">
        <v>669.489990234375</v>
      </c>
      <c r="L195">
        <v>52.978868703373102</v>
      </c>
      <c r="M195">
        <v>1091.87373727267</v>
      </c>
      <c r="N195">
        <v>159.21834301557701</v>
      </c>
      <c r="O195">
        <v>38.091425786252898</v>
      </c>
      <c r="P195">
        <v>10.945732116699199</v>
      </c>
      <c r="Q195">
        <v>34.085861206054702</v>
      </c>
      <c r="R195">
        <v>212.65234375</v>
      </c>
      <c r="S195">
        <v>3.27969193458557</v>
      </c>
      <c r="T195">
        <v>9.5694141387939506</v>
      </c>
      <c r="U195">
        <v>1.4999624908865501</v>
      </c>
      <c r="V195" t="s">
        <v>28</v>
      </c>
      <c r="W195" t="s">
        <v>39</v>
      </c>
    </row>
    <row r="196" spans="1:23" x14ac:dyDescent="0.35">
      <c r="A196">
        <v>2.2479732663618099</v>
      </c>
      <c r="B196">
        <v>4083</v>
      </c>
      <c r="C196">
        <v>704.124755859375</v>
      </c>
      <c r="D196">
        <v>0.32648319258786002</v>
      </c>
      <c r="E196">
        <v>14.3641246441577</v>
      </c>
      <c r="F196">
        <v>1.41873247256957</v>
      </c>
      <c r="G196">
        <v>36.940298239131103</v>
      </c>
      <c r="H196">
        <v>4.7271492864117199</v>
      </c>
      <c r="I196">
        <v>11.9862260818481</v>
      </c>
      <c r="J196">
        <v>164.47010223249899</v>
      </c>
      <c r="K196">
        <v>695.62713623046898</v>
      </c>
      <c r="L196">
        <v>49.784116494850998</v>
      </c>
      <c r="M196">
        <v>1062.92322277632</v>
      </c>
      <c r="N196">
        <v>158.890726308354</v>
      </c>
      <c r="O196">
        <v>38.876895091572699</v>
      </c>
      <c r="P196">
        <v>10.375413894653301</v>
      </c>
      <c r="Q196">
        <v>33.570770263671903</v>
      </c>
      <c r="R196">
        <v>202.36962890625</v>
      </c>
      <c r="S196">
        <v>3.2043535709381099</v>
      </c>
      <c r="T196">
        <v>9.5126237869262695</v>
      </c>
      <c r="U196">
        <v>1.49567438369409</v>
      </c>
      <c r="V196" t="s">
        <v>28</v>
      </c>
      <c r="W196" t="s">
        <v>39</v>
      </c>
    </row>
    <row r="197" spans="1:23" x14ac:dyDescent="0.35">
      <c r="A197">
        <v>2.0681858617461599</v>
      </c>
      <c r="B197">
        <v>1909</v>
      </c>
      <c r="C197">
        <v>712.48516845703102</v>
      </c>
      <c r="D197">
        <v>0.37562722022524098</v>
      </c>
      <c r="E197">
        <v>8.1235282121298305</v>
      </c>
      <c r="F197">
        <v>5.8497616879793402</v>
      </c>
      <c r="G197">
        <v>45.592100890232302</v>
      </c>
      <c r="H197">
        <v>3.0960816417682899</v>
      </c>
      <c r="I197">
        <v>16.5872097015381</v>
      </c>
      <c r="J197">
        <v>32.243566657384697</v>
      </c>
      <c r="K197">
        <v>883.11901855468795</v>
      </c>
      <c r="L197">
        <v>45.8759396037117</v>
      </c>
      <c r="M197">
        <v>1068.60767902312</v>
      </c>
      <c r="N197">
        <v>155.06996855188601</v>
      </c>
      <c r="O197">
        <v>43.2945889957616</v>
      </c>
      <c r="P197">
        <v>10.9491672515869</v>
      </c>
      <c r="Q197">
        <v>32.7617378234863</v>
      </c>
      <c r="R197">
        <v>144.23138427734401</v>
      </c>
      <c r="S197">
        <v>3.0739653110504199</v>
      </c>
      <c r="T197">
        <v>11.2165784835815</v>
      </c>
      <c r="U197">
        <v>1.5346069714264201</v>
      </c>
      <c r="V197" t="s">
        <v>23</v>
      </c>
      <c r="W197" t="s">
        <v>39</v>
      </c>
    </row>
    <row r="198" spans="1:23" x14ac:dyDescent="0.35">
      <c r="A198">
        <v>2.2304489213782701</v>
      </c>
      <c r="B198">
        <v>7589</v>
      </c>
      <c r="C198">
        <v>353.0068359375</v>
      </c>
      <c r="D198">
        <v>0.50513007230413198</v>
      </c>
      <c r="E198">
        <v>9.6242524744698308</v>
      </c>
      <c r="F198">
        <v>14.2010311841522</v>
      </c>
      <c r="G198">
        <v>29.9144041576224</v>
      </c>
      <c r="H198">
        <v>3.3875303639854502</v>
      </c>
      <c r="I198">
        <v>25.602882385253899</v>
      </c>
      <c r="J198">
        <v>194.644027874046</v>
      </c>
      <c r="K198">
        <v>786.86822509765602</v>
      </c>
      <c r="L198">
        <v>36.776933544971897</v>
      </c>
      <c r="M198">
        <v>940.61256583792294</v>
      </c>
      <c r="N198">
        <v>156.508106919586</v>
      </c>
      <c r="O198">
        <v>41.702359934322203</v>
      </c>
      <c r="P198">
        <v>8.5337781906127894</v>
      </c>
      <c r="Q198">
        <v>30.849666595458999</v>
      </c>
      <c r="R198">
        <v>148.03521728515599</v>
      </c>
      <c r="S198">
        <v>2.9002590179443399</v>
      </c>
      <c r="T198">
        <v>10.543144226074199</v>
      </c>
      <c r="U198">
        <v>1.6099792775066399</v>
      </c>
      <c r="V198" t="s">
        <v>23</v>
      </c>
      <c r="W198" t="s">
        <v>39</v>
      </c>
    </row>
    <row r="199" spans="1:23" x14ac:dyDescent="0.35">
      <c r="A199">
        <v>2.1931245983544598</v>
      </c>
      <c r="B199">
        <v>2580</v>
      </c>
      <c r="C199">
        <v>392.05276489257801</v>
      </c>
      <c r="D199">
        <v>0.46748436023564899</v>
      </c>
      <c r="E199">
        <v>0.81495229119421597</v>
      </c>
      <c r="F199">
        <v>26.358892011225802</v>
      </c>
      <c r="G199">
        <v>42.323102728402098</v>
      </c>
      <c r="H199">
        <v>1.5940729790724</v>
      </c>
      <c r="I199">
        <v>19.765855789184599</v>
      </c>
      <c r="J199">
        <v>0</v>
      </c>
      <c r="K199">
        <v>1061.41186523438</v>
      </c>
      <c r="L199">
        <v>20.4399065580524</v>
      </c>
      <c r="M199">
        <v>834.82943675557101</v>
      </c>
      <c r="N199">
        <v>152.04625539310601</v>
      </c>
      <c r="O199">
        <v>49.2630008009614</v>
      </c>
      <c r="P199">
        <v>9.6039676666259801</v>
      </c>
      <c r="Q199">
        <v>27.727144241333001</v>
      </c>
      <c r="R199">
        <v>70.443611145019503</v>
      </c>
      <c r="S199">
        <v>2.5122718811035201</v>
      </c>
      <c r="T199">
        <v>12.0510263442993</v>
      </c>
      <c r="U199">
        <v>1.3047990671593499</v>
      </c>
      <c r="V199" t="s">
        <v>23</v>
      </c>
      <c r="W199" t="s">
        <v>39</v>
      </c>
    </row>
    <row r="200" spans="1:23" x14ac:dyDescent="0.35">
      <c r="A200">
        <v>2.47567118832443</v>
      </c>
      <c r="B200">
        <v>3132</v>
      </c>
      <c r="C200">
        <v>207.19413757324199</v>
      </c>
      <c r="D200">
        <v>0.53779111362353504</v>
      </c>
      <c r="E200">
        <v>0.67374002391207699</v>
      </c>
      <c r="F200">
        <v>35.141503655040999</v>
      </c>
      <c r="G200">
        <v>35.8828209243825</v>
      </c>
      <c r="H200">
        <v>1.40436506213937</v>
      </c>
      <c r="I200">
        <v>25.1371765136719</v>
      </c>
      <c r="J200">
        <v>0</v>
      </c>
      <c r="K200">
        <v>1043.44689941406</v>
      </c>
      <c r="L200">
        <v>17.5088458452068</v>
      </c>
      <c r="M200">
        <v>799.19973604796405</v>
      </c>
      <c r="N200">
        <v>151.484834264536</v>
      </c>
      <c r="O200">
        <v>49.219617562215802</v>
      </c>
      <c r="P200">
        <v>8.0945262908935494</v>
      </c>
      <c r="Q200">
        <v>26.5480442047119</v>
      </c>
      <c r="R200">
        <v>60.738636016845703</v>
      </c>
      <c r="S200">
        <v>2.46649837493896</v>
      </c>
      <c r="T200">
        <v>11.8056631088257</v>
      </c>
      <c r="U200">
        <v>1.3081455836381299</v>
      </c>
      <c r="V200" t="s">
        <v>23</v>
      </c>
      <c r="W200" t="s">
        <v>31</v>
      </c>
    </row>
    <row r="201" spans="1:23" x14ac:dyDescent="0.35">
      <c r="A201">
        <v>2.2671717284030102</v>
      </c>
      <c r="B201">
        <v>16868</v>
      </c>
      <c r="C201">
        <v>169.23907470703099</v>
      </c>
      <c r="D201">
        <v>0.68950327747358697</v>
      </c>
      <c r="E201">
        <v>5.38224324637146</v>
      </c>
      <c r="F201">
        <v>30.212052181944401</v>
      </c>
      <c r="G201">
        <v>26.559229389840599</v>
      </c>
      <c r="H201">
        <v>2.2327378852303998</v>
      </c>
      <c r="I201">
        <v>27.7894401550293</v>
      </c>
      <c r="J201">
        <v>226.88759453143001</v>
      </c>
      <c r="K201">
        <v>870.14825439453102</v>
      </c>
      <c r="L201">
        <v>25.942844297065101</v>
      </c>
      <c r="M201">
        <v>840.39479440157504</v>
      </c>
      <c r="N201">
        <v>153.55575836681899</v>
      </c>
      <c r="O201">
        <v>44.196020157610803</v>
      </c>
      <c r="P201">
        <v>7.0433616638183603</v>
      </c>
      <c r="Q201">
        <v>27.5246772766113</v>
      </c>
      <c r="R201">
        <v>99.473426818847699</v>
      </c>
      <c r="S201">
        <v>2.6800994873046902</v>
      </c>
      <c r="T201">
        <v>10.6194667816162</v>
      </c>
      <c r="U201">
        <v>1.5583980568627001</v>
      </c>
      <c r="V201" t="s">
        <v>23</v>
      </c>
      <c r="W201" t="s">
        <v>31</v>
      </c>
    </row>
    <row r="202" spans="1:23" x14ac:dyDescent="0.35">
      <c r="A202">
        <v>2.02530586526477</v>
      </c>
      <c r="B202">
        <v>19057</v>
      </c>
      <c r="C202">
        <v>92.239631652832003</v>
      </c>
      <c r="D202">
        <v>0.77578624318567801</v>
      </c>
      <c r="E202">
        <v>4.7593209449170804</v>
      </c>
      <c r="F202">
        <v>36.224987523144499</v>
      </c>
      <c r="G202">
        <v>24.033739186584398</v>
      </c>
      <c r="H202">
        <v>2.0157768898818502</v>
      </c>
      <c r="I202">
        <v>32.137485504150398</v>
      </c>
      <c r="J202">
        <v>226.88759453143001</v>
      </c>
      <c r="K202">
        <v>865.05413818359398</v>
      </c>
      <c r="L202">
        <v>23.47732203124</v>
      </c>
      <c r="M202">
        <v>811.52726470446999</v>
      </c>
      <c r="N202">
        <v>152.72108509501501</v>
      </c>
      <c r="O202">
        <v>44.254168963823197</v>
      </c>
      <c r="P202">
        <v>6.5034942626953098</v>
      </c>
      <c r="Q202">
        <v>26.667324066162099</v>
      </c>
      <c r="R202">
        <v>88.956970214843807</v>
      </c>
      <c r="S202">
        <v>2.6275758743286102</v>
      </c>
      <c r="T202">
        <v>10.634966850280801</v>
      </c>
      <c r="U202">
        <v>1.5298734428034</v>
      </c>
      <c r="V202" t="s">
        <v>25</v>
      </c>
      <c r="W202" t="s">
        <v>31</v>
      </c>
    </row>
    <row r="203" spans="1:23" x14ac:dyDescent="0.35">
      <c r="A203">
        <v>1.92941892571429</v>
      </c>
      <c r="B203">
        <v>20087</v>
      </c>
      <c r="C203">
        <v>41.598499298095703</v>
      </c>
      <c r="D203">
        <v>0.81905519426600804</v>
      </c>
      <c r="E203">
        <v>4.5260273846800301</v>
      </c>
      <c r="F203">
        <v>38.303528641570097</v>
      </c>
      <c r="G203">
        <v>23.155701335532701</v>
      </c>
      <c r="H203">
        <v>1.9385506714555201</v>
      </c>
      <c r="I203">
        <v>34.218479156494098</v>
      </c>
      <c r="J203">
        <v>226.88759453143001</v>
      </c>
      <c r="K203">
        <v>866.81085205078102</v>
      </c>
      <c r="L203">
        <v>22.802896030613599</v>
      </c>
      <c r="M203">
        <v>804.38840071881395</v>
      </c>
      <c r="N203">
        <v>152.35634750616401</v>
      </c>
      <c r="O203">
        <v>44.332805508472902</v>
      </c>
      <c r="P203">
        <v>6.3177361488342303</v>
      </c>
      <c r="Q203">
        <v>26.4407558441162</v>
      </c>
      <c r="R203">
        <v>84.740989685058594</v>
      </c>
      <c r="S203">
        <v>2.6093308925628702</v>
      </c>
      <c r="T203">
        <v>10.6407375335693</v>
      </c>
      <c r="U203">
        <v>1.51652863756773</v>
      </c>
      <c r="V203" t="s">
        <v>25</v>
      </c>
      <c r="W203" t="s">
        <v>31</v>
      </c>
    </row>
    <row r="204" spans="1:23" x14ac:dyDescent="0.35">
      <c r="A204">
        <v>2.18184358794477</v>
      </c>
      <c r="B204">
        <v>33895</v>
      </c>
      <c r="C204">
        <v>38.802558898925803</v>
      </c>
      <c r="D204">
        <v>0.88604016223252702</v>
      </c>
      <c r="E204">
        <v>4.1597699816632501</v>
      </c>
      <c r="F204">
        <v>42.551615282290399</v>
      </c>
      <c r="G204">
        <v>21.456753398773699</v>
      </c>
      <c r="H204">
        <v>1.8047009919624899</v>
      </c>
      <c r="I204">
        <v>37.057098388671903</v>
      </c>
      <c r="J204">
        <v>226.88759453143001</v>
      </c>
      <c r="K204">
        <v>872.822509765625</v>
      </c>
      <c r="L204">
        <v>21.9098799189583</v>
      </c>
      <c r="M204">
        <v>797.03659007588396</v>
      </c>
      <c r="N204">
        <v>151.835520009525</v>
      </c>
      <c r="O204">
        <v>44.612247717185099</v>
      </c>
      <c r="P204">
        <v>5.9129991531372097</v>
      </c>
      <c r="Q204">
        <v>26.212949752807599</v>
      </c>
      <c r="R204">
        <v>78.343696594238295</v>
      </c>
      <c r="S204">
        <v>2.5823240280151398</v>
      </c>
      <c r="T204">
        <v>10.6497192382812</v>
      </c>
      <c r="U204">
        <v>1.47827344849667</v>
      </c>
      <c r="V204" t="s">
        <v>25</v>
      </c>
      <c r="W204" t="s">
        <v>31</v>
      </c>
    </row>
    <row r="205" spans="1:23" x14ac:dyDescent="0.35">
      <c r="A205">
        <v>2.1105897102992501</v>
      </c>
      <c r="B205">
        <v>1991</v>
      </c>
      <c r="C205">
        <v>352.85360717773398</v>
      </c>
      <c r="D205">
        <v>0.43915497880808602</v>
      </c>
      <c r="E205">
        <v>0.19848303993196201</v>
      </c>
      <c r="F205">
        <v>30.138603863765798</v>
      </c>
      <c r="G205">
        <v>15.0519685828154</v>
      </c>
      <c r="H205">
        <v>1.98874322180451</v>
      </c>
      <c r="I205">
        <v>53.080257415771499</v>
      </c>
      <c r="J205">
        <v>0</v>
      </c>
      <c r="K205">
        <v>709.63024902343795</v>
      </c>
      <c r="L205">
        <v>10.3974684809075</v>
      </c>
      <c r="M205">
        <v>656.64557184938496</v>
      </c>
      <c r="N205">
        <v>153.22102330942599</v>
      </c>
      <c r="O205">
        <v>44.410821820868797</v>
      </c>
      <c r="P205">
        <v>2.36540007591248</v>
      </c>
      <c r="Q205">
        <v>28.681169509887699</v>
      </c>
      <c r="R205">
        <v>68.028312683105497</v>
      </c>
      <c r="S205">
        <v>2.2950196266174299</v>
      </c>
      <c r="T205">
        <v>14.641817092895501</v>
      </c>
      <c r="U205">
        <v>1.19219506664066</v>
      </c>
      <c r="V205" t="s">
        <v>23</v>
      </c>
      <c r="W205" t="s">
        <v>26</v>
      </c>
    </row>
    <row r="206" spans="1:23" x14ac:dyDescent="0.35">
      <c r="A206">
        <v>2.1003705451175598</v>
      </c>
      <c r="B206">
        <v>1540</v>
      </c>
      <c r="C206">
        <v>828.929443359375</v>
      </c>
      <c r="D206">
        <v>0.34256397232789898</v>
      </c>
      <c r="E206">
        <v>6.7124593513143402</v>
      </c>
      <c r="F206">
        <v>1.21024436752755</v>
      </c>
      <c r="G206">
        <v>14.831361640483101</v>
      </c>
      <c r="H206">
        <v>3.7951115051334701</v>
      </c>
      <c r="I206">
        <v>25.551054000854499</v>
      </c>
      <c r="J206">
        <v>65.192926301092101</v>
      </c>
      <c r="K206">
        <v>599.52520751953102</v>
      </c>
      <c r="L206">
        <v>27.7000782450692</v>
      </c>
      <c r="M206">
        <v>822.37414951011795</v>
      </c>
      <c r="N206">
        <v>156.053867277552</v>
      </c>
      <c r="O206">
        <v>40.421904704609901</v>
      </c>
      <c r="P206">
        <v>4.9263825416564897</v>
      </c>
      <c r="Q206">
        <v>31.705860137939499</v>
      </c>
      <c r="R206">
        <v>129.62145996093801</v>
      </c>
      <c r="S206">
        <v>2.78397512435913</v>
      </c>
      <c r="T206">
        <v>9.6845684051513707</v>
      </c>
      <c r="U206">
        <v>0.87635427848616998</v>
      </c>
      <c r="V206" t="s">
        <v>23</v>
      </c>
      <c r="W206" t="s">
        <v>26</v>
      </c>
    </row>
    <row r="207" spans="1:23" x14ac:dyDescent="0.35">
      <c r="A207">
        <v>2.4927603890268402</v>
      </c>
      <c r="B207">
        <v>2100</v>
      </c>
      <c r="C207">
        <v>701.61535644531205</v>
      </c>
      <c r="D207">
        <v>0.33845726410687899</v>
      </c>
      <c r="E207">
        <v>17.002520804684998</v>
      </c>
      <c r="F207">
        <v>1.2725791852489099</v>
      </c>
      <c r="G207">
        <v>18.156384043006799</v>
      </c>
      <c r="H207">
        <v>5.9053844214123004</v>
      </c>
      <c r="I207">
        <v>23.9620971679688</v>
      </c>
      <c r="J207">
        <v>185.12274995053201</v>
      </c>
      <c r="K207">
        <v>680.22320556640602</v>
      </c>
      <c r="L207">
        <v>43.031512244802997</v>
      </c>
      <c r="M207">
        <v>950.02339647636995</v>
      </c>
      <c r="N207">
        <v>158.317135670146</v>
      </c>
      <c r="O207">
        <v>35.961100375066003</v>
      </c>
      <c r="P207">
        <v>8.2013187408447301</v>
      </c>
      <c r="Q207">
        <v>32.0836181640625</v>
      </c>
      <c r="R207">
        <v>216.57971191406199</v>
      </c>
      <c r="S207">
        <v>3.3450684547424299</v>
      </c>
      <c r="T207">
        <v>9.4123573303222692</v>
      </c>
      <c r="U207">
        <v>1.23789491913488</v>
      </c>
      <c r="V207" t="s">
        <v>29</v>
      </c>
      <c r="W207" t="s">
        <v>26</v>
      </c>
    </row>
    <row r="208" spans="1:23" x14ac:dyDescent="0.35">
      <c r="A208">
        <v>2.5670263661590602</v>
      </c>
      <c r="B208">
        <v>2190</v>
      </c>
      <c r="C208">
        <v>603.904296875</v>
      </c>
      <c r="D208">
        <v>0.35418089274090803</v>
      </c>
      <c r="E208">
        <v>16.487905172168599</v>
      </c>
      <c r="F208">
        <v>1.5354773951448399</v>
      </c>
      <c r="G208">
        <v>18.986430107155101</v>
      </c>
      <c r="H208">
        <v>5.8062009305047502</v>
      </c>
      <c r="I208">
        <v>24.936517715454102</v>
      </c>
      <c r="J208">
        <v>185.12274995053201</v>
      </c>
      <c r="K208">
        <v>686.55499267578102</v>
      </c>
      <c r="L208">
        <v>42.084721236932502</v>
      </c>
      <c r="M208">
        <v>943.31201872278405</v>
      </c>
      <c r="N208">
        <v>158.162189421107</v>
      </c>
      <c r="O208">
        <v>36.357299867223503</v>
      </c>
      <c r="P208">
        <v>8.1715564727783203</v>
      </c>
      <c r="Q208">
        <v>32.000839233398402</v>
      </c>
      <c r="R208">
        <v>212.394943237305</v>
      </c>
      <c r="S208">
        <v>3.3257000446319598</v>
      </c>
      <c r="T208">
        <v>9.7400999069213903</v>
      </c>
      <c r="U208">
        <v>1.2510099875099701</v>
      </c>
      <c r="V208" t="s">
        <v>29</v>
      </c>
      <c r="W208" t="s">
        <v>26</v>
      </c>
    </row>
    <row r="209" spans="1:23" x14ac:dyDescent="0.35">
      <c r="A209">
        <v>2.3729120029701098</v>
      </c>
      <c r="B209">
        <v>2000</v>
      </c>
      <c r="C209">
        <v>300.6572265625</v>
      </c>
      <c r="D209">
        <v>0.47422354106812598</v>
      </c>
      <c r="E209">
        <v>5.2168442774100701</v>
      </c>
      <c r="F209">
        <v>10.6687602497509</v>
      </c>
      <c r="G209">
        <v>13.689415836654399</v>
      </c>
      <c r="H209">
        <v>3.2310252881355899</v>
      </c>
      <c r="I209">
        <v>27.572546005248999</v>
      </c>
      <c r="J209">
        <v>65.192926301092101</v>
      </c>
      <c r="K209">
        <v>660.5830078125</v>
      </c>
      <c r="L209">
        <v>23.2434497739448</v>
      </c>
      <c r="M209">
        <v>782.05811247278405</v>
      </c>
      <c r="N209">
        <v>155.10047912597699</v>
      </c>
      <c r="O209">
        <v>41.6344730189589</v>
      </c>
      <c r="P209">
        <v>4.0607638359069798</v>
      </c>
      <c r="Q209">
        <v>30.700130462646499</v>
      </c>
      <c r="R209">
        <v>109.803146362305</v>
      </c>
      <c r="S209">
        <v>2.7097616195678702</v>
      </c>
      <c r="T209">
        <v>10.5759086608887</v>
      </c>
      <c r="U209">
        <v>1.05570338282969</v>
      </c>
      <c r="V209" t="s">
        <v>23</v>
      </c>
      <c r="W209" t="s">
        <v>26</v>
      </c>
    </row>
    <row r="210" spans="1:23" x14ac:dyDescent="0.35">
      <c r="A210">
        <v>1.7160033436347999</v>
      </c>
      <c r="B210">
        <v>3591</v>
      </c>
      <c r="C210">
        <v>261.65313720703102</v>
      </c>
      <c r="D210">
        <v>0.52466539285196101</v>
      </c>
      <c r="E210">
        <v>5.8702148656955402E-2</v>
      </c>
      <c r="F210">
        <v>61.559004497746599</v>
      </c>
      <c r="G210">
        <v>10.0245694312214</v>
      </c>
      <c r="H210">
        <v>0.823490947740668</v>
      </c>
      <c r="I210">
        <v>54.5385551452637</v>
      </c>
      <c r="J210">
        <v>0</v>
      </c>
      <c r="K210">
        <v>768.74084472656205</v>
      </c>
      <c r="L210">
        <v>6.1249443273075297</v>
      </c>
      <c r="M210">
        <v>576.264654440958</v>
      </c>
      <c r="N210">
        <v>150.621844932681</v>
      </c>
      <c r="O210">
        <v>41.996737558333599</v>
      </c>
      <c r="P210">
        <v>2.1474180221557599</v>
      </c>
      <c r="Q210">
        <v>19.8651523590088</v>
      </c>
      <c r="R210">
        <v>34.8357124328613</v>
      </c>
      <c r="S210">
        <v>2.34641766548157</v>
      </c>
      <c r="T210">
        <v>10.141283988952599</v>
      </c>
      <c r="U210">
        <v>1.0202441864740699</v>
      </c>
      <c r="V210" t="s">
        <v>25</v>
      </c>
      <c r="W210" t="s">
        <v>31</v>
      </c>
    </row>
    <row r="211" spans="1:23" x14ac:dyDescent="0.35">
      <c r="A211">
        <v>2.0293837776852102</v>
      </c>
      <c r="B211">
        <v>6337</v>
      </c>
      <c r="C211">
        <v>210.61207580566401</v>
      </c>
      <c r="D211">
        <v>0.631315090611279</v>
      </c>
      <c r="E211">
        <v>0.134853925667163</v>
      </c>
      <c r="F211">
        <v>55.925842323750203</v>
      </c>
      <c r="G211">
        <v>10.8160163518096</v>
      </c>
      <c r="H211">
        <v>1.0902882469917701</v>
      </c>
      <c r="I211">
        <v>55.466468811035199</v>
      </c>
      <c r="J211">
        <v>0</v>
      </c>
      <c r="K211">
        <v>746.66784667968795</v>
      </c>
      <c r="L211">
        <v>7.1818018506784904</v>
      </c>
      <c r="M211">
        <v>591.60339205382297</v>
      </c>
      <c r="N211">
        <v>151.174297145156</v>
      </c>
      <c r="O211">
        <v>42.2133605831959</v>
      </c>
      <c r="P211">
        <v>2.1403849124908398</v>
      </c>
      <c r="Q211">
        <v>22.584285736083999</v>
      </c>
      <c r="R211">
        <v>41.099029541015597</v>
      </c>
      <c r="S211">
        <v>2.3672754764556898</v>
      </c>
      <c r="T211">
        <v>11.495333671569799</v>
      </c>
      <c r="U211">
        <v>1.0935056251425901</v>
      </c>
      <c r="V211" t="s">
        <v>25</v>
      </c>
      <c r="W211" t="s">
        <v>31</v>
      </c>
    </row>
    <row r="212" spans="1:23" x14ac:dyDescent="0.35">
      <c r="A212">
        <v>2.4065401804339599</v>
      </c>
      <c r="B212">
        <v>739</v>
      </c>
      <c r="C212">
        <v>984.65582275390602</v>
      </c>
      <c r="D212">
        <v>0.31247864166118899</v>
      </c>
      <c r="E212">
        <v>22.496661006031001</v>
      </c>
      <c r="F212">
        <v>0.87115271603399402</v>
      </c>
      <c r="G212">
        <v>18.259198264809999</v>
      </c>
      <c r="H212">
        <v>6.4942258065217402</v>
      </c>
      <c r="I212">
        <v>45.828384399414098</v>
      </c>
      <c r="J212">
        <v>70.6793677594152</v>
      </c>
      <c r="K212">
        <v>733.06188964843795</v>
      </c>
      <c r="L212">
        <v>47.056783644879502</v>
      </c>
      <c r="M212">
        <v>984.39273621606003</v>
      </c>
      <c r="N212">
        <v>159.87967594334299</v>
      </c>
      <c r="O212">
        <v>35.110765957441501</v>
      </c>
      <c r="P212">
        <v>9.2359657287597692</v>
      </c>
      <c r="Q212">
        <v>31.3793029785156</v>
      </c>
      <c r="R212">
        <v>239.59558105468801</v>
      </c>
      <c r="S212">
        <v>3.5068025588989298</v>
      </c>
      <c r="T212">
        <v>9.0434551239013707</v>
      </c>
      <c r="U212">
        <v>1.30217781039688</v>
      </c>
      <c r="V212" t="s">
        <v>28</v>
      </c>
      <c r="W212" t="s">
        <v>26</v>
      </c>
    </row>
    <row r="213" spans="1:23" x14ac:dyDescent="0.35">
      <c r="A213">
        <v>2.6757783416740901</v>
      </c>
      <c r="B213">
        <v>1350</v>
      </c>
      <c r="C213">
        <v>765.31896972656205</v>
      </c>
      <c r="D213">
        <v>0.35447501837196399</v>
      </c>
      <c r="E213">
        <v>19.744204179204601</v>
      </c>
      <c r="F213">
        <v>0.44850340989267401</v>
      </c>
      <c r="G213">
        <v>20.8073725094427</v>
      </c>
      <c r="H213">
        <v>6.9237346846522803</v>
      </c>
      <c r="I213">
        <v>13.698498725891101</v>
      </c>
      <c r="J213">
        <v>197.559113088272</v>
      </c>
      <c r="K213">
        <v>824.66516113281205</v>
      </c>
      <c r="L213">
        <v>50.4289888475762</v>
      </c>
      <c r="M213">
        <v>1035.2742799852699</v>
      </c>
      <c r="N213">
        <v>159.685168907291</v>
      </c>
      <c r="O213">
        <v>35.973436511930899</v>
      </c>
      <c r="P213">
        <v>19.221286773681602</v>
      </c>
      <c r="Q213">
        <v>32.289215087890597</v>
      </c>
      <c r="R213">
        <v>275.45593261718801</v>
      </c>
      <c r="S213">
        <v>3.6551604270935099</v>
      </c>
      <c r="T213">
        <v>9.0574274063110405</v>
      </c>
      <c r="U213">
        <v>1.3252021430649801</v>
      </c>
      <c r="V213" t="s">
        <v>28</v>
      </c>
      <c r="W213" t="s">
        <v>26</v>
      </c>
    </row>
    <row r="214" spans="1:23" x14ac:dyDescent="0.35">
      <c r="A214">
        <v>2.5327543789925002</v>
      </c>
      <c r="B214">
        <v>6800</v>
      </c>
      <c r="C214">
        <v>191.09680175781199</v>
      </c>
      <c r="D214">
        <v>0.64196721472972795</v>
      </c>
      <c r="E214">
        <v>11.987427614199399</v>
      </c>
      <c r="F214">
        <v>14.2064844813391</v>
      </c>
      <c r="G214">
        <v>27.329054314975799</v>
      </c>
      <c r="H214">
        <v>3.90864568042843</v>
      </c>
      <c r="I214">
        <v>41.738574981689503</v>
      </c>
      <c r="J214">
        <v>468.41765691599602</v>
      </c>
      <c r="K214">
        <v>844.54742431640602</v>
      </c>
      <c r="L214">
        <v>32.543704986572301</v>
      </c>
      <c r="M214">
        <v>869.31224385245901</v>
      </c>
      <c r="N214">
        <v>156.72380616235</v>
      </c>
      <c r="O214">
        <v>39.9246273353452</v>
      </c>
      <c r="P214">
        <v>10.6510353088379</v>
      </c>
      <c r="Q214">
        <v>29.371620178222699</v>
      </c>
      <c r="R214">
        <v>162.63928222656199</v>
      </c>
      <c r="S214">
        <v>3.2667500972747798</v>
      </c>
      <c r="T214">
        <v>10.5410614013672</v>
      </c>
      <c r="U214">
        <v>1.5281781224475</v>
      </c>
      <c r="V214" t="s">
        <v>28</v>
      </c>
      <c r="W214" t="s">
        <v>26</v>
      </c>
    </row>
    <row r="215" spans="1:23" x14ac:dyDescent="0.35">
      <c r="A215">
        <v>2.6627578316815699</v>
      </c>
      <c r="B215">
        <v>9820</v>
      </c>
      <c r="C215">
        <v>188.46258544921901</v>
      </c>
      <c r="D215">
        <v>0.65567423226974697</v>
      </c>
      <c r="E215">
        <v>9.6484959426861394</v>
      </c>
      <c r="F215">
        <v>17.933457560690499</v>
      </c>
      <c r="G215">
        <v>22.959941605478502</v>
      </c>
      <c r="H215">
        <v>3.48836959935129</v>
      </c>
      <c r="I215">
        <v>39.736251831054702</v>
      </c>
      <c r="J215">
        <v>533.61058321708504</v>
      </c>
      <c r="K215">
        <v>813.08380126953102</v>
      </c>
      <c r="L215">
        <v>28.545450554519402</v>
      </c>
      <c r="M215">
        <v>829.77600898117305</v>
      </c>
      <c r="N215">
        <v>155.96321631259599</v>
      </c>
      <c r="O215">
        <v>40.5691926674765</v>
      </c>
      <c r="P215">
        <v>8.5237007141113299</v>
      </c>
      <c r="Q215">
        <v>29.246696472168001</v>
      </c>
      <c r="R215">
        <v>140.07484436035199</v>
      </c>
      <c r="S215">
        <v>3.0910303592681898</v>
      </c>
      <c r="T215">
        <v>10.6458530426025</v>
      </c>
      <c r="U215">
        <v>1.4707381657274099</v>
      </c>
      <c r="V215" t="s">
        <v>23</v>
      </c>
      <c r="W215" t="s">
        <v>26</v>
      </c>
    </row>
    <row r="216" spans="1:23" x14ac:dyDescent="0.35">
      <c r="A216">
        <v>2.7979596437372001</v>
      </c>
      <c r="B216">
        <v>1080</v>
      </c>
      <c r="C216">
        <v>808.53131103515602</v>
      </c>
      <c r="D216">
        <v>0.263493311440267</v>
      </c>
      <c r="E216">
        <v>20.443086436648699</v>
      </c>
      <c r="F216">
        <v>1.02493817803281</v>
      </c>
      <c r="G216">
        <v>24.618750640567999</v>
      </c>
      <c r="H216">
        <v>6.6654265215999997</v>
      </c>
      <c r="I216">
        <v>18.659862518310501</v>
      </c>
      <c r="J216">
        <v>51.567377569801003</v>
      </c>
      <c r="K216">
        <v>853.75640869140602</v>
      </c>
      <c r="L216">
        <v>48.726551962680503</v>
      </c>
      <c r="M216">
        <v>1068.3935847047901</v>
      </c>
      <c r="N216">
        <v>162.41506357662001</v>
      </c>
      <c r="O216">
        <v>40.3748839956815</v>
      </c>
      <c r="P216">
        <v>7.0086417198181197</v>
      </c>
      <c r="Q216">
        <v>30.968563079833999</v>
      </c>
      <c r="R216">
        <v>276.13851928710898</v>
      </c>
      <c r="S216">
        <v>3.7180159091949498</v>
      </c>
      <c r="T216">
        <v>8.9570875167846697</v>
      </c>
      <c r="U216">
        <v>1.38373389353044</v>
      </c>
      <c r="V216" t="s">
        <v>29</v>
      </c>
      <c r="W216" t="s">
        <v>26</v>
      </c>
    </row>
    <row r="217" spans="1:23" x14ac:dyDescent="0.35">
      <c r="A217">
        <v>2.4265112613645798</v>
      </c>
      <c r="B217">
        <v>398</v>
      </c>
      <c r="C217">
        <v>1002.84106445312</v>
      </c>
      <c r="D217">
        <v>0.33880939368562801</v>
      </c>
      <c r="E217">
        <v>22.807994496738001</v>
      </c>
      <c r="F217">
        <v>1.32771282419277</v>
      </c>
      <c r="G217">
        <v>29.705655195458299</v>
      </c>
      <c r="H217">
        <v>6.8503948686440701</v>
      </c>
      <c r="I217">
        <v>28.9202556610107</v>
      </c>
      <c r="J217">
        <v>12.6852985696784</v>
      </c>
      <c r="K217">
        <v>966</v>
      </c>
      <c r="L217">
        <v>42.588041837098203</v>
      </c>
      <c r="M217">
        <v>1040.9322599817499</v>
      </c>
      <c r="N217">
        <v>159.51405159371799</v>
      </c>
      <c r="O217">
        <v>44.241117758829098</v>
      </c>
      <c r="P217">
        <v>7.0684924125671396</v>
      </c>
      <c r="Q217">
        <v>29.538642883300799</v>
      </c>
      <c r="R217">
        <v>288.37365722656199</v>
      </c>
      <c r="S217">
        <v>3.6988077163696298</v>
      </c>
      <c r="T217">
        <v>9.0794191360473597</v>
      </c>
      <c r="U217">
        <v>1.37548420821343</v>
      </c>
      <c r="V217" t="s">
        <v>23</v>
      </c>
      <c r="W217" t="s">
        <v>26</v>
      </c>
    </row>
    <row r="218" spans="1:23" x14ac:dyDescent="0.35">
      <c r="A218">
        <v>2.3710678622717398</v>
      </c>
      <c r="B218">
        <v>410</v>
      </c>
      <c r="C218">
        <v>927.08111572265602</v>
      </c>
      <c r="D218">
        <v>0.34872700136426599</v>
      </c>
      <c r="E218">
        <v>22.1484578000311</v>
      </c>
      <c r="F218">
        <v>1.2893211870565999</v>
      </c>
      <c r="G218">
        <v>31.671628515302501</v>
      </c>
      <c r="H218">
        <v>6.7633023925619797</v>
      </c>
      <c r="I218">
        <v>28.991218566894499</v>
      </c>
      <c r="J218">
        <v>12.6852985696784</v>
      </c>
      <c r="K218">
        <v>977.440673828125</v>
      </c>
      <c r="L218">
        <v>41.946590173439901</v>
      </c>
      <c r="M218">
        <v>1037.6028862624901</v>
      </c>
      <c r="N218">
        <v>159.37162180415899</v>
      </c>
      <c r="O218">
        <v>44.606517541603999</v>
      </c>
      <c r="P218">
        <v>7.57486867904663</v>
      </c>
      <c r="Q218">
        <v>29.443763732910199</v>
      </c>
      <c r="R218">
        <v>284.73086547851602</v>
      </c>
      <c r="S218">
        <v>3.6975617408752401</v>
      </c>
      <c r="T218">
        <v>9.1523742675781197</v>
      </c>
      <c r="U218">
        <v>1.3811489889597499</v>
      </c>
      <c r="V218" t="s">
        <v>23</v>
      </c>
      <c r="W218" t="s">
        <v>26</v>
      </c>
    </row>
    <row r="219" spans="1:23" x14ac:dyDescent="0.35">
      <c r="A219">
        <v>2.4232458739368101</v>
      </c>
      <c r="B219">
        <v>160</v>
      </c>
      <c r="C219">
        <v>1500.64282226562</v>
      </c>
      <c r="D219">
        <v>0.32036021702434397</v>
      </c>
      <c r="E219">
        <v>24.854503790684401</v>
      </c>
      <c r="F219">
        <v>1.4637560814872901</v>
      </c>
      <c r="G219">
        <v>13.6268789539448</v>
      </c>
      <c r="H219">
        <v>6.0726968035714304</v>
      </c>
      <c r="I219">
        <v>61.524269104003899</v>
      </c>
      <c r="J219">
        <v>18.9492501960443</v>
      </c>
      <c r="K219">
        <v>945.45062255859398</v>
      </c>
      <c r="L219">
        <v>48.6313216099974</v>
      </c>
      <c r="M219">
        <v>1036.8677658331201</v>
      </c>
      <c r="N219">
        <v>161.891431964812</v>
      </c>
      <c r="O219">
        <v>37.869025621257798</v>
      </c>
      <c r="P219">
        <v>7.9307355880737296</v>
      </c>
      <c r="Q219">
        <v>28.83127784729</v>
      </c>
      <c r="R219">
        <v>270.831787109375</v>
      </c>
      <c r="S219">
        <v>3.7102708816528298</v>
      </c>
      <c r="T219">
        <v>8.7080554962158203</v>
      </c>
      <c r="U219">
        <v>1.38649782013163</v>
      </c>
      <c r="V219" t="s">
        <v>29</v>
      </c>
      <c r="W219" t="s">
        <v>26</v>
      </c>
    </row>
    <row r="220" spans="1:23" x14ac:dyDescent="0.35">
      <c r="A220">
        <v>2.3483048630481602</v>
      </c>
      <c r="B220">
        <v>410</v>
      </c>
      <c r="C220">
        <v>678.48498535156205</v>
      </c>
      <c r="D220">
        <v>0.404278633658055</v>
      </c>
      <c r="E220">
        <v>18.567589994815702</v>
      </c>
      <c r="F220">
        <v>1.78018680094937</v>
      </c>
      <c r="G220">
        <v>31.843525675033799</v>
      </c>
      <c r="H220">
        <v>6.4029352528301899</v>
      </c>
      <c r="I220">
        <v>76.712997436523395</v>
      </c>
      <c r="J220">
        <v>33.714407898448897</v>
      </c>
      <c r="K220">
        <v>1032.97900390625</v>
      </c>
      <c r="L220">
        <v>41.344264358770701</v>
      </c>
      <c r="M220">
        <v>1009.2156522156801</v>
      </c>
      <c r="N220">
        <v>159.956836137615</v>
      </c>
      <c r="O220">
        <v>42.848514119132602</v>
      </c>
      <c r="P220">
        <v>11.123106002807599</v>
      </c>
      <c r="Q220">
        <v>28.644371032714801</v>
      </c>
      <c r="R220">
        <v>267.76626586914102</v>
      </c>
      <c r="S220">
        <v>3.6995289325714098</v>
      </c>
      <c r="T220">
        <v>9.5795612335205096</v>
      </c>
      <c r="U220">
        <v>1.5326808844049999</v>
      </c>
      <c r="V220" t="s">
        <v>23</v>
      </c>
      <c r="W220" t="s">
        <v>26</v>
      </c>
    </row>
    <row r="221" spans="1:23" x14ac:dyDescent="0.35">
      <c r="A221">
        <v>3.0425755124401901</v>
      </c>
      <c r="B221">
        <v>1010</v>
      </c>
      <c r="C221">
        <v>1203.81774902344</v>
      </c>
      <c r="D221">
        <v>0.208762648394761</v>
      </c>
      <c r="E221">
        <v>38.944998373229403</v>
      </c>
      <c r="F221">
        <v>0.67623127065909305</v>
      </c>
      <c r="G221">
        <v>9.2669731166019709</v>
      </c>
      <c r="H221">
        <v>6.2073040527950303</v>
      </c>
      <c r="I221">
        <v>8.7900609970092791</v>
      </c>
      <c r="J221">
        <v>66.183364659310797</v>
      </c>
      <c r="K221">
        <v>812.39831542968795</v>
      </c>
      <c r="L221">
        <v>56.801334881391703</v>
      </c>
      <c r="M221">
        <v>1109.2426747806701</v>
      </c>
      <c r="N221">
        <v>162.02563376504901</v>
      </c>
      <c r="O221">
        <v>35.691418413256002</v>
      </c>
      <c r="P221">
        <v>5.3708868026733398</v>
      </c>
      <c r="Q221">
        <v>30.751426696777301</v>
      </c>
      <c r="R221">
        <v>262.42398071289102</v>
      </c>
      <c r="S221">
        <v>3.7507357597351101</v>
      </c>
      <c r="T221">
        <v>8.5168628692627006</v>
      </c>
      <c r="U221">
        <v>1.1198075345086</v>
      </c>
      <c r="V221" t="s">
        <v>29</v>
      </c>
      <c r="W221" t="s">
        <v>24</v>
      </c>
    </row>
    <row r="222" spans="1:23" x14ac:dyDescent="0.35">
      <c r="A222">
        <v>3.1872386198314802</v>
      </c>
      <c r="B222">
        <v>1490</v>
      </c>
      <c r="C222">
        <v>704.22021484375</v>
      </c>
      <c r="D222">
        <v>0.30460045450711498</v>
      </c>
      <c r="E222">
        <v>33.970306615023901</v>
      </c>
      <c r="F222">
        <v>1.22732303808827</v>
      </c>
      <c r="G222">
        <v>18.444231419310999</v>
      </c>
      <c r="H222">
        <v>5.9459194293305</v>
      </c>
      <c r="I222">
        <v>19.511985778808601</v>
      </c>
      <c r="J222">
        <v>71.489495914923793</v>
      </c>
      <c r="K222">
        <v>897.0009765625</v>
      </c>
      <c r="L222">
        <v>49.3677989146749</v>
      </c>
      <c r="M222">
        <v>1062.25362108575</v>
      </c>
      <c r="N222">
        <v>161.315016449475</v>
      </c>
      <c r="O222">
        <v>39.2151557422075</v>
      </c>
      <c r="P222">
        <v>6.8150110244751003</v>
      </c>
      <c r="Q222">
        <v>30.19553565979</v>
      </c>
      <c r="R222">
        <v>258.61022949218801</v>
      </c>
      <c r="S222">
        <v>3.7332303524017298</v>
      </c>
      <c r="T222">
        <v>8.7741842269897496</v>
      </c>
      <c r="U222">
        <v>1.3148994855574201</v>
      </c>
      <c r="V222" t="s">
        <v>29</v>
      </c>
      <c r="W222" t="s">
        <v>24</v>
      </c>
    </row>
    <row r="223" spans="1:23" x14ac:dyDescent="0.35">
      <c r="A223">
        <v>2.5092025223310999</v>
      </c>
      <c r="B223">
        <v>6490</v>
      </c>
      <c r="C223">
        <v>341.48388671875</v>
      </c>
      <c r="D223">
        <v>0.63665395702974503</v>
      </c>
      <c r="E223">
        <v>14.9929984149411</v>
      </c>
      <c r="F223">
        <v>21.167323658936802</v>
      </c>
      <c r="G223">
        <v>27.5628231600897</v>
      </c>
      <c r="H223">
        <v>3.4447109688367101</v>
      </c>
      <c r="I223">
        <v>46.522350311279297</v>
      </c>
      <c r="J223">
        <v>169.45657995287499</v>
      </c>
      <c r="K223">
        <v>1065.57189941406</v>
      </c>
      <c r="L223">
        <v>31.985203696078901</v>
      </c>
      <c r="M223">
        <v>933.24542636558704</v>
      </c>
      <c r="N223">
        <v>158.15579173603999</v>
      </c>
      <c r="O223">
        <v>45.868241544629697</v>
      </c>
      <c r="P223">
        <v>7.7228941917419398</v>
      </c>
      <c r="Q223">
        <v>27.9266166687012</v>
      </c>
      <c r="R223">
        <v>168.21461486816401</v>
      </c>
      <c r="S223">
        <v>3.6727373600006099</v>
      </c>
      <c r="T223">
        <v>10.2924451828003</v>
      </c>
      <c r="U223">
        <v>1.62763505071242</v>
      </c>
      <c r="V223" t="s">
        <v>29</v>
      </c>
      <c r="W223" t="s">
        <v>26</v>
      </c>
    </row>
    <row r="224" spans="1:23" x14ac:dyDescent="0.35">
      <c r="A224">
        <v>2.7024305364455299</v>
      </c>
      <c r="B224">
        <v>8920</v>
      </c>
      <c r="C224">
        <v>221.95314025878901</v>
      </c>
      <c r="D224">
        <v>0.68903286557744403</v>
      </c>
      <c r="E224">
        <v>13.279394166236001</v>
      </c>
      <c r="F224">
        <v>23.417609085050302</v>
      </c>
      <c r="G224">
        <v>28.059863387688299</v>
      </c>
      <c r="H224">
        <v>3.3124123975502799</v>
      </c>
      <c r="I224">
        <v>43.2600708007812</v>
      </c>
      <c r="J224">
        <v>284.54266103673098</v>
      </c>
      <c r="K224">
        <v>1048.9912109375</v>
      </c>
      <c r="L224">
        <v>30.380773075291401</v>
      </c>
      <c r="M224">
        <v>907.01165471311504</v>
      </c>
      <c r="N224">
        <v>157.73211094590499</v>
      </c>
      <c r="O224">
        <v>45.2906501644947</v>
      </c>
      <c r="P224">
        <v>8.6128797531127894</v>
      </c>
      <c r="Q224">
        <v>27.982000350952099</v>
      </c>
      <c r="R224">
        <v>155.33973693847699</v>
      </c>
      <c r="S224">
        <v>3.6145873069763201</v>
      </c>
      <c r="T224">
        <v>10.3597602844238</v>
      </c>
      <c r="U224">
        <v>1.6171280275784099</v>
      </c>
      <c r="V224" t="s">
        <v>25</v>
      </c>
      <c r="W224" t="s">
        <v>26</v>
      </c>
    </row>
    <row r="225" spans="1:23" x14ac:dyDescent="0.35">
      <c r="A225">
        <v>2.5224442335063202</v>
      </c>
      <c r="B225">
        <v>19600</v>
      </c>
      <c r="C225">
        <v>167.75770568847699</v>
      </c>
      <c r="D225">
        <v>0.69970578463019395</v>
      </c>
      <c r="E225">
        <v>10.941438852094601</v>
      </c>
      <c r="F225">
        <v>22.557000779715501</v>
      </c>
      <c r="G225">
        <v>24.791035191289399</v>
      </c>
      <c r="H225">
        <v>3.2858925009825901</v>
      </c>
      <c r="I225">
        <v>41.8834037780762</v>
      </c>
      <c r="J225">
        <v>818.15324425381198</v>
      </c>
      <c r="K225">
        <v>923.72845458984398</v>
      </c>
      <c r="L225">
        <v>28.562145108082301</v>
      </c>
      <c r="M225">
        <v>854.18009673571999</v>
      </c>
      <c r="N225">
        <v>156.577261002337</v>
      </c>
      <c r="O225">
        <v>42.644882264684497</v>
      </c>
      <c r="P225">
        <v>8.3620882034301793</v>
      </c>
      <c r="Q225">
        <v>28.4236660003662</v>
      </c>
      <c r="R225">
        <v>142.09500122070301</v>
      </c>
      <c r="S225">
        <v>3.3101320266723602</v>
      </c>
      <c r="T225">
        <v>10.4369163513184</v>
      </c>
      <c r="U225">
        <v>1.55338211414909</v>
      </c>
      <c r="V225" t="s">
        <v>23</v>
      </c>
      <c r="W225" t="s">
        <v>26</v>
      </c>
    </row>
    <row r="226" spans="1:23" x14ac:dyDescent="0.35">
      <c r="A226">
        <v>2.5921767573958698</v>
      </c>
      <c r="B226">
        <v>20600</v>
      </c>
      <c r="C226">
        <v>134.83921813964801</v>
      </c>
      <c r="D226">
        <v>0.73698658235210501</v>
      </c>
      <c r="E226">
        <v>10.3619949740921</v>
      </c>
      <c r="F226">
        <v>24.727303730692299</v>
      </c>
      <c r="G226">
        <v>24.359216251078202</v>
      </c>
      <c r="H226">
        <v>3.1393387818169698</v>
      </c>
      <c r="I226">
        <v>43.105106353759801</v>
      </c>
      <c r="J226">
        <v>818.15324425381198</v>
      </c>
      <c r="K226">
        <v>927.77679443359398</v>
      </c>
      <c r="L226">
        <v>27.382376029843201</v>
      </c>
      <c r="M226">
        <v>838.42437944255903</v>
      </c>
      <c r="N226">
        <v>156.310315491723</v>
      </c>
      <c r="O226">
        <v>42.515348027964102</v>
      </c>
      <c r="P226">
        <v>8.1141614913940394</v>
      </c>
      <c r="Q226">
        <v>28.1690273284912</v>
      </c>
      <c r="R226">
        <v>135.67622375488301</v>
      </c>
      <c r="S226">
        <v>3.3086311817169198</v>
      </c>
      <c r="T226">
        <v>10.3587636947632</v>
      </c>
      <c r="U226">
        <v>1.54751312792181</v>
      </c>
      <c r="V226" t="s">
        <v>25</v>
      </c>
      <c r="W226" t="s">
        <v>26</v>
      </c>
    </row>
    <row r="227" spans="1:23" x14ac:dyDescent="0.35">
      <c r="A227">
        <v>2.8549130223078598</v>
      </c>
      <c r="B227">
        <v>12200</v>
      </c>
      <c r="C227">
        <v>40.6092529296875</v>
      </c>
      <c r="D227">
        <v>0.83155344785483298</v>
      </c>
      <c r="E227">
        <v>5.0021059037638897</v>
      </c>
      <c r="F227">
        <v>25.518334170672201</v>
      </c>
      <c r="G227">
        <v>36.113743470935702</v>
      </c>
      <c r="H227">
        <v>2.5508546839131001</v>
      </c>
      <c r="I227">
        <v>100.189971923828</v>
      </c>
      <c r="J227">
        <v>40.142677575615501</v>
      </c>
      <c r="K227">
        <v>981.10308837890602</v>
      </c>
      <c r="L227">
        <v>13.040283257844001</v>
      </c>
      <c r="M227">
        <v>698.89454075547496</v>
      </c>
      <c r="N227">
        <v>155.751907598777</v>
      </c>
      <c r="O227">
        <v>45.287587587950703</v>
      </c>
      <c r="P227">
        <v>8.7608833312988299</v>
      </c>
      <c r="Q227">
        <v>26.807807922363299</v>
      </c>
      <c r="R227">
        <v>123.83945465087901</v>
      </c>
      <c r="S227">
        <v>3.6932065486907999</v>
      </c>
      <c r="T227">
        <v>11.2454996109009</v>
      </c>
      <c r="U227">
        <v>1.4400153634031301</v>
      </c>
      <c r="V227" t="s">
        <v>25</v>
      </c>
      <c r="W227" t="s">
        <v>26</v>
      </c>
    </row>
    <row r="228" spans="1:23" x14ac:dyDescent="0.35">
      <c r="A228">
        <v>0.95424250943932498</v>
      </c>
      <c r="B228">
        <v>10000</v>
      </c>
      <c r="C228">
        <v>147.91943359375</v>
      </c>
      <c r="D228">
        <v>0.68629533060694903</v>
      </c>
      <c r="E228">
        <v>0.14391634424710001</v>
      </c>
      <c r="F228">
        <v>63.939204419258999</v>
      </c>
      <c r="G228">
        <v>8.6149230896211595</v>
      </c>
      <c r="H228">
        <v>0.91217656270369896</v>
      </c>
      <c r="I228">
        <v>52.141445159912102</v>
      </c>
      <c r="J228">
        <v>0</v>
      </c>
      <c r="K228">
        <v>734.26629638671898</v>
      </c>
      <c r="L228">
        <v>6.5009446613124204</v>
      </c>
      <c r="M228">
        <v>569.56080452340598</v>
      </c>
      <c r="N228">
        <v>150.38098094502399</v>
      </c>
      <c r="O228">
        <v>41.058138706645003</v>
      </c>
      <c r="P228">
        <v>1.8335654735565201</v>
      </c>
      <c r="Q228">
        <v>22.069585800170898</v>
      </c>
      <c r="R228">
        <v>35.2260131835938</v>
      </c>
      <c r="S228">
        <v>2.42798972129822</v>
      </c>
      <c r="T228">
        <v>11.424105644226101</v>
      </c>
      <c r="U228">
        <v>0.98776413534463603</v>
      </c>
      <c r="V228" t="s">
        <v>25</v>
      </c>
      <c r="W228" t="s">
        <v>31</v>
      </c>
    </row>
    <row r="229" spans="1:23" x14ac:dyDescent="0.35">
      <c r="A229">
        <v>1.88081359228079</v>
      </c>
      <c r="B229">
        <v>11026</v>
      </c>
      <c r="C229">
        <v>116.38388061523401</v>
      </c>
      <c r="D229">
        <v>0.71131456362087897</v>
      </c>
      <c r="E229">
        <v>0.14870990699629699</v>
      </c>
      <c r="F229">
        <v>65.043885655489902</v>
      </c>
      <c r="G229">
        <v>8.3430098445733005</v>
      </c>
      <c r="H229">
        <v>0.878372251808197</v>
      </c>
      <c r="I229">
        <v>50.906097412109403</v>
      </c>
      <c r="J229">
        <v>0</v>
      </c>
      <c r="K229">
        <v>728.78631591796898</v>
      </c>
      <c r="L229">
        <v>6.4066681119262201</v>
      </c>
      <c r="M229">
        <v>564.19550661180801</v>
      </c>
      <c r="N229">
        <v>150.19702073394299</v>
      </c>
      <c r="O229">
        <v>40.704999861170002</v>
      </c>
      <c r="P229">
        <v>1.7787778377532999</v>
      </c>
      <c r="Q229">
        <v>22.072107315063501</v>
      </c>
      <c r="R229">
        <v>33.8589477539062</v>
      </c>
      <c r="S229">
        <v>2.4387679100036599</v>
      </c>
      <c r="T229">
        <v>11.3886575698853</v>
      </c>
      <c r="U229">
        <v>0.97073610458095605</v>
      </c>
      <c r="V229" t="s">
        <v>25</v>
      </c>
      <c r="W229" t="s">
        <v>31</v>
      </c>
    </row>
    <row r="230" spans="1:23" x14ac:dyDescent="0.35">
      <c r="A230">
        <v>1.53147891704226</v>
      </c>
      <c r="B230">
        <v>15082</v>
      </c>
      <c r="C230">
        <v>89.443809509277301</v>
      </c>
      <c r="D230">
        <v>0.79850996336064906</v>
      </c>
      <c r="E230">
        <v>0.16833532866964401</v>
      </c>
      <c r="F230">
        <v>71.257391144413106</v>
      </c>
      <c r="G230">
        <v>6.2397412380781399</v>
      </c>
      <c r="H230">
        <v>0.73135387933400398</v>
      </c>
      <c r="I230">
        <v>42.392646789550803</v>
      </c>
      <c r="J230">
        <v>0</v>
      </c>
      <c r="K230">
        <v>684.01544189453102</v>
      </c>
      <c r="L230">
        <v>5.7962040197653897</v>
      </c>
      <c r="M230">
        <v>533.63191248158898</v>
      </c>
      <c r="N230">
        <v>148.990018000368</v>
      </c>
      <c r="O230">
        <v>38.768393500906498</v>
      </c>
      <c r="P230">
        <v>1.43911933898926</v>
      </c>
      <c r="Q230">
        <v>21.900335311889599</v>
      </c>
      <c r="R230">
        <v>29.239229202270501</v>
      </c>
      <c r="S230">
        <v>2.4824872016906698</v>
      </c>
      <c r="T230">
        <v>11.194746017456101</v>
      </c>
      <c r="U230">
        <v>0.85968533019791105</v>
      </c>
      <c r="V230" t="s">
        <v>25</v>
      </c>
      <c r="W230" t="s">
        <v>31</v>
      </c>
    </row>
    <row r="231" spans="1:23" x14ac:dyDescent="0.35">
      <c r="A231">
        <v>1.2041199826559199</v>
      </c>
      <c r="B231">
        <v>19746</v>
      </c>
      <c r="C231">
        <v>52.654571533203097</v>
      </c>
      <c r="D231">
        <v>0.87781342065049395</v>
      </c>
      <c r="E231">
        <v>0.18830394428793401</v>
      </c>
      <c r="F231">
        <v>72.604090696344898</v>
      </c>
      <c r="G231">
        <v>4.8704817785213201</v>
      </c>
      <c r="H231">
        <v>0.63165315860735005</v>
      </c>
      <c r="I231">
        <v>37.012157440185497</v>
      </c>
      <c r="J231">
        <v>0</v>
      </c>
      <c r="K231">
        <v>638.657470703125</v>
      </c>
      <c r="L231">
        <v>5.3262718857311802</v>
      </c>
      <c r="M231">
        <v>505.90054721519601</v>
      </c>
      <c r="N231">
        <v>148.19719208263999</v>
      </c>
      <c r="O231">
        <v>36.925349219900703</v>
      </c>
      <c r="P231">
        <v>1.21251332759857</v>
      </c>
      <c r="Q231">
        <v>22.679010391235401</v>
      </c>
      <c r="R231">
        <v>26.1035861968994</v>
      </c>
      <c r="S231">
        <v>2.26548075675964</v>
      </c>
      <c r="T231">
        <v>11.0535669326782</v>
      </c>
      <c r="U231">
        <v>0.80920436515410599</v>
      </c>
      <c r="V231" t="s">
        <v>25</v>
      </c>
      <c r="W231" t="s">
        <v>31</v>
      </c>
    </row>
    <row r="232" spans="1:23" x14ac:dyDescent="0.35">
      <c r="A232">
        <v>2.17318626841227</v>
      </c>
      <c r="B232">
        <v>1252</v>
      </c>
      <c r="C232">
        <v>143.55276489257801</v>
      </c>
      <c r="D232">
        <v>0.398209720540316</v>
      </c>
      <c r="E232">
        <v>1.1018914199753E-3</v>
      </c>
      <c r="F232">
        <v>26.507020403538998</v>
      </c>
      <c r="G232">
        <v>64.894523117935506</v>
      </c>
      <c r="H232">
        <v>0.71227860943168098</v>
      </c>
      <c r="I232">
        <v>19.809301376342798</v>
      </c>
      <c r="J232">
        <v>0</v>
      </c>
      <c r="K232">
        <v>1200.59545898438</v>
      </c>
      <c r="L232">
        <v>26.9792625083298</v>
      </c>
      <c r="M232">
        <v>988.08872310450795</v>
      </c>
      <c r="N232">
        <v>148.84979523205399</v>
      </c>
      <c r="O232">
        <v>55.5001953625288</v>
      </c>
      <c r="P232">
        <v>13.583116531372101</v>
      </c>
      <c r="Q232">
        <v>28.184263229370099</v>
      </c>
      <c r="R232">
        <v>32.7402954101562</v>
      </c>
      <c r="S232">
        <v>2.2672281265258798</v>
      </c>
      <c r="T232">
        <v>10.694120407104499</v>
      </c>
      <c r="U232">
        <v>0.945109010184641</v>
      </c>
      <c r="V232" t="s">
        <v>25</v>
      </c>
      <c r="W232" t="s">
        <v>39</v>
      </c>
    </row>
    <row r="233" spans="1:23" x14ac:dyDescent="0.35">
      <c r="A233">
        <v>2.3926969532596698</v>
      </c>
      <c r="B233">
        <v>566</v>
      </c>
      <c r="C233">
        <v>32.537387847900398</v>
      </c>
      <c r="D233">
        <v>0.54499781335335595</v>
      </c>
      <c r="E233">
        <v>2.37741099109393E-3</v>
      </c>
      <c r="F233">
        <v>2.0682746834179202</v>
      </c>
      <c r="G233">
        <v>93.397964353415603</v>
      </c>
      <c r="H233">
        <v>0.72718847900763395</v>
      </c>
      <c r="I233">
        <v>54.0390014648438</v>
      </c>
      <c r="J233">
        <v>0</v>
      </c>
      <c r="K233">
        <v>879.67077636718795</v>
      </c>
      <c r="L233">
        <v>27.6246308967715</v>
      </c>
      <c r="M233">
        <v>987.91815585777397</v>
      </c>
      <c r="N233">
        <v>147.712962166208</v>
      </c>
      <c r="O233">
        <v>54.793618311647499</v>
      </c>
      <c r="P233">
        <v>18.571800231933601</v>
      </c>
      <c r="Q233">
        <v>28.883680343627901</v>
      </c>
      <c r="R233">
        <v>63.866161346435497</v>
      </c>
      <c r="S233">
        <v>2.1527171134948699</v>
      </c>
      <c r="T233">
        <v>11.1290197372437</v>
      </c>
      <c r="U233">
        <v>0.54224195485799198</v>
      </c>
      <c r="V233" t="s">
        <v>25</v>
      </c>
      <c r="W233" t="s">
        <v>39</v>
      </c>
    </row>
    <row r="234" spans="1:23" x14ac:dyDescent="0.35">
      <c r="A234">
        <v>3.14612803567824</v>
      </c>
      <c r="B234">
        <v>517</v>
      </c>
      <c r="C234">
        <v>844.10943603515602</v>
      </c>
      <c r="D234">
        <v>0.26926770639451603</v>
      </c>
      <c r="E234">
        <v>18.0306497204209</v>
      </c>
      <c r="F234">
        <v>3.92333891018309</v>
      </c>
      <c r="G234">
        <v>8.1227143725466906</v>
      </c>
      <c r="H234">
        <v>5.8707333975155302</v>
      </c>
      <c r="I234">
        <v>60.312076568603501</v>
      </c>
      <c r="J234">
        <v>0</v>
      </c>
      <c r="K234">
        <v>490.04293823242199</v>
      </c>
      <c r="L234">
        <v>13.3134273153837</v>
      </c>
      <c r="M234">
        <v>615.17788596231401</v>
      </c>
      <c r="N234">
        <v>165.657662063348</v>
      </c>
      <c r="O234">
        <v>38.058785235295503</v>
      </c>
      <c r="P234">
        <v>1.69012367725372</v>
      </c>
      <c r="Q234">
        <v>34.196510314941399</v>
      </c>
      <c r="R234">
        <v>210.5009765625</v>
      </c>
      <c r="S234">
        <v>4.2080378532409703</v>
      </c>
      <c r="T234">
        <v>12.581469535827599</v>
      </c>
      <c r="U234">
        <v>0.96239336773246498</v>
      </c>
      <c r="V234" t="s">
        <v>28</v>
      </c>
      <c r="W234" t="s">
        <v>24</v>
      </c>
    </row>
    <row r="235" spans="1:23" x14ac:dyDescent="0.35">
      <c r="A235">
        <v>2.43136376415899</v>
      </c>
      <c r="B235">
        <v>449</v>
      </c>
      <c r="C235">
        <v>1162.35546875</v>
      </c>
      <c r="D235">
        <v>0.226960337052903</v>
      </c>
      <c r="E235">
        <v>0.22774178390722499</v>
      </c>
      <c r="F235">
        <v>12.3475485018103</v>
      </c>
      <c r="G235">
        <v>2.5285194410276399</v>
      </c>
      <c r="H235">
        <v>3.89404173655914</v>
      </c>
      <c r="I235">
        <v>25.047113418579102</v>
      </c>
      <c r="J235">
        <v>0</v>
      </c>
      <c r="K235">
        <v>474.41299438476602</v>
      </c>
      <c r="L235">
        <v>4.5721164179629996</v>
      </c>
      <c r="M235">
        <v>488.89776411212898</v>
      </c>
      <c r="N235">
        <v>180.033039030482</v>
      </c>
      <c r="O235">
        <v>36.218421185602899</v>
      </c>
      <c r="P235">
        <v>0.272068351507187</v>
      </c>
      <c r="Q235">
        <v>29.177524566650401</v>
      </c>
      <c r="R235">
        <v>128.56179809570301</v>
      </c>
      <c r="S235">
        <v>2.87022137641907</v>
      </c>
      <c r="T235">
        <v>17.860000610351602</v>
      </c>
      <c r="U235">
        <v>0.53319690559523603</v>
      </c>
      <c r="V235" t="s">
        <v>23</v>
      </c>
      <c r="W235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F5DAE-6F6C-41E9-98CB-59C713F7906B}">
  <sheetPr codeName="XLSTAT_20211004_124611_1">
    <tabColor rgb="FF007800"/>
  </sheetPr>
  <dimension ref="B1:AS2242"/>
  <sheetViews>
    <sheetView tabSelected="1" topLeftCell="A72" zoomScaleNormal="100" workbookViewId="0">
      <selection activeCell="A79" sqref="A79:XFD79"/>
    </sheetView>
  </sheetViews>
  <sheetFormatPr defaultRowHeight="14.5" x14ac:dyDescent="0.35"/>
  <cols>
    <col min="1" max="1" width="4.6328125" customWidth="1"/>
    <col min="7" max="7" width="9.36328125" bestFit="1" customWidth="1"/>
  </cols>
  <sheetData>
    <row r="1" spans="2:13" x14ac:dyDescent="0.35">
      <c r="B1" s="4" t="s">
        <v>45</v>
      </c>
      <c r="C1" s="3"/>
      <c r="D1" s="3"/>
      <c r="E1" s="3"/>
      <c r="F1" s="3"/>
      <c r="G1" s="3"/>
      <c r="H1" s="3"/>
      <c r="I1" s="3"/>
      <c r="J1" s="3"/>
      <c r="K1" s="3"/>
      <c r="L1" s="3"/>
      <c r="M1" s="2"/>
    </row>
    <row r="2" spans="2:13" x14ac:dyDescent="0.3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2"/>
    </row>
    <row r="3" spans="2:13" x14ac:dyDescent="0.35">
      <c r="B3" t="s">
        <v>423</v>
      </c>
    </row>
    <row r="4" spans="2:13" x14ac:dyDescent="0.35">
      <c r="B4" t="s">
        <v>46</v>
      </c>
    </row>
    <row r="5" spans="2:13" x14ac:dyDescent="0.35">
      <c r="B5" t="s">
        <v>47</v>
      </c>
    </row>
    <row r="6" spans="2:13" x14ac:dyDescent="0.35">
      <c r="B6" t="s">
        <v>48</v>
      </c>
    </row>
    <row r="7" spans="2:13" x14ac:dyDescent="0.35">
      <c r="B7" t="s">
        <v>49</v>
      </c>
    </row>
    <row r="8" spans="2:13" x14ac:dyDescent="0.35">
      <c r="B8" t="s">
        <v>50</v>
      </c>
    </row>
    <row r="9" spans="2:13" x14ac:dyDescent="0.35">
      <c r="B9" t="s">
        <v>51</v>
      </c>
    </row>
    <row r="10" spans="2:13" x14ac:dyDescent="0.35">
      <c r="B10" t="s">
        <v>52</v>
      </c>
    </row>
    <row r="11" spans="2:13" x14ac:dyDescent="0.35">
      <c r="B11" t="s">
        <v>53</v>
      </c>
    </row>
    <row r="12" spans="2:13" x14ac:dyDescent="0.35">
      <c r="B12" t="s">
        <v>54</v>
      </c>
    </row>
    <row r="13" spans="2:13" ht="38" customHeight="1" x14ac:dyDescent="0.35"/>
    <row r="14" spans="2:13" ht="16" customHeight="1" x14ac:dyDescent="0.35">
      <c r="B14" s="49"/>
    </row>
    <row r="17" spans="2:9" x14ac:dyDescent="0.35">
      <c r="B17" s="6" t="s">
        <v>55</v>
      </c>
    </row>
    <row r="18" spans="2:9" ht="15" thickBot="1" x14ac:dyDescent="0.4"/>
    <row r="19" spans="2:9" ht="29" customHeight="1" x14ac:dyDescent="0.35">
      <c r="B19" s="8" t="s">
        <v>56</v>
      </c>
      <c r="C19" s="9" t="s">
        <v>57</v>
      </c>
      <c r="D19" s="9" t="s">
        <v>58</v>
      </c>
      <c r="E19" s="9" t="s">
        <v>59</v>
      </c>
      <c r="F19" s="9" t="s">
        <v>60</v>
      </c>
      <c r="G19" s="9" t="s">
        <v>61</v>
      </c>
      <c r="H19" s="9" t="s">
        <v>62</v>
      </c>
      <c r="I19" s="9" t="s">
        <v>63</v>
      </c>
    </row>
    <row r="20" spans="2:9" x14ac:dyDescent="0.35">
      <c r="B20" s="10" t="s">
        <v>0</v>
      </c>
      <c r="C20" s="12">
        <v>234</v>
      </c>
      <c r="D20" s="12">
        <v>0</v>
      </c>
      <c r="E20" s="12">
        <v>234</v>
      </c>
      <c r="F20" s="15">
        <v>0.69897000433601897</v>
      </c>
      <c r="G20" s="15">
        <v>3.6127838567197399</v>
      </c>
      <c r="H20" s="15">
        <v>2.325622684682966</v>
      </c>
      <c r="I20" s="15">
        <v>0.53827887752741166</v>
      </c>
    </row>
    <row r="21" spans="2:9" x14ac:dyDescent="0.35">
      <c r="B21" s="7" t="s">
        <v>1</v>
      </c>
      <c r="C21" s="13">
        <v>234</v>
      </c>
      <c r="D21" s="13">
        <v>0</v>
      </c>
      <c r="E21" s="13">
        <v>234</v>
      </c>
      <c r="F21" s="16">
        <v>3.9</v>
      </c>
      <c r="G21" s="16">
        <v>33895</v>
      </c>
      <c r="H21" s="16">
        <v>2119.4269230769228</v>
      </c>
      <c r="I21" s="16">
        <v>4359.7140713132558</v>
      </c>
    </row>
    <row r="22" spans="2:9" x14ac:dyDescent="0.35">
      <c r="B22" s="7" t="s">
        <v>2</v>
      </c>
      <c r="C22" s="13">
        <v>234</v>
      </c>
      <c r="D22" s="13">
        <v>0</v>
      </c>
      <c r="E22" s="13">
        <v>234</v>
      </c>
      <c r="F22" s="16">
        <v>-14.084962844848601</v>
      </c>
      <c r="G22" s="16">
        <v>2077.20092773438</v>
      </c>
      <c r="H22" s="16">
        <v>649.62201951711563</v>
      </c>
      <c r="I22" s="16">
        <v>528.00117406374522</v>
      </c>
    </row>
    <row r="23" spans="2:9" x14ac:dyDescent="0.35">
      <c r="B23" s="7" t="s">
        <v>3</v>
      </c>
      <c r="C23" s="13">
        <v>234</v>
      </c>
      <c r="D23" s="13">
        <v>0</v>
      </c>
      <c r="E23" s="13">
        <v>234</v>
      </c>
      <c r="F23" s="16">
        <v>9.1181251180425804E-2</v>
      </c>
      <c r="G23" s="16">
        <v>0.984752036410945</v>
      </c>
      <c r="H23" s="16">
        <v>0.37648499774673244</v>
      </c>
      <c r="I23" s="16">
        <v>0.1881038826495407</v>
      </c>
    </row>
    <row r="24" spans="2:9" x14ac:dyDescent="0.35">
      <c r="B24" s="7" t="s">
        <v>4</v>
      </c>
      <c r="C24" s="13">
        <v>234</v>
      </c>
      <c r="D24" s="13">
        <v>0</v>
      </c>
      <c r="E24" s="13">
        <v>234</v>
      </c>
      <c r="F24" s="16">
        <v>1.1018914199753E-3</v>
      </c>
      <c r="G24" s="16">
        <v>43.532995736064699</v>
      </c>
      <c r="H24" s="16">
        <v>7.8409294396132321</v>
      </c>
      <c r="I24" s="16">
        <v>10.11077653688843</v>
      </c>
    </row>
    <row r="25" spans="2:9" x14ac:dyDescent="0.35">
      <c r="B25" s="7" t="s">
        <v>5</v>
      </c>
      <c r="C25" s="13">
        <v>234</v>
      </c>
      <c r="D25" s="13">
        <v>0</v>
      </c>
      <c r="E25" s="13">
        <v>234</v>
      </c>
      <c r="F25" s="16">
        <v>2.8736524870352598E-2</v>
      </c>
      <c r="G25" s="16">
        <v>74.682674741230102</v>
      </c>
      <c r="H25" s="16">
        <v>9.7708424709012789</v>
      </c>
      <c r="I25" s="16">
        <v>16.278753366223039</v>
      </c>
    </row>
    <row r="26" spans="2:9" x14ac:dyDescent="0.35">
      <c r="B26" s="7" t="s">
        <v>6</v>
      </c>
      <c r="C26" s="13">
        <v>234</v>
      </c>
      <c r="D26" s="13">
        <v>0</v>
      </c>
      <c r="E26" s="13">
        <v>234</v>
      </c>
      <c r="F26" s="16">
        <v>6.00684647958823E-2</v>
      </c>
      <c r="G26" s="16">
        <v>99.332129725966894</v>
      </c>
      <c r="H26" s="16">
        <v>40.393323291326197</v>
      </c>
      <c r="I26" s="16">
        <v>30.881096934902722</v>
      </c>
    </row>
    <row r="27" spans="2:9" x14ac:dyDescent="0.35">
      <c r="B27" s="7" t="s">
        <v>7</v>
      </c>
      <c r="C27" s="13">
        <v>234</v>
      </c>
      <c r="D27" s="13">
        <v>0</v>
      </c>
      <c r="E27" s="13">
        <v>234</v>
      </c>
      <c r="F27" s="16">
        <v>0.51701034999999995</v>
      </c>
      <c r="G27" s="16">
        <v>10.394392804878001</v>
      </c>
      <c r="H27" s="16">
        <v>3.8143974265910998</v>
      </c>
      <c r="I27" s="16">
        <v>1.9104345634328292</v>
      </c>
    </row>
    <row r="28" spans="2:9" x14ac:dyDescent="0.35">
      <c r="B28" s="7" t="s">
        <v>8</v>
      </c>
      <c r="C28" s="13">
        <v>234</v>
      </c>
      <c r="D28" s="13">
        <v>0</v>
      </c>
      <c r="E28" s="13">
        <v>234</v>
      </c>
      <c r="F28" s="16">
        <v>4.2794914245605504</v>
      </c>
      <c r="G28" s="16">
        <v>352.05862426757801</v>
      </c>
      <c r="H28" s="16">
        <v>47.05989603303437</v>
      </c>
      <c r="I28" s="16">
        <v>42.753434275266081</v>
      </c>
    </row>
    <row r="29" spans="2:9" x14ac:dyDescent="0.35">
      <c r="B29" s="7" t="s">
        <v>9</v>
      </c>
      <c r="C29" s="13">
        <v>234</v>
      </c>
      <c r="D29" s="13">
        <v>0</v>
      </c>
      <c r="E29" s="13">
        <v>234</v>
      </c>
      <c r="F29" s="16">
        <v>0</v>
      </c>
      <c r="G29" s="16">
        <v>818.15324425381198</v>
      </c>
      <c r="H29" s="16">
        <v>32.924124905916017</v>
      </c>
      <c r="I29" s="16">
        <v>101.22071401481696</v>
      </c>
    </row>
    <row r="30" spans="2:9" x14ac:dyDescent="0.35">
      <c r="B30" s="7" t="s">
        <v>10</v>
      </c>
      <c r="C30" s="13">
        <v>234</v>
      </c>
      <c r="D30" s="13">
        <v>0</v>
      </c>
      <c r="E30" s="13">
        <v>234</v>
      </c>
      <c r="F30" s="16">
        <v>336.938720703125</v>
      </c>
      <c r="G30" s="16">
        <v>4513.1640625</v>
      </c>
      <c r="H30" s="16">
        <v>921.90407581818408</v>
      </c>
      <c r="I30" s="16">
        <v>509.91081908230672</v>
      </c>
    </row>
    <row r="31" spans="2:9" x14ac:dyDescent="0.35">
      <c r="B31" s="7" t="s">
        <v>11</v>
      </c>
      <c r="C31" s="13">
        <v>234</v>
      </c>
      <c r="D31" s="13">
        <v>0</v>
      </c>
      <c r="E31" s="13">
        <v>234</v>
      </c>
      <c r="F31" s="16">
        <v>2.1511961632087599</v>
      </c>
      <c r="G31" s="16">
        <v>113.066774337018</v>
      </c>
      <c r="H31" s="16">
        <v>32.561976916218441</v>
      </c>
      <c r="I31" s="16">
        <v>24.507812543125137</v>
      </c>
    </row>
    <row r="32" spans="2:9" x14ac:dyDescent="0.35">
      <c r="B32" s="7" t="s">
        <v>12</v>
      </c>
      <c r="C32" s="13">
        <v>234</v>
      </c>
      <c r="D32" s="13">
        <v>0</v>
      </c>
      <c r="E32" s="13">
        <v>234</v>
      </c>
      <c r="F32" s="16">
        <v>427.95397949218801</v>
      </c>
      <c r="G32" s="16">
        <v>2230.8502097208002</v>
      </c>
      <c r="H32" s="16">
        <v>924.75699460581586</v>
      </c>
      <c r="I32" s="16">
        <v>340.16817730531938</v>
      </c>
    </row>
    <row r="33" spans="2:9" x14ac:dyDescent="0.35">
      <c r="B33" s="7" t="s">
        <v>13</v>
      </c>
      <c r="C33" s="13">
        <v>234</v>
      </c>
      <c r="D33" s="13">
        <v>0</v>
      </c>
      <c r="E33" s="13">
        <v>234</v>
      </c>
      <c r="F33" s="16">
        <v>146.022400402632</v>
      </c>
      <c r="G33" s="16">
        <v>181.417437443968</v>
      </c>
      <c r="H33" s="16">
        <v>159.79560942166796</v>
      </c>
      <c r="I33" s="16">
        <v>8.5721667620782682</v>
      </c>
    </row>
    <row r="34" spans="2:9" x14ac:dyDescent="0.35">
      <c r="B34" s="7" t="s">
        <v>14</v>
      </c>
      <c r="C34" s="13">
        <v>234</v>
      </c>
      <c r="D34" s="13">
        <v>0</v>
      </c>
      <c r="E34" s="13">
        <v>234</v>
      </c>
      <c r="F34" s="16">
        <v>25.746012171760899</v>
      </c>
      <c r="G34" s="16">
        <v>72.918874021436395</v>
      </c>
      <c r="H34" s="16">
        <v>44.591867786037056</v>
      </c>
      <c r="I34" s="16">
        <v>7.6453867243233606</v>
      </c>
    </row>
    <row r="35" spans="2:9" x14ac:dyDescent="0.35">
      <c r="B35" s="7" t="s">
        <v>15</v>
      </c>
      <c r="C35" s="13">
        <v>234</v>
      </c>
      <c r="D35" s="13">
        <v>0</v>
      </c>
      <c r="E35" s="13">
        <v>234</v>
      </c>
      <c r="F35" s="16">
        <v>3.4029141068458599E-2</v>
      </c>
      <c r="G35" s="16">
        <v>28.293596267700199</v>
      </c>
      <c r="H35" s="16">
        <v>9.9010234375476287</v>
      </c>
      <c r="I35" s="16">
        <v>7.4412519460567825</v>
      </c>
    </row>
    <row r="36" spans="2:9" x14ac:dyDescent="0.35">
      <c r="B36" s="7" t="s">
        <v>16</v>
      </c>
      <c r="C36" s="13">
        <v>234</v>
      </c>
      <c r="D36" s="13">
        <v>0</v>
      </c>
      <c r="E36" s="13">
        <v>234</v>
      </c>
      <c r="F36" s="16">
        <v>11.9284467697144</v>
      </c>
      <c r="G36" s="16">
        <v>37.235435485839801</v>
      </c>
      <c r="H36" s="16">
        <v>30.210942435468365</v>
      </c>
      <c r="I36" s="16">
        <v>4.0946004758438859</v>
      </c>
    </row>
    <row r="37" spans="2:9" x14ac:dyDescent="0.35">
      <c r="B37" s="7" t="s">
        <v>17</v>
      </c>
      <c r="C37" s="13">
        <v>234</v>
      </c>
      <c r="D37" s="13">
        <v>0</v>
      </c>
      <c r="E37" s="13">
        <v>234</v>
      </c>
      <c r="F37" s="16">
        <v>18.578117370605501</v>
      </c>
      <c r="G37" s="16">
        <v>343.61911010742199</v>
      </c>
      <c r="H37" s="16">
        <v>160.03528427058822</v>
      </c>
      <c r="I37" s="16">
        <v>77.810831093366218</v>
      </c>
    </row>
    <row r="38" spans="2:9" x14ac:dyDescent="0.35">
      <c r="B38" s="7" t="s">
        <v>18</v>
      </c>
      <c r="C38" s="13">
        <v>234</v>
      </c>
      <c r="D38" s="13">
        <v>0</v>
      </c>
      <c r="E38" s="13">
        <v>234</v>
      </c>
      <c r="F38" s="16">
        <v>2.1427848339080802</v>
      </c>
      <c r="G38" s="16">
        <v>4.2206230163574201</v>
      </c>
      <c r="H38" s="16">
        <v>3.1790315513936891</v>
      </c>
      <c r="I38" s="16">
        <v>0.61736572579983806</v>
      </c>
    </row>
    <row r="39" spans="2:9" x14ac:dyDescent="0.35">
      <c r="B39" s="7" t="s">
        <v>19</v>
      </c>
      <c r="C39" s="13">
        <v>234</v>
      </c>
      <c r="D39" s="13">
        <v>0</v>
      </c>
      <c r="E39" s="13">
        <v>234</v>
      </c>
      <c r="F39" s="16">
        <v>7.52183294296265</v>
      </c>
      <c r="G39" s="16">
        <v>30.129999160766602</v>
      </c>
      <c r="H39" s="16">
        <v>12.477707106842958</v>
      </c>
      <c r="I39" s="16">
        <v>3.6308432716327625</v>
      </c>
    </row>
    <row r="40" spans="2:9" ht="15" thickBot="1" x14ac:dyDescent="0.4">
      <c r="B40" s="11" t="s">
        <v>20</v>
      </c>
      <c r="C40" s="14">
        <v>234</v>
      </c>
      <c r="D40" s="14">
        <v>0</v>
      </c>
      <c r="E40" s="14">
        <v>234</v>
      </c>
      <c r="F40" s="17">
        <v>0.25804046665013902</v>
      </c>
      <c r="G40" s="17">
        <v>1.6529393446377201</v>
      </c>
      <c r="H40" s="17">
        <v>1.1009184017024274</v>
      </c>
      <c r="I40" s="17">
        <v>0.32150897437526399</v>
      </c>
    </row>
    <row r="43" spans="2:9" x14ac:dyDescent="0.35">
      <c r="B43" s="6" t="s">
        <v>64</v>
      </c>
    </row>
    <row r="44" spans="2:9" ht="15" thickBot="1" x14ac:dyDescent="0.4"/>
    <row r="45" spans="2:9" ht="29" x14ac:dyDescent="0.35">
      <c r="B45" s="9" t="s">
        <v>56</v>
      </c>
      <c r="C45" s="9" t="s">
        <v>66</v>
      </c>
      <c r="D45" s="9" t="s">
        <v>67</v>
      </c>
      <c r="E45" s="9" t="s">
        <v>68</v>
      </c>
      <c r="F45" s="9" t="s">
        <v>69</v>
      </c>
    </row>
    <row r="46" spans="2:9" x14ac:dyDescent="0.35">
      <c r="B46" s="19" t="s">
        <v>21</v>
      </c>
      <c r="C46" s="22" t="s">
        <v>25</v>
      </c>
      <c r="D46" s="18">
        <v>47</v>
      </c>
      <c r="E46" s="18">
        <v>47</v>
      </c>
      <c r="F46" s="23">
        <v>20.085470085470085</v>
      </c>
    </row>
    <row r="47" spans="2:9" x14ac:dyDescent="0.35">
      <c r="B47" s="20" t="s">
        <v>65</v>
      </c>
      <c r="C47" s="7" t="s">
        <v>41</v>
      </c>
      <c r="D47" s="13">
        <v>11</v>
      </c>
      <c r="E47" s="13">
        <v>11</v>
      </c>
      <c r="F47" s="16">
        <v>4.700854700854701</v>
      </c>
    </row>
    <row r="48" spans="2:9" x14ac:dyDescent="0.35">
      <c r="B48" s="20" t="s">
        <v>65</v>
      </c>
      <c r="C48" s="7" t="s">
        <v>32</v>
      </c>
      <c r="D48" s="13">
        <v>4</v>
      </c>
      <c r="E48" s="13">
        <v>4</v>
      </c>
      <c r="F48" s="16">
        <v>1.7094017094017093</v>
      </c>
    </row>
    <row r="49" spans="2:6" x14ac:dyDescent="0.35">
      <c r="B49" s="20" t="s">
        <v>65</v>
      </c>
      <c r="C49" s="7" t="s">
        <v>27</v>
      </c>
      <c r="D49" s="13">
        <v>2</v>
      </c>
      <c r="E49" s="13">
        <v>2</v>
      </c>
      <c r="F49" s="16">
        <v>0.85470085470085466</v>
      </c>
    </row>
    <row r="50" spans="2:6" x14ac:dyDescent="0.35">
      <c r="B50" s="20" t="s">
        <v>65</v>
      </c>
      <c r="C50" s="7" t="s">
        <v>23</v>
      </c>
      <c r="D50" s="13">
        <v>100</v>
      </c>
      <c r="E50" s="13">
        <v>100</v>
      </c>
      <c r="F50" s="16">
        <v>42.735042735042732</v>
      </c>
    </row>
    <row r="51" spans="2:6" x14ac:dyDescent="0.35">
      <c r="B51" s="20" t="s">
        <v>65</v>
      </c>
      <c r="C51" s="7" t="s">
        <v>29</v>
      </c>
      <c r="D51" s="13">
        <v>49</v>
      </c>
      <c r="E51" s="13">
        <v>49</v>
      </c>
      <c r="F51" s="16">
        <v>20.94017094017094</v>
      </c>
    </row>
    <row r="52" spans="2:6" x14ac:dyDescent="0.35">
      <c r="B52" s="20" t="s">
        <v>65</v>
      </c>
      <c r="C52" s="7" t="s">
        <v>42</v>
      </c>
      <c r="D52" s="13">
        <v>1</v>
      </c>
      <c r="E52" s="13">
        <v>1</v>
      </c>
      <c r="F52" s="16">
        <v>0.42735042735042733</v>
      </c>
    </row>
    <row r="53" spans="2:6" x14ac:dyDescent="0.35">
      <c r="B53" s="20" t="s">
        <v>65</v>
      </c>
      <c r="C53" s="7" t="s">
        <v>34</v>
      </c>
      <c r="D53" s="13">
        <v>4</v>
      </c>
      <c r="E53" s="13">
        <v>4</v>
      </c>
      <c r="F53" s="16">
        <v>1.7094017094017093</v>
      </c>
    </row>
    <row r="54" spans="2:6" x14ac:dyDescent="0.35">
      <c r="B54" s="20" t="s">
        <v>65</v>
      </c>
      <c r="C54" s="7" t="s">
        <v>28</v>
      </c>
      <c r="D54" s="13">
        <v>16</v>
      </c>
      <c r="E54" s="13">
        <v>16</v>
      </c>
      <c r="F54" s="16">
        <v>6.8376068376068373</v>
      </c>
    </row>
    <row r="55" spans="2:6" x14ac:dyDescent="0.35">
      <c r="B55" s="19" t="s">
        <v>22</v>
      </c>
      <c r="C55" s="22" t="s">
        <v>31</v>
      </c>
      <c r="D55" s="18">
        <v>22</v>
      </c>
      <c r="E55" s="18">
        <v>22</v>
      </c>
      <c r="F55" s="23">
        <v>9.4017094017094021</v>
      </c>
    </row>
    <row r="56" spans="2:6" x14ac:dyDescent="0.35">
      <c r="B56" s="20" t="s">
        <v>65</v>
      </c>
      <c r="C56" s="7" t="s">
        <v>24</v>
      </c>
      <c r="D56" s="13">
        <v>24</v>
      </c>
      <c r="E56" s="13">
        <v>24</v>
      </c>
      <c r="F56" s="16">
        <v>10.256410256410257</v>
      </c>
    </row>
    <row r="57" spans="2:6" x14ac:dyDescent="0.35">
      <c r="B57" s="20" t="s">
        <v>65</v>
      </c>
      <c r="C57" s="7" t="s">
        <v>26</v>
      </c>
      <c r="D57" s="13">
        <v>46</v>
      </c>
      <c r="E57" s="13">
        <v>46</v>
      </c>
      <c r="F57" s="16">
        <v>19.658119658119659</v>
      </c>
    </row>
    <row r="58" spans="2:6" x14ac:dyDescent="0.35">
      <c r="B58" s="20" t="s">
        <v>65</v>
      </c>
      <c r="C58" s="7" t="s">
        <v>30</v>
      </c>
      <c r="D58" s="13">
        <v>10</v>
      </c>
      <c r="E58" s="13">
        <v>10</v>
      </c>
      <c r="F58" s="16">
        <v>4.2735042735042734</v>
      </c>
    </row>
    <row r="59" spans="2:6" x14ac:dyDescent="0.35">
      <c r="B59" s="20" t="s">
        <v>65</v>
      </c>
      <c r="C59" s="7" t="s">
        <v>38</v>
      </c>
      <c r="D59" s="13">
        <v>30</v>
      </c>
      <c r="E59" s="13">
        <v>30</v>
      </c>
      <c r="F59" s="16">
        <v>12.820512820512821</v>
      </c>
    </row>
    <row r="60" spans="2:6" x14ac:dyDescent="0.35">
      <c r="B60" s="20" t="s">
        <v>65</v>
      </c>
      <c r="C60" s="7" t="s">
        <v>39</v>
      </c>
      <c r="D60" s="13">
        <v>38</v>
      </c>
      <c r="E60" s="13">
        <v>38</v>
      </c>
      <c r="F60" s="16">
        <v>16.239316239316238</v>
      </c>
    </row>
    <row r="61" spans="2:6" x14ac:dyDescent="0.35">
      <c r="B61" s="20" t="s">
        <v>65</v>
      </c>
      <c r="C61" s="7" t="s">
        <v>44</v>
      </c>
      <c r="D61" s="13">
        <v>6</v>
      </c>
      <c r="E61" s="13">
        <v>6</v>
      </c>
      <c r="F61" s="16">
        <v>2.5641025641025643</v>
      </c>
    </row>
    <row r="62" spans="2:6" x14ac:dyDescent="0.35">
      <c r="B62" s="20" t="s">
        <v>65</v>
      </c>
      <c r="C62" s="7" t="s">
        <v>43</v>
      </c>
      <c r="D62" s="13">
        <v>3</v>
      </c>
      <c r="E62" s="13">
        <v>3</v>
      </c>
      <c r="F62" s="16">
        <v>1.2820512820512822</v>
      </c>
    </row>
    <row r="63" spans="2:6" x14ac:dyDescent="0.35">
      <c r="B63" s="20" t="s">
        <v>65</v>
      </c>
      <c r="C63" s="7" t="s">
        <v>36</v>
      </c>
      <c r="D63" s="13">
        <v>12</v>
      </c>
      <c r="E63" s="13">
        <v>12</v>
      </c>
      <c r="F63" s="16">
        <v>5.1282051282051286</v>
      </c>
    </row>
    <row r="64" spans="2:6" x14ac:dyDescent="0.35">
      <c r="B64" s="20" t="s">
        <v>65</v>
      </c>
      <c r="C64" s="7" t="s">
        <v>37</v>
      </c>
      <c r="D64" s="13">
        <v>26</v>
      </c>
      <c r="E64" s="13">
        <v>26</v>
      </c>
      <c r="F64" s="16">
        <v>11.111111111111111</v>
      </c>
    </row>
    <row r="65" spans="2:45" x14ac:dyDescent="0.35">
      <c r="B65" s="20" t="s">
        <v>65</v>
      </c>
      <c r="C65" s="7" t="s">
        <v>40</v>
      </c>
      <c r="D65" s="13">
        <v>11</v>
      </c>
      <c r="E65" s="13">
        <v>11</v>
      </c>
      <c r="F65" s="16">
        <v>4.700854700854701</v>
      </c>
    </row>
    <row r="66" spans="2:45" x14ac:dyDescent="0.35">
      <c r="B66" s="20" t="s">
        <v>65</v>
      </c>
      <c r="C66" s="7" t="s">
        <v>33</v>
      </c>
      <c r="D66" s="13">
        <v>3</v>
      </c>
      <c r="E66" s="13">
        <v>3</v>
      </c>
      <c r="F66" s="16">
        <v>1.2820512820512822</v>
      </c>
    </row>
    <row r="67" spans="2:45" ht="15" thickBot="1" x14ac:dyDescent="0.4">
      <c r="B67" s="21" t="s">
        <v>65</v>
      </c>
      <c r="C67" s="11" t="s">
        <v>35</v>
      </c>
      <c r="D67" s="14">
        <v>3</v>
      </c>
      <c r="E67" s="14">
        <v>3</v>
      </c>
      <c r="F67" s="17">
        <v>1.2820512820512822</v>
      </c>
    </row>
    <row r="68" spans="2:45" x14ac:dyDescent="0.35">
      <c r="B68" s="24"/>
      <c r="C68" s="24"/>
      <c r="D68" s="24"/>
      <c r="E68" s="24"/>
      <c r="F68" s="24"/>
    </row>
    <row r="70" spans="2:45" x14ac:dyDescent="0.35">
      <c r="B70" s="6" t="s">
        <v>70</v>
      </c>
    </row>
    <row r="71" spans="2:45" ht="15" thickBot="1" x14ac:dyDescent="0.4"/>
    <row r="72" spans="2:45" ht="29" x14ac:dyDescent="0.35">
      <c r="B72" s="8" t="s">
        <v>71</v>
      </c>
      <c r="C72" s="9" t="s">
        <v>1</v>
      </c>
      <c r="D72" s="9" t="s">
        <v>2</v>
      </c>
      <c r="E72" s="9" t="s">
        <v>3</v>
      </c>
      <c r="F72" s="9" t="s">
        <v>4</v>
      </c>
      <c r="G72" s="9" t="s">
        <v>5</v>
      </c>
      <c r="H72" s="9" t="s">
        <v>6</v>
      </c>
      <c r="I72" s="9" t="s">
        <v>7</v>
      </c>
      <c r="J72" s="9" t="s">
        <v>8</v>
      </c>
      <c r="K72" s="9" t="s">
        <v>9</v>
      </c>
      <c r="L72" s="9" t="s">
        <v>10</v>
      </c>
      <c r="M72" s="9" t="s">
        <v>11</v>
      </c>
      <c r="N72" s="9" t="s">
        <v>12</v>
      </c>
      <c r="O72" s="9" t="s">
        <v>13</v>
      </c>
      <c r="P72" s="9" t="s">
        <v>14</v>
      </c>
      <c r="Q72" s="9" t="s">
        <v>15</v>
      </c>
      <c r="R72" s="9" t="s">
        <v>16</v>
      </c>
      <c r="S72" s="9" t="s">
        <v>17</v>
      </c>
      <c r="T72" s="9" t="s">
        <v>18</v>
      </c>
      <c r="U72" s="9" t="s">
        <v>19</v>
      </c>
      <c r="V72" s="9" t="s">
        <v>20</v>
      </c>
      <c r="W72" s="9" t="s">
        <v>72</v>
      </c>
      <c r="X72" s="9" t="s">
        <v>73</v>
      </c>
      <c r="Y72" s="9" t="s">
        <v>74</v>
      </c>
      <c r="Z72" s="9" t="s">
        <v>75</v>
      </c>
      <c r="AA72" s="9" t="s">
        <v>76</v>
      </c>
      <c r="AB72" s="9" t="s">
        <v>77</v>
      </c>
      <c r="AC72" s="9" t="s">
        <v>78</v>
      </c>
      <c r="AD72" s="9" t="s">
        <v>79</v>
      </c>
      <c r="AE72" s="9" t="s">
        <v>80</v>
      </c>
      <c r="AF72" s="9" t="s">
        <v>81</v>
      </c>
      <c r="AG72" s="9" t="s">
        <v>82</v>
      </c>
      <c r="AH72" s="9" t="s">
        <v>83</v>
      </c>
      <c r="AI72" s="9" t="s">
        <v>84</v>
      </c>
      <c r="AJ72" s="9" t="s">
        <v>85</v>
      </c>
      <c r="AK72" s="9" t="s">
        <v>86</v>
      </c>
      <c r="AL72" s="9" t="s">
        <v>87</v>
      </c>
      <c r="AM72" s="9" t="s">
        <v>88</v>
      </c>
      <c r="AN72" s="9" t="s">
        <v>89</v>
      </c>
      <c r="AO72" s="9" t="s">
        <v>90</v>
      </c>
      <c r="AP72" s="9" t="s">
        <v>91</v>
      </c>
      <c r="AQ72" s="9" t="s">
        <v>92</v>
      </c>
      <c r="AR72" s="9" t="s">
        <v>93</v>
      </c>
      <c r="AS72" s="25" t="s">
        <v>0</v>
      </c>
    </row>
    <row r="73" spans="2:45" x14ac:dyDescent="0.35">
      <c r="B73" s="22" t="s">
        <v>1</v>
      </c>
      <c r="C73" s="30">
        <v>1</v>
      </c>
      <c r="D73" s="23">
        <v>-0.304011338147962</v>
      </c>
      <c r="E73" s="23">
        <v>0.51206896702669202</v>
      </c>
      <c r="F73" s="23">
        <v>-5.0159805920521862E-2</v>
      </c>
      <c r="G73" s="23">
        <v>0.44680088308551286</v>
      </c>
      <c r="H73" s="23">
        <v>-0.19826958537041875</v>
      </c>
      <c r="I73" s="23">
        <v>-0.19254851192411787</v>
      </c>
      <c r="J73" s="23">
        <v>-0.10193832333281426</v>
      </c>
      <c r="K73" s="23">
        <v>0.56282120682493553</v>
      </c>
      <c r="L73" s="23">
        <v>-6.4482042236793186E-2</v>
      </c>
      <c r="M73" s="23">
        <v>-0.12366515094539515</v>
      </c>
      <c r="N73" s="23">
        <v>-0.1275257983577571</v>
      </c>
      <c r="O73" s="23">
        <v>-0.14491384981709923</v>
      </c>
      <c r="P73" s="23">
        <v>-7.6962435764742071E-2</v>
      </c>
      <c r="Q73" s="23">
        <v>-0.16571625723280745</v>
      </c>
      <c r="R73" s="23">
        <v>-0.20718247592641845</v>
      </c>
      <c r="S73" s="23">
        <v>-0.19330941630973569</v>
      </c>
      <c r="T73" s="23">
        <v>-9.8773627146229892E-2</v>
      </c>
      <c r="U73" s="23">
        <v>-0.12928342807387705</v>
      </c>
      <c r="V73" s="23">
        <v>0.21935208171626827</v>
      </c>
      <c r="W73" s="23">
        <v>0.29590727866611616</v>
      </c>
      <c r="X73" s="23">
        <v>-8.6397757153775748E-2</v>
      </c>
      <c r="Y73" s="23">
        <v>-4.2338356552468905E-2</v>
      </c>
      <c r="Z73" s="23">
        <v>-3.887359609983719E-2</v>
      </c>
      <c r="AA73" s="23">
        <v>-9.5314885274903782E-2</v>
      </c>
      <c r="AB73" s="23">
        <v>-5.3466260156459139E-2</v>
      </c>
      <c r="AC73" s="23">
        <v>-3.1404289800048585E-2</v>
      </c>
      <c r="AD73" s="23">
        <v>-5.5183760018851342E-2</v>
      </c>
      <c r="AE73" s="23">
        <v>-5.1869326106303085E-2</v>
      </c>
      <c r="AF73" s="23">
        <v>0.45609274409805545</v>
      </c>
      <c r="AG73" s="23">
        <v>-0.12282959887971294</v>
      </c>
      <c r="AH73" s="23">
        <v>8.775959381508977E-2</v>
      </c>
      <c r="AI73" s="23">
        <v>-7.1553366303201242E-3</v>
      </c>
      <c r="AJ73" s="23">
        <v>-8.112298106449968E-2</v>
      </c>
      <c r="AK73" s="23">
        <v>-7.8845416914983868E-2</v>
      </c>
      <c r="AL73" s="23">
        <v>-7.1964949881654555E-2</v>
      </c>
      <c r="AM73" s="23">
        <v>-5.3206373790272904E-2</v>
      </c>
      <c r="AN73" s="23">
        <v>-7.9656471629737297E-2</v>
      </c>
      <c r="AO73" s="23">
        <v>-0.10839054017678781</v>
      </c>
      <c r="AP73" s="23">
        <v>2.2868228918471564E-2</v>
      </c>
      <c r="AQ73" s="23">
        <v>-3.7130198921975971E-2</v>
      </c>
      <c r="AR73" s="23">
        <v>-4.2177197495587189E-2</v>
      </c>
      <c r="AS73" s="27">
        <v>-3.9023221901392256E-2</v>
      </c>
    </row>
    <row r="74" spans="2:45" x14ac:dyDescent="0.35">
      <c r="B74" s="7" t="s">
        <v>2</v>
      </c>
      <c r="C74" s="16">
        <v>-0.304011338147962</v>
      </c>
      <c r="D74" s="32">
        <v>1</v>
      </c>
      <c r="E74" s="16">
        <v>-0.77150357432054451</v>
      </c>
      <c r="F74" s="16">
        <v>0.54017086978694695</v>
      </c>
      <c r="G74" s="16">
        <v>-0.26245548889016213</v>
      </c>
      <c r="H74" s="16">
        <v>-0.53851604839823075</v>
      </c>
      <c r="I74" s="16">
        <v>0.46360261141216619</v>
      </c>
      <c r="J74" s="16">
        <v>-0.34998957912344042</v>
      </c>
      <c r="K74" s="16">
        <v>-0.11563931997913658</v>
      </c>
      <c r="L74" s="16">
        <v>-0.45623696684097298</v>
      </c>
      <c r="M74" s="16">
        <v>-6.9916403906192859E-2</v>
      </c>
      <c r="N74" s="16">
        <v>-0.21461410260423699</v>
      </c>
      <c r="O74" s="16">
        <v>0.61771106610806858</v>
      </c>
      <c r="P74" s="16">
        <v>-0.57281895828842189</v>
      </c>
      <c r="Q74" s="16">
        <v>-0.3997779161881278</v>
      </c>
      <c r="R74" s="16">
        <v>0.36157129600122978</v>
      </c>
      <c r="S74" s="16">
        <v>0.44165443184762082</v>
      </c>
      <c r="T74" s="16">
        <v>0.4655283021805649</v>
      </c>
      <c r="U74" s="16">
        <v>-9.2526449409698272E-2</v>
      </c>
      <c r="V74" s="16">
        <v>-8.362838283985706E-2</v>
      </c>
      <c r="W74" s="16">
        <v>-0.50570508200328135</v>
      </c>
      <c r="X74" s="16">
        <v>-0.18387162839443302</v>
      </c>
      <c r="Y74" s="16">
        <v>-0.14144640034333975</v>
      </c>
      <c r="Z74" s="16">
        <v>-5.4092104573171089E-2</v>
      </c>
      <c r="AA74" s="16">
        <v>0.11292538251160994</v>
      </c>
      <c r="AB74" s="16">
        <v>0.29026412561422799</v>
      </c>
      <c r="AC74" s="16">
        <v>9.3436593740981649E-2</v>
      </c>
      <c r="AD74" s="16">
        <v>0.12154921015472728</v>
      </c>
      <c r="AE74" s="16">
        <v>0.27346564462085543</v>
      </c>
      <c r="AF74" s="16">
        <v>-0.28202169026058882</v>
      </c>
      <c r="AG74" s="16">
        <v>0.23295023869301459</v>
      </c>
      <c r="AH74" s="16">
        <v>2.5306999771319751E-2</v>
      </c>
      <c r="AI74" s="16">
        <v>0.15564937055503358</v>
      </c>
      <c r="AJ74" s="16">
        <v>-0.16410674841973005</v>
      </c>
      <c r="AK74" s="16">
        <v>-8.7082357341013147E-2</v>
      </c>
      <c r="AL74" s="16">
        <v>-0.17693801012101987</v>
      </c>
      <c r="AM74" s="16">
        <v>-0.12301986177651165</v>
      </c>
      <c r="AN74" s="16">
        <v>0.11324891438566417</v>
      </c>
      <c r="AO74" s="16">
        <v>0.41461345947886491</v>
      </c>
      <c r="AP74" s="16">
        <v>-0.18236497753219008</v>
      </c>
      <c r="AQ74" s="16">
        <v>-0.13351642132764913</v>
      </c>
      <c r="AR74" s="16">
        <v>-2.4689788323989506E-2</v>
      </c>
      <c r="AS74" s="28">
        <v>-9.288128505998949E-3</v>
      </c>
    </row>
    <row r="75" spans="2:45" x14ac:dyDescent="0.35">
      <c r="B75" s="7" t="s">
        <v>3</v>
      </c>
      <c r="C75" s="16">
        <v>0.51206896702669202</v>
      </c>
      <c r="D75" s="16">
        <v>-0.77150357432054451</v>
      </c>
      <c r="E75" s="32">
        <v>1</v>
      </c>
      <c r="F75" s="16">
        <v>-0.32275348326275349</v>
      </c>
      <c r="G75" s="16">
        <v>0.2918469441305046</v>
      </c>
      <c r="H75" s="16">
        <v>0.37030899553589453</v>
      </c>
      <c r="I75" s="16">
        <v>-0.40266773022404145</v>
      </c>
      <c r="J75" s="16">
        <v>0.25684111882323818</v>
      </c>
      <c r="K75" s="16">
        <v>0.26742880048943907</v>
      </c>
      <c r="L75" s="16">
        <v>0.47900379096600787</v>
      </c>
      <c r="M75" s="16">
        <v>0.11969316187298573</v>
      </c>
      <c r="N75" s="16">
        <v>0.22775361860824636</v>
      </c>
      <c r="O75" s="16">
        <v>-0.51354452639677661</v>
      </c>
      <c r="P75" s="16">
        <v>0.46132677984365844</v>
      </c>
      <c r="Q75" s="16">
        <v>0.29066164702413916</v>
      </c>
      <c r="R75" s="16">
        <v>-0.33913514103866327</v>
      </c>
      <c r="S75" s="16">
        <v>-0.36392274117020124</v>
      </c>
      <c r="T75" s="16">
        <v>-0.33711329552508629</v>
      </c>
      <c r="U75" s="16">
        <v>2.0045691113232708E-3</v>
      </c>
      <c r="V75" s="16">
        <v>0.18069487672991683</v>
      </c>
      <c r="W75" s="16">
        <v>0.56648918777684298</v>
      </c>
      <c r="X75" s="16">
        <v>0.11655474751015217</v>
      </c>
      <c r="Y75" s="16">
        <v>8.724447842642144E-2</v>
      </c>
      <c r="Z75" s="16">
        <v>-4.5847981747570307E-2</v>
      </c>
      <c r="AA75" s="16">
        <v>-0.19957710923105046</v>
      </c>
      <c r="AB75" s="16">
        <v>-0.24945032835343531</v>
      </c>
      <c r="AC75" s="16">
        <v>-5.3882496375800941E-2</v>
      </c>
      <c r="AD75" s="16">
        <v>-0.11618218090750451</v>
      </c>
      <c r="AE75" s="16">
        <v>-0.15814800529098488</v>
      </c>
      <c r="AF75" s="16">
        <v>0.27508595882734144</v>
      </c>
      <c r="AG75" s="16">
        <v>-0.15618345458072461</v>
      </c>
      <c r="AH75" s="16">
        <v>8.3209002203905286E-2</v>
      </c>
      <c r="AI75" s="16">
        <v>-0.14311993742138987</v>
      </c>
      <c r="AJ75" s="16">
        <v>5.0468120566036535E-2</v>
      </c>
      <c r="AK75" s="16">
        <v>5.4064228495001899E-2</v>
      </c>
      <c r="AL75" s="16">
        <v>0.10344398554190418</v>
      </c>
      <c r="AM75" s="16">
        <v>0.19937288299335271</v>
      </c>
      <c r="AN75" s="16">
        <v>-0.18165987352102259</v>
      </c>
      <c r="AO75" s="16">
        <v>-0.33533501213011241</v>
      </c>
      <c r="AP75" s="16">
        <v>0.12501090844695656</v>
      </c>
      <c r="AQ75" s="16">
        <v>8.4145122675922945E-2</v>
      </c>
      <c r="AR75" s="16">
        <v>-2.741342470674064E-2</v>
      </c>
      <c r="AS75" s="28">
        <v>2.5724338115004918E-2</v>
      </c>
    </row>
    <row r="76" spans="2:45" x14ac:dyDescent="0.35">
      <c r="B76" s="7" t="s">
        <v>4</v>
      </c>
      <c r="C76" s="16">
        <v>-5.0159805920521862E-2</v>
      </c>
      <c r="D76" s="16">
        <v>0.54017086978694695</v>
      </c>
      <c r="E76" s="16">
        <v>-0.32275348326275349</v>
      </c>
      <c r="F76" s="32">
        <v>1</v>
      </c>
      <c r="G76" s="16">
        <v>-0.27284770676528236</v>
      </c>
      <c r="H76" s="16">
        <v>-0.40146588512099057</v>
      </c>
      <c r="I76" s="16">
        <v>0.67375375722220954</v>
      </c>
      <c r="J76" s="16">
        <v>-0.28367574171820514</v>
      </c>
      <c r="K76" s="16">
        <v>0.16045082368517166</v>
      </c>
      <c r="L76" s="16">
        <v>-0.22924390720415866</v>
      </c>
      <c r="M76" s="16">
        <v>0.20836045452958904</v>
      </c>
      <c r="N76" s="16">
        <v>4.8685937496436717E-2</v>
      </c>
      <c r="O76" s="16">
        <v>0.14861007136252802</v>
      </c>
      <c r="P76" s="16">
        <v>-0.48808169333013851</v>
      </c>
      <c r="Q76" s="16">
        <v>-0.18930855482896375</v>
      </c>
      <c r="R76" s="16">
        <v>0.2408550840084718</v>
      </c>
      <c r="S76" s="16">
        <v>0.71710128616210511</v>
      </c>
      <c r="T76" s="16">
        <v>0.58754738763118852</v>
      </c>
      <c r="U76" s="16">
        <v>-0.43866829521951362</v>
      </c>
      <c r="V76" s="16">
        <v>0.37006793697406842</v>
      </c>
      <c r="W76" s="16">
        <v>-0.30710588930624555</v>
      </c>
      <c r="X76" s="16">
        <v>-0.16463018100755544</v>
      </c>
      <c r="Y76" s="16">
        <v>-9.5454183758747105E-2</v>
      </c>
      <c r="Z76" s="16">
        <v>-5.0374523470844854E-2</v>
      </c>
      <c r="AA76" s="16">
        <v>-0.29223432011497286</v>
      </c>
      <c r="AB76" s="16">
        <v>0.60027693365815993</v>
      </c>
      <c r="AC76" s="16">
        <v>-2.5657676698286107E-2</v>
      </c>
      <c r="AD76" s="16">
        <v>-6.9144904310681182E-2</v>
      </c>
      <c r="AE76" s="16">
        <v>0.34016918153776765</v>
      </c>
      <c r="AF76" s="16">
        <v>-0.20694848519852715</v>
      </c>
      <c r="AG76" s="16">
        <v>0.36252745623555666</v>
      </c>
      <c r="AH76" s="16">
        <v>0.29494319743313913</v>
      </c>
      <c r="AI76" s="16">
        <v>0.28789401185415808</v>
      </c>
      <c r="AJ76" s="16">
        <v>-7.9204158671891456E-2</v>
      </c>
      <c r="AK76" s="16">
        <v>-7.4413261713361947E-2</v>
      </c>
      <c r="AL76" s="16">
        <v>-0.12010195382977744</v>
      </c>
      <c r="AM76" s="16">
        <v>-8.0993666509907719E-2</v>
      </c>
      <c r="AN76" s="16">
        <v>-0.11880141866702723</v>
      </c>
      <c r="AO76" s="16">
        <v>-0.19751485729139526</v>
      </c>
      <c r="AP76" s="16">
        <v>-0.16905211732897049</v>
      </c>
      <c r="AQ76" s="16">
        <v>-8.0901975600369699E-2</v>
      </c>
      <c r="AR76" s="16">
        <v>-8.758126428172161E-2</v>
      </c>
      <c r="AS76" s="28">
        <v>0.49324582275119</v>
      </c>
    </row>
    <row r="77" spans="2:45" x14ac:dyDescent="0.35">
      <c r="B77" s="7" t="s">
        <v>5</v>
      </c>
      <c r="C77" s="16">
        <v>0.44680088308551286</v>
      </c>
      <c r="D77" s="16">
        <v>-0.26245548889016213</v>
      </c>
      <c r="E77" s="16">
        <v>0.2918469441305046</v>
      </c>
      <c r="F77" s="16">
        <v>-0.27284770676528236</v>
      </c>
      <c r="G77" s="32">
        <v>1</v>
      </c>
      <c r="H77" s="16">
        <v>-0.38981016669917179</v>
      </c>
      <c r="I77" s="16">
        <v>-0.5815336994377478</v>
      </c>
      <c r="J77" s="16">
        <v>6.8321716608446367E-2</v>
      </c>
      <c r="K77" s="16">
        <v>8.4253054626583529E-2</v>
      </c>
      <c r="L77" s="16">
        <v>-0.1499255012501744</v>
      </c>
      <c r="M77" s="16">
        <v>-0.44891642984854846</v>
      </c>
      <c r="N77" s="16">
        <v>-0.42690709145997491</v>
      </c>
      <c r="O77" s="16">
        <v>-0.26079501510866904</v>
      </c>
      <c r="P77" s="16">
        <v>-0.14385827762436368</v>
      </c>
      <c r="Q77" s="16">
        <v>-0.41865563846246207</v>
      </c>
      <c r="R77" s="16">
        <v>-0.6532485743456371</v>
      </c>
      <c r="S77" s="16">
        <v>-0.61183769978948421</v>
      </c>
      <c r="T77" s="16">
        <v>-0.31553738905352674</v>
      </c>
      <c r="U77" s="16">
        <v>-7.8355419249186761E-3</v>
      </c>
      <c r="V77" s="16">
        <v>-3.3423730522841061E-2</v>
      </c>
      <c r="W77" s="16">
        <v>0.53470181082383172</v>
      </c>
      <c r="X77" s="16">
        <v>-0.125612968033775</v>
      </c>
      <c r="Y77" s="16">
        <v>-2.5692386142642475E-2</v>
      </c>
      <c r="Z77" s="16">
        <v>9.7336311692325844E-2</v>
      </c>
      <c r="AA77" s="16">
        <v>-0.13658826129180426</v>
      </c>
      <c r="AB77" s="16">
        <v>-0.22965127764999285</v>
      </c>
      <c r="AC77" s="16">
        <v>-2.3998104776530153E-3</v>
      </c>
      <c r="AD77" s="16">
        <v>-2.5889222733505388E-3</v>
      </c>
      <c r="AE77" s="16">
        <v>-0.12585028350425276</v>
      </c>
      <c r="AF77" s="16">
        <v>0.86226226585534138</v>
      </c>
      <c r="AG77" s="16">
        <v>-7.6414096979637774E-2</v>
      </c>
      <c r="AH77" s="16">
        <v>-0.10089055735004554</v>
      </c>
      <c r="AI77" s="16">
        <v>-7.0191022581863022E-2</v>
      </c>
      <c r="AJ77" s="16">
        <v>-0.21408862418143579</v>
      </c>
      <c r="AK77" s="16">
        <v>-0.12721033143991109</v>
      </c>
      <c r="AL77" s="16">
        <v>-8.3405000255500752E-2</v>
      </c>
      <c r="AM77" s="16">
        <v>-5.9884156656033222E-2</v>
      </c>
      <c r="AN77" s="16">
        <v>-6.1940136597601808E-2</v>
      </c>
      <c r="AO77" s="16">
        <v>2.1745071173722479E-2</v>
      </c>
      <c r="AP77" s="16">
        <v>-0.11704460969779162</v>
      </c>
      <c r="AQ77" s="16">
        <v>-2.7181665068343033E-2</v>
      </c>
      <c r="AR77" s="16">
        <v>-9.8501868400046565E-3</v>
      </c>
      <c r="AS77" s="28">
        <v>-0.36276794523327027</v>
      </c>
    </row>
    <row r="78" spans="2:45" x14ac:dyDescent="0.35">
      <c r="B78" s="7" t="s">
        <v>6</v>
      </c>
      <c r="C78" s="16">
        <v>-0.19826958537041875</v>
      </c>
      <c r="D78" s="16">
        <v>-0.53851604839823075</v>
      </c>
      <c r="E78" s="16">
        <v>0.37030899553589453</v>
      </c>
      <c r="F78" s="16">
        <v>-0.40146588512099057</v>
      </c>
      <c r="G78" s="16">
        <v>-0.38981016669917179</v>
      </c>
      <c r="H78" s="32">
        <v>1</v>
      </c>
      <c r="I78" s="16">
        <v>-0.14404532374023576</v>
      </c>
      <c r="J78" s="16">
        <v>0.26603865697929996</v>
      </c>
      <c r="K78" s="16">
        <v>-0.12839005732683778</v>
      </c>
      <c r="L78" s="16">
        <v>0.61603135149625121</v>
      </c>
      <c r="M78" s="16">
        <v>0.54376103549097932</v>
      </c>
      <c r="N78" s="16">
        <v>0.68598534860292726</v>
      </c>
      <c r="O78" s="16">
        <v>-0.47695589371411218</v>
      </c>
      <c r="P78" s="16">
        <v>0.8033226399199358</v>
      </c>
      <c r="Q78" s="16">
        <v>0.87881657495902199</v>
      </c>
      <c r="R78" s="16">
        <v>0.21129961021091984</v>
      </c>
      <c r="S78" s="16">
        <v>-3.9120720587301344E-2</v>
      </c>
      <c r="T78" s="16">
        <v>-0.37566733587609868</v>
      </c>
      <c r="U78" s="16">
        <v>5.9996848183382828E-2</v>
      </c>
      <c r="V78" s="16">
        <v>6.0037405431988669E-2</v>
      </c>
      <c r="W78" s="16">
        <v>0.12455144406292322</v>
      </c>
      <c r="X78" s="16">
        <v>0.38812910094712044</v>
      </c>
      <c r="Y78" s="16">
        <v>-3.0584900836391201E-2</v>
      </c>
      <c r="Z78" s="16">
        <v>-9.0467051880915566E-3</v>
      </c>
      <c r="AA78" s="16">
        <v>4.6479808411905903E-2</v>
      </c>
      <c r="AB78" s="16">
        <v>-0.19933937080985376</v>
      </c>
      <c r="AC78" s="16">
        <v>-8.4634285864162037E-2</v>
      </c>
      <c r="AD78" s="16">
        <v>-0.14897973835366671</v>
      </c>
      <c r="AE78" s="16">
        <v>-0.17555016556333339</v>
      </c>
      <c r="AF78" s="16">
        <v>-0.26529826569289483</v>
      </c>
      <c r="AG78" s="16">
        <v>-0.19512771709598084</v>
      </c>
      <c r="AH78" s="16">
        <v>-0.1728754948232184</v>
      </c>
      <c r="AI78" s="16">
        <v>-0.22094437073399795</v>
      </c>
      <c r="AJ78" s="16">
        <v>0.38346018404185112</v>
      </c>
      <c r="AK78" s="16">
        <v>0.34497850777343947</v>
      </c>
      <c r="AL78" s="16">
        <v>0.26454436183903279</v>
      </c>
      <c r="AM78" s="16">
        <v>0.18697397579752201</v>
      </c>
      <c r="AN78" s="16">
        <v>-5.9576362713485667E-2</v>
      </c>
      <c r="AO78" s="16">
        <v>-0.31388047009254921</v>
      </c>
      <c r="AP78" s="16">
        <v>0.26321530601614984</v>
      </c>
      <c r="AQ78" s="16">
        <v>-7.5487013502550989E-3</v>
      </c>
      <c r="AR78" s="16">
        <v>-0.10078364772496504</v>
      </c>
      <c r="AS78" s="28">
        <v>8.5102023993503528E-2</v>
      </c>
    </row>
    <row r="79" spans="2:45" x14ac:dyDescent="0.35">
      <c r="B79" s="7" t="s">
        <v>7</v>
      </c>
      <c r="C79" s="16">
        <v>-0.19254851192411787</v>
      </c>
      <c r="D79" s="16">
        <v>0.46360261141216619</v>
      </c>
      <c r="E79" s="16">
        <v>-0.40266773022404145</v>
      </c>
      <c r="F79" s="16">
        <v>0.67375375722220954</v>
      </c>
      <c r="G79" s="16">
        <v>-0.5815336994377478</v>
      </c>
      <c r="H79" s="16">
        <v>-0.14404532374023576</v>
      </c>
      <c r="I79" s="32">
        <v>1</v>
      </c>
      <c r="J79" s="16">
        <v>-0.33605308489716768</v>
      </c>
      <c r="K79" s="16">
        <v>8.7710190831085791E-2</v>
      </c>
      <c r="L79" s="16">
        <v>-8.5160801072615061E-2</v>
      </c>
      <c r="M79" s="16">
        <v>0.37607681526914899</v>
      </c>
      <c r="N79" s="16">
        <v>0.22816065389018472</v>
      </c>
      <c r="O79" s="16">
        <v>0.38825553239926441</v>
      </c>
      <c r="P79" s="16">
        <v>-0.35954098656983347</v>
      </c>
      <c r="Q79" s="16">
        <v>5.9836461292680644E-2</v>
      </c>
      <c r="R79" s="16">
        <v>0.55335664186564693</v>
      </c>
      <c r="S79" s="16">
        <v>0.95015101166481464</v>
      </c>
      <c r="T79" s="16">
        <v>0.63533019797669898</v>
      </c>
      <c r="U79" s="16">
        <v>-0.28582357061899433</v>
      </c>
      <c r="V79" s="16">
        <v>0.39810886963045083</v>
      </c>
      <c r="W79" s="16">
        <v>-0.64295070365168716</v>
      </c>
      <c r="X79" s="16">
        <v>-8.6141601251271682E-2</v>
      </c>
      <c r="Y79" s="16">
        <v>-9.0641099343100762E-3</v>
      </c>
      <c r="Z79" s="16">
        <v>-0.12854514857536722</v>
      </c>
      <c r="AA79" s="16">
        <v>3.3108559558604936E-2</v>
      </c>
      <c r="AB79" s="16">
        <v>0.50207012623726088</v>
      </c>
      <c r="AC79" s="16">
        <v>8.4873086922846952E-2</v>
      </c>
      <c r="AD79" s="16">
        <v>-1.3781310911056048E-2</v>
      </c>
      <c r="AE79" s="16">
        <v>0.25524061916592433</v>
      </c>
      <c r="AF79" s="16">
        <v>-0.46525347489577373</v>
      </c>
      <c r="AG79" s="16">
        <v>0.17593482669523686</v>
      </c>
      <c r="AH79" s="16">
        <v>0.27481770123928995</v>
      </c>
      <c r="AI79" s="16">
        <v>0.11083001079849433</v>
      </c>
      <c r="AJ79" s="16">
        <v>0.23926608843964234</v>
      </c>
      <c r="AK79" s="16">
        <v>-0.20351203418827743</v>
      </c>
      <c r="AL79" s="16">
        <v>-0.23777810963186996</v>
      </c>
      <c r="AM79" s="16">
        <v>-0.11430412046281496</v>
      </c>
      <c r="AN79" s="16">
        <v>4.2438841461145786E-3</v>
      </c>
      <c r="AO79" s="16">
        <v>-4.4311309604680708E-2</v>
      </c>
      <c r="AP79" s="16">
        <v>5.2737522508558766E-2</v>
      </c>
      <c r="AQ79" s="16">
        <v>-5.2958867400091821E-3</v>
      </c>
      <c r="AR79" s="16">
        <v>-1.1478008572566385E-2</v>
      </c>
      <c r="AS79" s="28">
        <v>0.45590408140851085</v>
      </c>
    </row>
    <row r="80" spans="2:45" x14ac:dyDescent="0.35">
      <c r="B80" s="7" t="s">
        <v>8</v>
      </c>
      <c r="C80" s="16">
        <v>-0.10193832333281426</v>
      </c>
      <c r="D80" s="16">
        <v>-0.34998957912344042</v>
      </c>
      <c r="E80" s="16">
        <v>0.25684111882323818</v>
      </c>
      <c r="F80" s="16">
        <v>-0.28367574171820514</v>
      </c>
      <c r="G80" s="16">
        <v>6.8321716608446367E-2</v>
      </c>
      <c r="H80" s="16">
        <v>0.26603865697929996</v>
      </c>
      <c r="I80" s="16">
        <v>-0.33605308489716768</v>
      </c>
      <c r="J80" s="32">
        <v>1</v>
      </c>
      <c r="K80" s="16">
        <v>-0.13206310154164747</v>
      </c>
      <c r="L80" s="16">
        <v>0.24709322154027166</v>
      </c>
      <c r="M80" s="16">
        <v>-0.12274565084325974</v>
      </c>
      <c r="N80" s="16">
        <v>-2.2357585930849366E-2</v>
      </c>
      <c r="O80" s="16">
        <v>-0.23141514178945788</v>
      </c>
      <c r="P80" s="16">
        <v>0.31055534359481463</v>
      </c>
      <c r="Q80" s="16">
        <v>0.14556590704660427</v>
      </c>
      <c r="R80" s="16">
        <v>-0.37344222177156872</v>
      </c>
      <c r="S80" s="16">
        <v>-0.30586947852219093</v>
      </c>
      <c r="T80" s="16">
        <v>-0.23359085661577686</v>
      </c>
      <c r="U80" s="16">
        <v>0.39805494044798068</v>
      </c>
      <c r="V80" s="16">
        <v>-0.14256918813185088</v>
      </c>
      <c r="W80" s="16">
        <v>0.26578049393644015</v>
      </c>
      <c r="X80" s="16">
        <v>0.16152951575343141</v>
      </c>
      <c r="Y80" s="16">
        <v>0.20245962026249262</v>
      </c>
      <c r="Z80" s="16">
        <v>0.30380607863969472</v>
      </c>
      <c r="AA80" s="16">
        <v>-0.1147805195110926</v>
      </c>
      <c r="AB80" s="16">
        <v>-0.27948151551830042</v>
      </c>
      <c r="AC80" s="16">
        <v>-1.6516939003231243E-2</v>
      </c>
      <c r="AD80" s="16">
        <v>3.1495605310892363E-2</v>
      </c>
      <c r="AE80" s="16">
        <v>-0.1085177745928287</v>
      </c>
      <c r="AF80" s="16">
        <v>6.5378676730816029E-2</v>
      </c>
      <c r="AG80" s="16">
        <v>-2.8815957720111515E-2</v>
      </c>
      <c r="AH80" s="16">
        <v>-2.9904463489340703E-2</v>
      </c>
      <c r="AI80" s="16">
        <v>-0.1192559595615874</v>
      </c>
      <c r="AJ80" s="16">
        <v>-8.129249805847576E-3</v>
      </c>
      <c r="AK80" s="16">
        <v>-9.1995704575639839E-2</v>
      </c>
      <c r="AL80" s="16">
        <v>0.26752198234371311</v>
      </c>
      <c r="AM80" s="16">
        <v>0.14007846790458453</v>
      </c>
      <c r="AN80" s="16">
        <v>1.2539715455545193E-3</v>
      </c>
      <c r="AO80" s="16">
        <v>-0.11049295312879116</v>
      </c>
      <c r="AP80" s="16">
        <v>3.2220289371821254E-2</v>
      </c>
      <c r="AQ80" s="16">
        <v>0.20115780352013768</v>
      </c>
      <c r="AR80" s="16">
        <v>8.2379959752032425E-2</v>
      </c>
      <c r="AS80" s="28">
        <v>-9.8435736460892764E-2</v>
      </c>
    </row>
    <row r="81" spans="2:45" x14ac:dyDescent="0.35">
      <c r="B81" s="7" t="s">
        <v>9</v>
      </c>
      <c r="C81" s="16">
        <v>0.56282120682493553</v>
      </c>
      <c r="D81" s="16">
        <v>-0.11563931997913658</v>
      </c>
      <c r="E81" s="16">
        <v>0.26742880048943907</v>
      </c>
      <c r="F81" s="16">
        <v>0.16045082368517166</v>
      </c>
      <c r="G81" s="16">
        <v>8.4253054626583529E-2</v>
      </c>
      <c r="H81" s="16">
        <v>-0.12839005732683778</v>
      </c>
      <c r="I81" s="16">
        <v>8.7710190831085791E-2</v>
      </c>
      <c r="J81" s="16">
        <v>-0.13206310154164747</v>
      </c>
      <c r="K81" s="32">
        <v>1</v>
      </c>
      <c r="L81" s="16">
        <v>-3.7746545370244695E-2</v>
      </c>
      <c r="M81" s="16">
        <v>8.6813724731752973E-2</v>
      </c>
      <c r="N81" s="16">
        <v>3.4865441712888488E-2</v>
      </c>
      <c r="O81" s="16">
        <v>-9.0108822128743632E-2</v>
      </c>
      <c r="P81" s="16">
        <v>-0.15092274600305119</v>
      </c>
      <c r="Q81" s="16">
        <v>1.0131649807703959E-2</v>
      </c>
      <c r="R81" s="16">
        <v>2.0468856095806696E-2</v>
      </c>
      <c r="S81" s="16">
        <v>8.75770578283801E-2</v>
      </c>
      <c r="T81" s="16">
        <v>7.7194257375140782E-2</v>
      </c>
      <c r="U81" s="16">
        <v>-0.22085652331173578</v>
      </c>
      <c r="V81" s="16">
        <v>0.36801605265282211</v>
      </c>
      <c r="W81" s="16">
        <v>3.1757144666822765E-2</v>
      </c>
      <c r="X81" s="16">
        <v>-7.216566459527704E-2</v>
      </c>
      <c r="Y81" s="16">
        <v>-4.2987371434762237E-2</v>
      </c>
      <c r="Z81" s="16">
        <v>-3.0265358158131486E-2</v>
      </c>
      <c r="AA81" s="16">
        <v>-8.0703618296823917E-2</v>
      </c>
      <c r="AB81" s="16">
        <v>5.01014251329336E-2</v>
      </c>
      <c r="AC81" s="16">
        <v>-2.1354866058029484E-2</v>
      </c>
      <c r="AD81" s="16">
        <v>-4.2987371434762327E-2</v>
      </c>
      <c r="AE81" s="16">
        <v>0.14823369749168552</v>
      </c>
      <c r="AF81" s="16">
        <v>2.9188358661285923E-2</v>
      </c>
      <c r="AG81" s="16">
        <v>-8.1901811328387683E-2</v>
      </c>
      <c r="AH81" s="16">
        <v>0.32811174929963099</v>
      </c>
      <c r="AI81" s="16">
        <v>-5.4396397621441994E-2</v>
      </c>
      <c r="AJ81" s="16">
        <v>1.1657282230839752E-2</v>
      </c>
      <c r="AK81" s="16">
        <v>-4.8284669952438568E-2</v>
      </c>
      <c r="AL81" s="16">
        <v>-5.2878973264934181E-2</v>
      </c>
      <c r="AM81" s="16">
        <v>-3.7147487883293528E-2</v>
      </c>
      <c r="AN81" s="16">
        <v>-7.5785993469890345E-2</v>
      </c>
      <c r="AO81" s="16">
        <v>-0.11524705035001863</v>
      </c>
      <c r="AP81" s="16">
        <v>-7.2396692132192381E-2</v>
      </c>
      <c r="AQ81" s="16">
        <v>-3.7147487883293577E-2</v>
      </c>
      <c r="AR81" s="16">
        <v>-3.7147487883293522E-2</v>
      </c>
      <c r="AS81" s="28">
        <v>0.10677450458523738</v>
      </c>
    </row>
    <row r="82" spans="2:45" x14ac:dyDescent="0.35">
      <c r="B82" s="7" t="s">
        <v>10</v>
      </c>
      <c r="C82" s="16">
        <v>-6.4482042236793186E-2</v>
      </c>
      <c r="D82" s="16">
        <v>-0.45623696684097298</v>
      </c>
      <c r="E82" s="16">
        <v>0.47900379096600787</v>
      </c>
      <c r="F82" s="16">
        <v>-0.22924390720415866</v>
      </c>
      <c r="G82" s="16">
        <v>-0.1499255012501744</v>
      </c>
      <c r="H82" s="16">
        <v>0.61603135149625121</v>
      </c>
      <c r="I82" s="16">
        <v>-8.5160801072615061E-2</v>
      </c>
      <c r="J82" s="16">
        <v>0.24709322154027166</v>
      </c>
      <c r="K82" s="16">
        <v>-3.7746545370244695E-2</v>
      </c>
      <c r="L82" s="32">
        <v>1</v>
      </c>
      <c r="M82" s="16">
        <v>0.62821378413060058</v>
      </c>
      <c r="N82" s="16">
        <v>0.74687229522698351</v>
      </c>
      <c r="O82" s="16">
        <v>-0.30596827126048665</v>
      </c>
      <c r="P82" s="16">
        <v>0.75767836787530696</v>
      </c>
      <c r="Q82" s="16">
        <v>0.53576379185814726</v>
      </c>
      <c r="R82" s="16">
        <v>-0.12009622005971454</v>
      </c>
      <c r="S82" s="16">
        <v>-1.9354532345923697E-2</v>
      </c>
      <c r="T82" s="16">
        <v>-0.1773376585074517</v>
      </c>
      <c r="U82" s="16">
        <v>4.2630202578462305E-2</v>
      </c>
      <c r="V82" s="16">
        <v>0.11473090719541139</v>
      </c>
      <c r="W82" s="16">
        <v>0.17920838495678562</v>
      </c>
      <c r="X82" s="16">
        <v>0.30304594703744397</v>
      </c>
      <c r="Y82" s="16">
        <v>-1.1324165389132584E-3</v>
      </c>
      <c r="Z82" s="16">
        <v>3.5802450346588396E-2</v>
      </c>
      <c r="AA82" s="16">
        <v>-7.3971576057195218E-2</v>
      </c>
      <c r="AB82" s="16">
        <v>-0.11492486651097442</v>
      </c>
      <c r="AC82" s="16">
        <v>-7.5316117871924756E-2</v>
      </c>
      <c r="AD82" s="16">
        <v>-0.12300046002891547</v>
      </c>
      <c r="AE82" s="16">
        <v>-0.13819126338957805</v>
      </c>
      <c r="AF82" s="16">
        <v>-5.2790996182756518E-2</v>
      </c>
      <c r="AG82" s="16">
        <v>-0.14837226749913904</v>
      </c>
      <c r="AH82" s="16">
        <v>-8.1672251523264294E-2</v>
      </c>
      <c r="AI82" s="16">
        <v>-0.14160545787373302</v>
      </c>
      <c r="AJ82" s="16">
        <v>0.30883484814190831</v>
      </c>
      <c r="AK82" s="16">
        <v>9.8406879671101132E-3</v>
      </c>
      <c r="AL82" s="16">
        <v>-5.1852042476870079E-2</v>
      </c>
      <c r="AM82" s="16">
        <v>0.64501963487218184</v>
      </c>
      <c r="AN82" s="16">
        <v>-9.5012356122685243E-2</v>
      </c>
      <c r="AO82" s="16">
        <v>-0.27066355664722119</v>
      </c>
      <c r="AP82" s="16">
        <v>0.30027615685797848</v>
      </c>
      <c r="AQ82" s="16">
        <v>1.5789461615893778E-2</v>
      </c>
      <c r="AR82" s="16">
        <v>-8.0357567612419648E-2</v>
      </c>
      <c r="AS82" s="28">
        <v>6.6580082243819491E-2</v>
      </c>
    </row>
    <row r="83" spans="2:45" x14ac:dyDescent="0.35">
      <c r="B83" s="7" t="s">
        <v>11</v>
      </c>
      <c r="C83" s="16">
        <v>-0.12366515094539515</v>
      </c>
      <c r="D83" s="16">
        <v>-6.9916403906192859E-2</v>
      </c>
      <c r="E83" s="16">
        <v>0.11969316187298573</v>
      </c>
      <c r="F83" s="16">
        <v>0.20836045452958904</v>
      </c>
      <c r="G83" s="16">
        <v>-0.44891642984854846</v>
      </c>
      <c r="H83" s="16">
        <v>0.54376103549097932</v>
      </c>
      <c r="I83" s="16">
        <v>0.37607681526914899</v>
      </c>
      <c r="J83" s="16">
        <v>-0.12274565084325974</v>
      </c>
      <c r="K83" s="16">
        <v>8.6813724731752973E-2</v>
      </c>
      <c r="L83" s="16">
        <v>0.62821378413060058</v>
      </c>
      <c r="M83" s="32">
        <v>1</v>
      </c>
      <c r="N83" s="16">
        <v>0.96874406368199961</v>
      </c>
      <c r="O83" s="16">
        <v>-0.28838390696985766</v>
      </c>
      <c r="P83" s="16">
        <v>0.38823019643143469</v>
      </c>
      <c r="Q83" s="16">
        <v>0.6768167582550848</v>
      </c>
      <c r="R83" s="16">
        <v>0.42343268124006439</v>
      </c>
      <c r="S83" s="16">
        <v>0.49455923212365949</v>
      </c>
      <c r="T83" s="16">
        <v>6.7448204167362101E-3</v>
      </c>
      <c r="U83" s="16">
        <v>-0.31389409703042459</v>
      </c>
      <c r="V83" s="16">
        <v>0.43322798643481558</v>
      </c>
      <c r="W83" s="16">
        <v>-0.17054465177467112</v>
      </c>
      <c r="X83" s="16">
        <v>0.30964495003039105</v>
      </c>
      <c r="Y83" s="16">
        <v>-0.12298428230308114</v>
      </c>
      <c r="Z83" s="16">
        <v>-9.5577890287740608E-2</v>
      </c>
      <c r="AA83" s="16">
        <v>-0.19627660787788737</v>
      </c>
      <c r="AB83" s="16">
        <v>0.25536875625342909</v>
      </c>
      <c r="AC83" s="16">
        <v>-6.8471956350677002E-2</v>
      </c>
      <c r="AD83" s="16">
        <v>-0.14588888301631814</v>
      </c>
      <c r="AE83" s="16">
        <v>0.17471802431853842</v>
      </c>
      <c r="AF83" s="16">
        <v>-0.28198541796156912</v>
      </c>
      <c r="AG83" s="16">
        <v>-0.16354605285196222</v>
      </c>
      <c r="AH83" s="16">
        <v>-3.6960393906620613E-2</v>
      </c>
      <c r="AI83" s="16">
        <v>-0.11747014250972963</v>
      </c>
      <c r="AJ83" s="16">
        <v>0.51993875860202809</v>
      </c>
      <c r="AK83" s="16">
        <v>0.2960119500538686</v>
      </c>
      <c r="AL83" s="16">
        <v>-8.4151566866739122E-2</v>
      </c>
      <c r="AM83" s="16">
        <v>0.26333834443979443</v>
      </c>
      <c r="AN83" s="16">
        <v>-0.21763291272347118</v>
      </c>
      <c r="AO83" s="16">
        <v>-0.31863149319798051</v>
      </c>
      <c r="AP83" s="16">
        <v>0.21168705095259166</v>
      </c>
      <c r="AQ83" s="16">
        <v>-0.10223373755578113</v>
      </c>
      <c r="AR83" s="16">
        <v>-0.12552375887742676</v>
      </c>
      <c r="AS83" s="28">
        <v>0.23867455464384055</v>
      </c>
    </row>
    <row r="84" spans="2:45" x14ac:dyDescent="0.35">
      <c r="B84" s="7" t="s">
        <v>12</v>
      </c>
      <c r="C84" s="16">
        <v>-0.1275257983577571</v>
      </c>
      <c r="D84" s="16">
        <v>-0.21461410260423699</v>
      </c>
      <c r="E84" s="16">
        <v>0.22775361860824636</v>
      </c>
      <c r="F84" s="16">
        <v>4.8685937496436717E-2</v>
      </c>
      <c r="G84" s="16">
        <v>-0.42690709145997491</v>
      </c>
      <c r="H84" s="16">
        <v>0.68598534860292726</v>
      </c>
      <c r="I84" s="16">
        <v>0.22816065389018472</v>
      </c>
      <c r="J84" s="16">
        <v>-2.2357585930849366E-2</v>
      </c>
      <c r="K84" s="16">
        <v>3.4865441712888488E-2</v>
      </c>
      <c r="L84" s="16">
        <v>0.74687229522698351</v>
      </c>
      <c r="M84" s="16">
        <v>0.96874406368199961</v>
      </c>
      <c r="N84" s="32">
        <v>1</v>
      </c>
      <c r="O84" s="16">
        <v>-0.3597593447669345</v>
      </c>
      <c r="P84" s="16">
        <v>0.60468849713779071</v>
      </c>
      <c r="Q84" s="16">
        <v>0.74580374678459771</v>
      </c>
      <c r="R84" s="16">
        <v>0.35770051636368494</v>
      </c>
      <c r="S84" s="16">
        <v>0.3549819895516671</v>
      </c>
      <c r="T84" s="16">
        <v>-0.10749225188726447</v>
      </c>
      <c r="U84" s="16">
        <v>-0.22419440985180528</v>
      </c>
      <c r="V84" s="16">
        <v>0.35067303731297161</v>
      </c>
      <c r="W84" s="16">
        <v>-7.9983401350640776E-2</v>
      </c>
      <c r="X84" s="16">
        <v>0.37989214347295541</v>
      </c>
      <c r="Y84" s="16">
        <v>-0.13577643792530456</v>
      </c>
      <c r="Z84" s="16">
        <v>-7.7093961676390724E-2</v>
      </c>
      <c r="AA84" s="16">
        <v>-0.14756243527858798</v>
      </c>
      <c r="AB84" s="16">
        <v>0.14782554747498372</v>
      </c>
      <c r="AC84" s="16">
        <v>-9.3930370825236129E-2</v>
      </c>
      <c r="AD84" s="16">
        <v>-0.17157534908444588</v>
      </c>
      <c r="AE84" s="16">
        <v>6.9543002271275772E-2</v>
      </c>
      <c r="AF84" s="16">
        <v>-0.25695419047434814</v>
      </c>
      <c r="AG84" s="16">
        <v>-0.19683014013578895</v>
      </c>
      <c r="AH84" s="16">
        <v>-8.1895256766209248E-2</v>
      </c>
      <c r="AI84" s="16">
        <v>-0.13458071411157196</v>
      </c>
      <c r="AJ84" s="16">
        <v>0.51770221298867936</v>
      </c>
      <c r="AK84" s="16">
        <v>0.2916592397100406</v>
      </c>
      <c r="AL84" s="16">
        <v>-2.7664214762166271E-2</v>
      </c>
      <c r="AM84" s="16">
        <v>0.32442827868706087</v>
      </c>
      <c r="AN84" s="16">
        <v>-0.19177776135800839</v>
      </c>
      <c r="AO84" s="16">
        <v>-0.33661258300901753</v>
      </c>
      <c r="AP84" s="16">
        <v>0.27632591474928508</v>
      </c>
      <c r="AQ84" s="16">
        <v>-0.1129097049039714</v>
      </c>
      <c r="AR84" s="16">
        <v>-0.1421393436094785</v>
      </c>
      <c r="AS84" s="28">
        <v>0.20273371775965507</v>
      </c>
    </row>
    <row r="85" spans="2:45" x14ac:dyDescent="0.35">
      <c r="B85" s="7" t="s">
        <v>13</v>
      </c>
      <c r="C85" s="16">
        <v>-0.14491384981709923</v>
      </c>
      <c r="D85" s="16">
        <v>0.61771106610806858</v>
      </c>
      <c r="E85" s="16">
        <v>-0.51354452639677661</v>
      </c>
      <c r="F85" s="16">
        <v>0.14861007136252802</v>
      </c>
      <c r="G85" s="16">
        <v>-0.26079501510866904</v>
      </c>
      <c r="H85" s="16">
        <v>-0.47695589371411218</v>
      </c>
      <c r="I85" s="16">
        <v>0.38825553239926441</v>
      </c>
      <c r="J85" s="16">
        <v>-0.23141514178945788</v>
      </c>
      <c r="K85" s="16">
        <v>-9.0108822128743632E-2</v>
      </c>
      <c r="L85" s="16">
        <v>-0.30596827126048665</v>
      </c>
      <c r="M85" s="16">
        <v>-0.28838390696985766</v>
      </c>
      <c r="N85" s="16">
        <v>-0.3597593447669345</v>
      </c>
      <c r="O85" s="32">
        <v>1</v>
      </c>
      <c r="P85" s="16">
        <v>-0.41046957508526538</v>
      </c>
      <c r="Q85" s="16">
        <v>-0.50006178948476931</v>
      </c>
      <c r="R85" s="16">
        <v>0.19382927295521629</v>
      </c>
      <c r="S85" s="16">
        <v>0.27413520966570198</v>
      </c>
      <c r="T85" s="16">
        <v>0.46220924199945662</v>
      </c>
      <c r="U85" s="16">
        <v>0.36055259232878822</v>
      </c>
      <c r="V85" s="16">
        <v>-0.24462448105673845</v>
      </c>
      <c r="W85" s="16">
        <v>-0.49309856961350007</v>
      </c>
      <c r="X85" s="16">
        <v>-0.24281091033745819</v>
      </c>
      <c r="Y85" s="16">
        <v>0.1233340495718131</v>
      </c>
      <c r="Z85" s="16">
        <v>-5.7465255089702294E-2</v>
      </c>
      <c r="AA85" s="16">
        <v>0.33962781151119198</v>
      </c>
      <c r="AB85" s="16">
        <v>4.1370218937189944E-2</v>
      </c>
      <c r="AC85" s="16">
        <v>0.15939931784737627</v>
      </c>
      <c r="AD85" s="16">
        <v>0.2379248310106967</v>
      </c>
      <c r="AE85" s="16">
        <v>4.8210319301867609E-2</v>
      </c>
      <c r="AF85" s="16">
        <v>-0.36482475296500966</v>
      </c>
      <c r="AG85" s="16">
        <v>0.13843544152327203</v>
      </c>
      <c r="AH85" s="16">
        <v>-9.4988837859115854E-2</v>
      </c>
      <c r="AI85" s="16">
        <v>8.6668988614275758E-2</v>
      </c>
      <c r="AJ85" s="16">
        <v>-0.1535558049934109</v>
      </c>
      <c r="AK85" s="16">
        <v>-0.37894162312564006</v>
      </c>
      <c r="AL85" s="16">
        <v>-0.21974413267437606</v>
      </c>
      <c r="AM85" s="16">
        <v>-6.8719615887932836E-2</v>
      </c>
      <c r="AN85" s="16">
        <v>0.24349853526121321</v>
      </c>
      <c r="AO85" s="16">
        <v>0.6462309917964898</v>
      </c>
      <c r="AP85" s="16">
        <v>0.16568583619274244</v>
      </c>
      <c r="AQ85" s="16">
        <v>0.10234490979297912</v>
      </c>
      <c r="AR85" s="16">
        <v>0.13219340864583684</v>
      </c>
      <c r="AS85" s="28">
        <v>-0.10371060464086622</v>
      </c>
    </row>
    <row r="86" spans="2:45" x14ac:dyDescent="0.35">
      <c r="B86" s="7" t="s">
        <v>14</v>
      </c>
      <c r="C86" s="16">
        <v>-7.6962435764742071E-2</v>
      </c>
      <c r="D86" s="16">
        <v>-0.57281895828842189</v>
      </c>
      <c r="E86" s="16">
        <v>0.46132677984365844</v>
      </c>
      <c r="F86" s="16">
        <v>-0.48808169333013851</v>
      </c>
      <c r="G86" s="16">
        <v>-0.14385827762436368</v>
      </c>
      <c r="H86" s="16">
        <v>0.8033226399199358</v>
      </c>
      <c r="I86" s="16">
        <v>-0.35954098656983347</v>
      </c>
      <c r="J86" s="16">
        <v>0.31055534359481463</v>
      </c>
      <c r="K86" s="16">
        <v>-0.15092274600305119</v>
      </c>
      <c r="L86" s="16">
        <v>0.75767836787530696</v>
      </c>
      <c r="M86" s="16">
        <v>0.38823019643143469</v>
      </c>
      <c r="N86" s="16">
        <v>0.60468849713779071</v>
      </c>
      <c r="O86" s="16">
        <v>-0.41046957508526538</v>
      </c>
      <c r="P86" s="32">
        <v>1</v>
      </c>
      <c r="Q86" s="16">
        <v>0.59848476455892818</v>
      </c>
      <c r="R86" s="16">
        <v>-3.0228547071320284E-2</v>
      </c>
      <c r="S86" s="16">
        <v>-0.26857884999731169</v>
      </c>
      <c r="T86" s="16">
        <v>-0.4200296078049226</v>
      </c>
      <c r="U86" s="16">
        <v>0.17519357818653561</v>
      </c>
      <c r="V86" s="16">
        <v>-8.7319227053567913E-2</v>
      </c>
      <c r="W86" s="16">
        <v>0.25037216173609778</v>
      </c>
      <c r="X86" s="16">
        <v>0.41725362154558321</v>
      </c>
      <c r="Y86" s="16">
        <v>-0.10900571802041385</v>
      </c>
      <c r="Z86" s="16">
        <v>2.049823799316992E-2</v>
      </c>
      <c r="AA86" s="16">
        <v>8.2154478813554435E-2</v>
      </c>
      <c r="AB86" s="16">
        <v>-0.27176982664700422</v>
      </c>
      <c r="AC86" s="16">
        <v>-0.12934022820559546</v>
      </c>
      <c r="AD86" s="16">
        <v>-0.16873300192830407</v>
      </c>
      <c r="AE86" s="16">
        <v>-0.30165874169702772</v>
      </c>
      <c r="AF86" s="16">
        <v>-4.8256013876124181E-2</v>
      </c>
      <c r="AG86" s="16">
        <v>-0.20523039729316944</v>
      </c>
      <c r="AH86" s="16">
        <v>-0.18858496445879078</v>
      </c>
      <c r="AI86" s="16">
        <v>-0.1219619098120583</v>
      </c>
      <c r="AJ86" s="16">
        <v>0.25491234935649781</v>
      </c>
      <c r="AK86" s="16">
        <v>0.133955597980386</v>
      </c>
      <c r="AL86" s="16">
        <v>0.16681327719195133</v>
      </c>
      <c r="AM86" s="16">
        <v>0.35876694011187754</v>
      </c>
      <c r="AN86" s="16">
        <v>-1.3504264797304242E-2</v>
      </c>
      <c r="AO86" s="16">
        <v>-0.22805121380517784</v>
      </c>
      <c r="AP86" s="16">
        <v>0.34707948267062277</v>
      </c>
      <c r="AQ86" s="16">
        <v>-9.0772814880758196E-2</v>
      </c>
      <c r="AR86" s="16">
        <v>-0.12438734161201281</v>
      </c>
      <c r="AS86" s="28">
        <v>-1.256997939657103E-2</v>
      </c>
    </row>
    <row r="87" spans="2:45" x14ac:dyDescent="0.35">
      <c r="B87" s="7" t="s">
        <v>15</v>
      </c>
      <c r="C87" s="16">
        <v>-0.16571625723280745</v>
      </c>
      <c r="D87" s="16">
        <v>-0.3997779161881278</v>
      </c>
      <c r="E87" s="16">
        <v>0.29066164702413916</v>
      </c>
      <c r="F87" s="16">
        <v>-0.18930855482896375</v>
      </c>
      <c r="G87" s="16">
        <v>-0.41865563846246207</v>
      </c>
      <c r="H87" s="16">
        <v>0.87881657495902199</v>
      </c>
      <c r="I87" s="16">
        <v>5.9836461292680644E-2</v>
      </c>
      <c r="J87" s="16">
        <v>0.14556590704660427</v>
      </c>
      <c r="K87" s="16">
        <v>1.0131649807703959E-2</v>
      </c>
      <c r="L87" s="16">
        <v>0.53576379185814726</v>
      </c>
      <c r="M87" s="16">
        <v>0.6768167582550848</v>
      </c>
      <c r="N87" s="16">
        <v>0.74580374678459771</v>
      </c>
      <c r="O87" s="16">
        <v>-0.50006178948476931</v>
      </c>
      <c r="P87" s="16">
        <v>0.59848476455892818</v>
      </c>
      <c r="Q87" s="32">
        <v>1</v>
      </c>
      <c r="R87" s="16">
        <v>0.37632185892312564</v>
      </c>
      <c r="S87" s="16">
        <v>0.17491052025695755</v>
      </c>
      <c r="T87" s="16">
        <v>-0.26744553037916924</v>
      </c>
      <c r="U87" s="16">
        <v>-0.16456297587011476</v>
      </c>
      <c r="V87" s="16">
        <v>0.19385037844093697</v>
      </c>
      <c r="W87" s="16">
        <v>-3.3020931537997948E-3</v>
      </c>
      <c r="X87" s="16">
        <v>0.45922365423082734</v>
      </c>
      <c r="Y87" s="16">
        <v>-2.3247269276669483E-2</v>
      </c>
      <c r="Z87" s="16">
        <v>-3.8404701711804407E-2</v>
      </c>
      <c r="AA87" s="16">
        <v>-4.6910301167176961E-2</v>
      </c>
      <c r="AB87" s="16">
        <v>-0.13317440797463859</v>
      </c>
      <c r="AC87" s="16">
        <v>-8.6910520247594186E-2</v>
      </c>
      <c r="AD87" s="16">
        <v>-0.14425289673786393</v>
      </c>
      <c r="AE87" s="16">
        <v>4.9264165293349399E-2</v>
      </c>
      <c r="AF87" s="16">
        <v>-0.26606475959231563</v>
      </c>
      <c r="AG87" s="16">
        <v>-0.18465496169214246</v>
      </c>
      <c r="AH87" s="16">
        <v>-5.7206292468365075E-2</v>
      </c>
      <c r="AI87" s="16">
        <v>-0.23133036463459553</v>
      </c>
      <c r="AJ87" s="16">
        <v>0.44363265129343782</v>
      </c>
      <c r="AK87" s="16">
        <v>0.36535205958010591</v>
      </c>
      <c r="AL87" s="16">
        <v>0.18557960895029652</v>
      </c>
      <c r="AM87" s="16">
        <v>0.10999982742041042</v>
      </c>
      <c r="AN87" s="16">
        <v>-0.1139702365253816</v>
      </c>
      <c r="AO87" s="16">
        <v>-0.36822390047846809</v>
      </c>
      <c r="AP87" s="16">
        <v>0.14013188019278713</v>
      </c>
      <c r="AQ87" s="16">
        <v>-2.1667222540590354E-3</v>
      </c>
      <c r="AR87" s="16">
        <v>-9.0018701746324939E-2</v>
      </c>
      <c r="AS87" s="28">
        <v>0.17917806102268155</v>
      </c>
    </row>
    <row r="88" spans="2:45" x14ac:dyDescent="0.35">
      <c r="B88" s="7" t="s">
        <v>16</v>
      </c>
      <c r="C88" s="16">
        <v>-0.20718247592641845</v>
      </c>
      <c r="D88" s="16">
        <v>0.36157129600122978</v>
      </c>
      <c r="E88" s="16">
        <v>-0.33913514103866327</v>
      </c>
      <c r="F88" s="16">
        <v>0.2408550840084718</v>
      </c>
      <c r="G88" s="16">
        <v>-0.6532485743456371</v>
      </c>
      <c r="H88" s="16">
        <v>0.21129961021091984</v>
      </c>
      <c r="I88" s="16">
        <v>0.55335664186564693</v>
      </c>
      <c r="J88" s="16">
        <v>-0.37344222177156872</v>
      </c>
      <c r="K88" s="16">
        <v>2.0468856095806696E-2</v>
      </c>
      <c r="L88" s="16">
        <v>-0.12009622005971454</v>
      </c>
      <c r="M88" s="16">
        <v>0.42343268124006439</v>
      </c>
      <c r="N88" s="16">
        <v>0.35770051636368494</v>
      </c>
      <c r="O88" s="16">
        <v>0.19382927295521629</v>
      </c>
      <c r="P88" s="16">
        <v>-3.0228547071320284E-2</v>
      </c>
      <c r="Q88" s="16">
        <v>0.37632185892312564</v>
      </c>
      <c r="R88" s="32">
        <v>1</v>
      </c>
      <c r="S88" s="16">
        <v>0.57190334206009652</v>
      </c>
      <c r="T88" s="16">
        <v>0.29725309108665504</v>
      </c>
      <c r="U88" s="16">
        <v>-0.24332258529570081</v>
      </c>
      <c r="V88" s="16">
        <v>0.15077100251631195</v>
      </c>
      <c r="W88" s="16">
        <v>-0.62630251838020146</v>
      </c>
      <c r="X88" s="16">
        <v>0.21009211101511835</v>
      </c>
      <c r="Y88" s="16">
        <v>-0.15870092407136829</v>
      </c>
      <c r="Z88" s="16">
        <v>-0.11286874427222654</v>
      </c>
      <c r="AA88" s="16">
        <v>0.18744523540983965</v>
      </c>
      <c r="AB88" s="16">
        <v>0.21302196663762801</v>
      </c>
      <c r="AC88" s="16">
        <v>3.1351456706841835E-2</v>
      </c>
      <c r="AD88" s="16">
        <v>-2.0388258143018409E-2</v>
      </c>
      <c r="AE88" s="16">
        <v>0.23222038627484773</v>
      </c>
      <c r="AF88" s="16">
        <v>-0.55588569801077903</v>
      </c>
      <c r="AG88" s="16">
        <v>5.8723178501355132E-2</v>
      </c>
      <c r="AH88" s="16">
        <v>-9.1840653962254135E-3</v>
      </c>
      <c r="AI88" s="16">
        <v>8.3132775749038185E-2</v>
      </c>
      <c r="AJ88" s="16">
        <v>0.3860577305927419</v>
      </c>
      <c r="AK88" s="16">
        <v>0.16674010747966836</v>
      </c>
      <c r="AL88" s="16">
        <v>-5.6659209102179413E-2</v>
      </c>
      <c r="AM88" s="16">
        <v>-0.22772527077820129</v>
      </c>
      <c r="AN88" s="16">
        <v>-2.3007892649361879E-2</v>
      </c>
      <c r="AO88" s="16">
        <v>4.5341519006117503E-3</v>
      </c>
      <c r="AP88" s="16">
        <v>1.9356004437019125E-2</v>
      </c>
      <c r="AQ88" s="16">
        <v>-0.14542097106845117</v>
      </c>
      <c r="AR88" s="16">
        <v>-7.8381891731565359E-2</v>
      </c>
      <c r="AS88" s="28">
        <v>0.31734320149223372</v>
      </c>
    </row>
    <row r="89" spans="2:45" x14ac:dyDescent="0.35">
      <c r="B89" s="7" t="s">
        <v>17</v>
      </c>
      <c r="C89" s="16">
        <v>-0.19330941630973569</v>
      </c>
      <c r="D89" s="16">
        <v>0.44165443184762082</v>
      </c>
      <c r="E89" s="16">
        <v>-0.36392274117020124</v>
      </c>
      <c r="F89" s="16">
        <v>0.71710128616210511</v>
      </c>
      <c r="G89" s="16">
        <v>-0.61183769978948421</v>
      </c>
      <c r="H89" s="16">
        <v>-3.9120720587301344E-2</v>
      </c>
      <c r="I89" s="16">
        <v>0.95015101166481464</v>
      </c>
      <c r="J89" s="16">
        <v>-0.30586947852219093</v>
      </c>
      <c r="K89" s="16">
        <v>8.75770578283801E-2</v>
      </c>
      <c r="L89" s="16">
        <v>-1.9354532345923697E-2</v>
      </c>
      <c r="M89" s="16">
        <v>0.49455923212365949</v>
      </c>
      <c r="N89" s="16">
        <v>0.3549819895516671</v>
      </c>
      <c r="O89" s="16">
        <v>0.27413520966570198</v>
      </c>
      <c r="P89" s="16">
        <v>-0.26857884999731169</v>
      </c>
      <c r="Q89" s="16">
        <v>0.17491052025695755</v>
      </c>
      <c r="R89" s="16">
        <v>0.57190334206009652</v>
      </c>
      <c r="S89" s="32">
        <v>1</v>
      </c>
      <c r="T89" s="16">
        <v>0.6257802148352426</v>
      </c>
      <c r="U89" s="16">
        <v>-0.36357126211168767</v>
      </c>
      <c r="V89" s="16">
        <v>0.43397963870988765</v>
      </c>
      <c r="W89" s="16">
        <v>-0.58819526854271131</v>
      </c>
      <c r="X89" s="16">
        <v>-2.3128531512298739E-2</v>
      </c>
      <c r="Y89" s="16">
        <v>-4.2914177678232239E-2</v>
      </c>
      <c r="Z89" s="16">
        <v>-0.13078220561636875</v>
      </c>
      <c r="AA89" s="16">
        <v>-5.2107029227974416E-2</v>
      </c>
      <c r="AB89" s="16">
        <v>0.51721278708771101</v>
      </c>
      <c r="AC89" s="16">
        <v>9.7933650501564606E-2</v>
      </c>
      <c r="AD89" s="16">
        <v>-5.3633121563797778E-2</v>
      </c>
      <c r="AE89" s="16">
        <v>0.29338525615073802</v>
      </c>
      <c r="AF89" s="16">
        <v>-0.48117191704822854</v>
      </c>
      <c r="AG89" s="16">
        <v>0.21141227897127141</v>
      </c>
      <c r="AH89" s="16">
        <v>0.22177718489987278</v>
      </c>
      <c r="AI89" s="16">
        <v>0.11541270997451303</v>
      </c>
      <c r="AJ89" s="16">
        <v>0.28718866786532943</v>
      </c>
      <c r="AK89" s="16">
        <v>-0.10742840871528789</v>
      </c>
      <c r="AL89" s="16">
        <v>-0.16409329004473255</v>
      </c>
      <c r="AM89" s="16">
        <v>-8.9738880164709003E-2</v>
      </c>
      <c r="AN89" s="16">
        <v>-6.5940170731191947E-2</v>
      </c>
      <c r="AO89" s="16">
        <v>-0.12677504455693422</v>
      </c>
      <c r="AP89" s="16">
        <v>3.8887095608876134E-2</v>
      </c>
      <c r="AQ89" s="16">
        <v>-3.359420290302547E-2</v>
      </c>
      <c r="AR89" s="16">
        <v>-4.989905558906306E-2</v>
      </c>
      <c r="AS89" s="28">
        <v>0.52206044132655083</v>
      </c>
    </row>
    <row r="90" spans="2:45" x14ac:dyDescent="0.35">
      <c r="B90" s="7" t="s">
        <v>18</v>
      </c>
      <c r="C90" s="16">
        <v>-9.8773627146229892E-2</v>
      </c>
      <c r="D90" s="16">
        <v>0.4655283021805649</v>
      </c>
      <c r="E90" s="16">
        <v>-0.33711329552508629</v>
      </c>
      <c r="F90" s="16">
        <v>0.58754738763118852</v>
      </c>
      <c r="G90" s="16">
        <v>-0.31553738905352674</v>
      </c>
      <c r="H90" s="16">
        <v>-0.37566733587609868</v>
      </c>
      <c r="I90" s="16">
        <v>0.63533019797669898</v>
      </c>
      <c r="J90" s="16">
        <v>-0.23359085661577686</v>
      </c>
      <c r="K90" s="16">
        <v>7.7194257375140782E-2</v>
      </c>
      <c r="L90" s="16">
        <v>-0.1773376585074517</v>
      </c>
      <c r="M90" s="16">
        <v>6.7448204167362101E-3</v>
      </c>
      <c r="N90" s="16">
        <v>-0.10749225188726447</v>
      </c>
      <c r="O90" s="16">
        <v>0.46220924199945662</v>
      </c>
      <c r="P90" s="16">
        <v>-0.4200296078049226</v>
      </c>
      <c r="Q90" s="16">
        <v>-0.26744553037916924</v>
      </c>
      <c r="R90" s="16">
        <v>0.29725309108665504</v>
      </c>
      <c r="S90" s="16">
        <v>0.6257802148352426</v>
      </c>
      <c r="T90" s="32">
        <v>1</v>
      </c>
      <c r="U90" s="16">
        <v>-0.18387836991956402</v>
      </c>
      <c r="V90" s="16">
        <v>0.33352454549278632</v>
      </c>
      <c r="W90" s="16">
        <v>-0.47445406059284018</v>
      </c>
      <c r="X90" s="16">
        <v>-0.33497431116779508</v>
      </c>
      <c r="Y90" s="16">
        <v>1.2476365968724503E-2</v>
      </c>
      <c r="Z90" s="16">
        <v>8.410162149191093E-2</v>
      </c>
      <c r="AA90" s="16">
        <v>8.0887611959079786E-2</v>
      </c>
      <c r="AB90" s="16">
        <v>0.40864020985572019</v>
      </c>
      <c r="AC90" s="16">
        <v>-4.5182462835865932E-2</v>
      </c>
      <c r="AD90" s="16">
        <v>-8.6820431385949706E-2</v>
      </c>
      <c r="AE90" s="16">
        <v>0.2359207316152338</v>
      </c>
      <c r="AF90" s="16">
        <v>-0.31767637646975488</v>
      </c>
      <c r="AG90" s="16">
        <v>0.41902698357295026</v>
      </c>
      <c r="AH90" s="16">
        <v>0.22534145546136367</v>
      </c>
      <c r="AI90" s="16">
        <v>0.25245605018210204</v>
      </c>
      <c r="AJ90" s="16">
        <v>4.9596230590546554E-2</v>
      </c>
      <c r="AK90" s="16">
        <v>-0.31789474257408196</v>
      </c>
      <c r="AL90" s="16">
        <v>-0.26931701563686733</v>
      </c>
      <c r="AM90" s="16">
        <v>-6.5248284448198232E-2</v>
      </c>
      <c r="AN90" s="16">
        <v>-2.2408434776949565E-2</v>
      </c>
      <c r="AO90" s="16">
        <v>5.5041151684572173E-3</v>
      </c>
      <c r="AP90" s="16">
        <v>-7.9396083694041497E-2</v>
      </c>
      <c r="AQ90" s="16">
        <v>2.8471432774067742E-2</v>
      </c>
      <c r="AR90" s="16">
        <v>-6.7934288167447385E-2</v>
      </c>
      <c r="AS90" s="28">
        <v>0.4904095403149159</v>
      </c>
    </row>
    <row r="91" spans="2:45" x14ac:dyDescent="0.35">
      <c r="B91" s="7" t="s">
        <v>19</v>
      </c>
      <c r="C91" s="16">
        <v>-0.12928342807387705</v>
      </c>
      <c r="D91" s="16">
        <v>-9.2526449409698272E-2</v>
      </c>
      <c r="E91" s="16">
        <v>2.0045691113232708E-3</v>
      </c>
      <c r="F91" s="16">
        <v>-0.43866829521951362</v>
      </c>
      <c r="G91" s="16">
        <v>-7.8355419249186761E-3</v>
      </c>
      <c r="H91" s="16">
        <v>5.9996848183382828E-2</v>
      </c>
      <c r="I91" s="16">
        <v>-0.28582357061899433</v>
      </c>
      <c r="J91" s="16">
        <v>0.39805494044798068</v>
      </c>
      <c r="K91" s="16">
        <v>-0.22085652331173578</v>
      </c>
      <c r="L91" s="16">
        <v>4.2630202578462305E-2</v>
      </c>
      <c r="M91" s="16">
        <v>-0.31389409703042459</v>
      </c>
      <c r="N91" s="16">
        <v>-0.22419440985180528</v>
      </c>
      <c r="O91" s="16">
        <v>0.36055259232878822</v>
      </c>
      <c r="P91" s="16">
        <v>0.17519357818653561</v>
      </c>
      <c r="Q91" s="16">
        <v>-0.16456297587011476</v>
      </c>
      <c r="R91" s="16">
        <v>-0.24332258529570081</v>
      </c>
      <c r="S91" s="16">
        <v>-0.36357126211168767</v>
      </c>
      <c r="T91" s="16">
        <v>-0.18387836991956402</v>
      </c>
      <c r="U91" s="32">
        <v>1</v>
      </c>
      <c r="V91" s="16">
        <v>-0.38045723651880042</v>
      </c>
      <c r="W91" s="16">
        <v>8.0015477792994241E-2</v>
      </c>
      <c r="X91" s="16">
        <v>-3.8772020966542323E-2</v>
      </c>
      <c r="Y91" s="16">
        <v>0.15441861976236068</v>
      </c>
      <c r="Z91" s="16">
        <v>-4.6430825301208602E-2</v>
      </c>
      <c r="AA91" s="16">
        <v>0.27861817190912452</v>
      </c>
      <c r="AB91" s="16">
        <v>-0.37470146018519257</v>
      </c>
      <c r="AC91" s="16">
        <v>-2.7674559578367914E-2</v>
      </c>
      <c r="AD91" s="16">
        <v>0.20563897195651537</v>
      </c>
      <c r="AE91" s="16">
        <v>-0.19737088629553765</v>
      </c>
      <c r="AF91" s="16">
        <v>-0.13770452564446534</v>
      </c>
      <c r="AG91" s="16">
        <v>-4.9650912398654892E-2</v>
      </c>
      <c r="AH91" s="16">
        <v>-0.28167662525094139</v>
      </c>
      <c r="AI91" s="16">
        <v>-0.12839978542813874</v>
      </c>
      <c r="AJ91" s="16">
        <v>-0.16192573277148345</v>
      </c>
      <c r="AK91" s="16">
        <v>-9.0208115885796858E-2</v>
      </c>
      <c r="AL91" s="16">
        <v>9.9458444092249687E-2</v>
      </c>
      <c r="AM91" s="16">
        <v>0.10742296372153777</v>
      </c>
      <c r="AN91" s="16">
        <v>0.21080447694658544</v>
      </c>
      <c r="AO91" s="16">
        <v>0.36060253472231218</v>
      </c>
      <c r="AP91" s="16">
        <v>0.29735357242312488</v>
      </c>
      <c r="AQ91" s="16">
        <v>0.14102460420925042</v>
      </c>
      <c r="AR91" s="16">
        <v>0.12566640258486475</v>
      </c>
      <c r="AS91" s="28">
        <v>-0.35777614832459104</v>
      </c>
    </row>
    <row r="92" spans="2:45" x14ac:dyDescent="0.35">
      <c r="B92" s="7" t="s">
        <v>20</v>
      </c>
      <c r="C92" s="16">
        <v>0.21935208171626827</v>
      </c>
      <c r="D92" s="16">
        <v>-8.362838283985706E-2</v>
      </c>
      <c r="E92" s="16">
        <v>0.18069487672991683</v>
      </c>
      <c r="F92" s="16">
        <v>0.37006793697406842</v>
      </c>
      <c r="G92" s="16">
        <v>-3.3423730522841061E-2</v>
      </c>
      <c r="H92" s="16">
        <v>6.0037405431988669E-2</v>
      </c>
      <c r="I92" s="16">
        <v>0.39810886963045083</v>
      </c>
      <c r="J92" s="16">
        <v>-0.14256918813185088</v>
      </c>
      <c r="K92" s="16">
        <v>0.36801605265282211</v>
      </c>
      <c r="L92" s="16">
        <v>0.11473090719541139</v>
      </c>
      <c r="M92" s="16">
        <v>0.43322798643481558</v>
      </c>
      <c r="N92" s="16">
        <v>0.35067303731297161</v>
      </c>
      <c r="O92" s="16">
        <v>-0.24462448105673845</v>
      </c>
      <c r="P92" s="16">
        <v>-8.7319227053567913E-2</v>
      </c>
      <c r="Q92" s="16">
        <v>0.19385037844093697</v>
      </c>
      <c r="R92" s="16">
        <v>0.15077100251631195</v>
      </c>
      <c r="S92" s="16">
        <v>0.43397963870988765</v>
      </c>
      <c r="T92" s="16">
        <v>0.33352454549278632</v>
      </c>
      <c r="U92" s="16">
        <v>-0.38045723651880042</v>
      </c>
      <c r="V92" s="32">
        <v>1</v>
      </c>
      <c r="W92" s="16">
        <v>-0.14247534950523058</v>
      </c>
      <c r="X92" s="16">
        <v>-0.15610223499358455</v>
      </c>
      <c r="Y92" s="16">
        <v>-4.993825741114067E-2</v>
      </c>
      <c r="Z92" s="16">
        <v>6.4620796138124229E-2</v>
      </c>
      <c r="AA92" s="16">
        <v>-9.0221778986786655E-2</v>
      </c>
      <c r="AB92" s="16">
        <v>0.32662853945447878</v>
      </c>
      <c r="AC92" s="16">
        <v>-0.11991114649335556</v>
      </c>
      <c r="AD92" s="16">
        <v>-0.20152145809749106</v>
      </c>
      <c r="AE92" s="16">
        <v>0.14391434645131995</v>
      </c>
      <c r="AF92" s="16">
        <v>3.584602375437547E-2</v>
      </c>
      <c r="AG92" s="16">
        <v>1.7815760275241593E-2</v>
      </c>
      <c r="AH92" s="16">
        <v>0.22951494719766186</v>
      </c>
      <c r="AI92" s="16">
        <v>-7.7441383513703374E-2</v>
      </c>
      <c r="AJ92" s="16">
        <v>0.17770798839790736</v>
      </c>
      <c r="AK92" s="16">
        <v>0.20551119597872247</v>
      </c>
      <c r="AL92" s="16">
        <v>-0.23904310907336657</v>
      </c>
      <c r="AM92" s="16">
        <v>-0.1023656776089812</v>
      </c>
      <c r="AN92" s="16">
        <v>-0.16358183831823289</v>
      </c>
      <c r="AO92" s="16">
        <v>-0.38175341960778914</v>
      </c>
      <c r="AP92" s="16">
        <v>-1.6886662327248701E-2</v>
      </c>
      <c r="AQ92" s="16">
        <v>-2.7879578161544856E-2</v>
      </c>
      <c r="AR92" s="16">
        <v>-0.12938842328433497</v>
      </c>
      <c r="AS92" s="28">
        <v>0.33823498537172858</v>
      </c>
    </row>
    <row r="93" spans="2:45" x14ac:dyDescent="0.35">
      <c r="B93" s="7" t="s">
        <v>72</v>
      </c>
      <c r="C93" s="16">
        <v>0.29590727866611616</v>
      </c>
      <c r="D93" s="16">
        <v>-0.50570508200328135</v>
      </c>
      <c r="E93" s="16">
        <v>0.56648918777684298</v>
      </c>
      <c r="F93" s="16">
        <v>-0.30710588930624555</v>
      </c>
      <c r="G93" s="16">
        <v>0.53470181082383172</v>
      </c>
      <c r="H93" s="16">
        <v>0.12455144406292322</v>
      </c>
      <c r="I93" s="16">
        <v>-0.64295070365168716</v>
      </c>
      <c r="J93" s="16">
        <v>0.26578049393644015</v>
      </c>
      <c r="K93" s="16">
        <v>3.1757144666822765E-2</v>
      </c>
      <c r="L93" s="16">
        <v>0.17920838495678562</v>
      </c>
      <c r="M93" s="16">
        <v>-0.17054465177467112</v>
      </c>
      <c r="N93" s="16">
        <v>-7.9983401350640776E-2</v>
      </c>
      <c r="O93" s="16">
        <v>-0.49309856961350007</v>
      </c>
      <c r="P93" s="16">
        <v>0.25037216173609778</v>
      </c>
      <c r="Q93" s="16">
        <v>-3.3020931537997948E-3</v>
      </c>
      <c r="R93" s="16">
        <v>-0.62630251838020146</v>
      </c>
      <c r="S93" s="16">
        <v>-0.58819526854271131</v>
      </c>
      <c r="T93" s="16">
        <v>-0.47445406059284018</v>
      </c>
      <c r="U93" s="16">
        <v>8.0015477792994241E-2</v>
      </c>
      <c r="V93" s="16">
        <v>-0.14247534950523058</v>
      </c>
      <c r="W93" s="32">
        <v>1</v>
      </c>
      <c r="X93" s="16">
        <v>-0.11134533769223506</v>
      </c>
      <c r="Y93" s="16">
        <v>-6.6114117205318623E-2</v>
      </c>
      <c r="Z93" s="16">
        <v>-4.6547796939953076E-2</v>
      </c>
      <c r="AA93" s="16">
        <v>-0.43308757722780006</v>
      </c>
      <c r="AB93" s="16">
        <v>-0.25801223542525409</v>
      </c>
      <c r="AC93" s="16">
        <v>-3.2843555452258429E-2</v>
      </c>
      <c r="AD93" s="16">
        <v>-6.6114117205318845E-2</v>
      </c>
      <c r="AE93" s="16">
        <v>-0.13581879412063433</v>
      </c>
      <c r="AF93" s="16">
        <v>0.45982100101894141</v>
      </c>
      <c r="AG93" s="16">
        <v>-2.8848034465704924E-2</v>
      </c>
      <c r="AH93" s="16">
        <v>-0.14062511722192236</v>
      </c>
      <c r="AI93" s="16">
        <v>-0.10592637655375969</v>
      </c>
      <c r="AJ93" s="16">
        <v>-0.19225324077270162</v>
      </c>
      <c r="AK93" s="16">
        <v>9.7394997609018638E-2</v>
      </c>
      <c r="AL93" s="16">
        <v>0.32357881185331255</v>
      </c>
      <c r="AM93" s="16">
        <v>0.227314171407757</v>
      </c>
      <c r="AN93" s="16">
        <v>-0.11655804687648384</v>
      </c>
      <c r="AO93" s="16">
        <v>-0.17724873003625541</v>
      </c>
      <c r="AP93" s="16">
        <v>-1.0553039742590949E-2</v>
      </c>
      <c r="AQ93" s="16">
        <v>-5.7132438803019492E-2</v>
      </c>
      <c r="AR93" s="16">
        <v>-5.7132438803019686E-2</v>
      </c>
      <c r="AS93" s="28">
        <v>-0.17624969462175097</v>
      </c>
    </row>
    <row r="94" spans="2:45" x14ac:dyDescent="0.35">
      <c r="B94" s="7" t="s">
        <v>73</v>
      </c>
      <c r="C94" s="16">
        <v>-8.6397757153775748E-2</v>
      </c>
      <c r="D94" s="16">
        <v>-0.18387162839443302</v>
      </c>
      <c r="E94" s="16">
        <v>0.11655474751015217</v>
      </c>
      <c r="F94" s="16">
        <v>-0.16463018100755544</v>
      </c>
      <c r="G94" s="16">
        <v>-0.125612968033775</v>
      </c>
      <c r="H94" s="16">
        <v>0.38812910094712044</v>
      </c>
      <c r="I94" s="16">
        <v>-8.6141601251271682E-2</v>
      </c>
      <c r="J94" s="16">
        <v>0.16152951575343141</v>
      </c>
      <c r="K94" s="16">
        <v>-7.216566459527704E-2</v>
      </c>
      <c r="L94" s="16">
        <v>0.30304594703744397</v>
      </c>
      <c r="M94" s="16">
        <v>0.30964495003039105</v>
      </c>
      <c r="N94" s="16">
        <v>0.37989214347295541</v>
      </c>
      <c r="O94" s="16">
        <v>-0.24281091033745819</v>
      </c>
      <c r="P94" s="16">
        <v>0.41725362154558321</v>
      </c>
      <c r="Q94" s="16">
        <v>0.45922365423082734</v>
      </c>
      <c r="R94" s="16">
        <v>0.21009211101511835</v>
      </c>
      <c r="S94" s="16">
        <v>-2.3128531512298739E-2</v>
      </c>
      <c r="T94" s="16">
        <v>-0.33497431116779508</v>
      </c>
      <c r="U94" s="16">
        <v>-3.8772020966542323E-2</v>
      </c>
      <c r="V94" s="16">
        <v>-0.15610223499358455</v>
      </c>
      <c r="W94" s="16">
        <v>-0.11134533769223506</v>
      </c>
      <c r="X94" s="32">
        <v>1</v>
      </c>
      <c r="Y94" s="16">
        <v>-2.9289367193748809E-2</v>
      </c>
      <c r="Z94" s="16">
        <v>-2.0621246630283523E-2</v>
      </c>
      <c r="AA94" s="16">
        <v>-0.19186312413554674</v>
      </c>
      <c r="AB94" s="16">
        <v>-0.11430259410984443</v>
      </c>
      <c r="AC94" s="16">
        <v>-1.4550099074937997E-2</v>
      </c>
      <c r="AD94" s="16">
        <v>-2.9289367193748909E-2</v>
      </c>
      <c r="AE94" s="16">
        <v>-6.0169396506611871E-2</v>
      </c>
      <c r="AF94" s="16">
        <v>-7.1546323354040847E-2</v>
      </c>
      <c r="AG94" s="16">
        <v>-7.5082700507099073E-2</v>
      </c>
      <c r="AH94" s="16">
        <v>-0.10986108965910435</v>
      </c>
      <c r="AI94" s="16">
        <v>-4.6926687816937242E-2</v>
      </c>
      <c r="AJ94" s="16">
        <v>0.27719142823612192</v>
      </c>
      <c r="AK94" s="16">
        <v>0.12118842789152712</v>
      </c>
      <c r="AL94" s="16">
        <v>-3.6028992075859433E-2</v>
      </c>
      <c r="AM94" s="16">
        <v>-2.5310373177627424E-2</v>
      </c>
      <c r="AN94" s="16">
        <v>-5.1636648550407858E-2</v>
      </c>
      <c r="AO94" s="16">
        <v>-7.8523367748150094E-2</v>
      </c>
      <c r="AP94" s="16">
        <v>4.6066041581736675E-2</v>
      </c>
      <c r="AQ94" s="16">
        <v>-2.5310373177627479E-2</v>
      </c>
      <c r="AR94" s="16">
        <v>-2.5310373177627573E-2</v>
      </c>
      <c r="AS94" s="28">
        <v>2.6366893850810584E-2</v>
      </c>
    </row>
    <row r="95" spans="2:45" x14ac:dyDescent="0.35">
      <c r="B95" s="7" t="s">
        <v>74</v>
      </c>
      <c r="C95" s="16">
        <v>-4.2338356552468905E-2</v>
      </c>
      <c r="D95" s="16">
        <v>-0.14144640034333975</v>
      </c>
      <c r="E95" s="16">
        <v>8.724447842642144E-2</v>
      </c>
      <c r="F95" s="16">
        <v>-9.5454183758747105E-2</v>
      </c>
      <c r="G95" s="16">
        <v>-2.5692386142642475E-2</v>
      </c>
      <c r="H95" s="16">
        <v>-3.0584900836391201E-2</v>
      </c>
      <c r="I95" s="16">
        <v>-9.0641099343100762E-3</v>
      </c>
      <c r="J95" s="16">
        <v>0.20245962026249262</v>
      </c>
      <c r="K95" s="16">
        <v>-4.2987371434762237E-2</v>
      </c>
      <c r="L95" s="16">
        <v>-1.1324165389132584E-3</v>
      </c>
      <c r="M95" s="16">
        <v>-0.12298428230308114</v>
      </c>
      <c r="N95" s="16">
        <v>-0.13577643792530456</v>
      </c>
      <c r="O95" s="16">
        <v>0.1233340495718131</v>
      </c>
      <c r="P95" s="16">
        <v>-0.10900571802041385</v>
      </c>
      <c r="Q95" s="16">
        <v>-2.3247269276669483E-2</v>
      </c>
      <c r="R95" s="16">
        <v>-0.15870092407136829</v>
      </c>
      <c r="S95" s="16">
        <v>-4.2914177678232239E-2</v>
      </c>
      <c r="T95" s="16">
        <v>1.2476365968724503E-2</v>
      </c>
      <c r="U95" s="16">
        <v>0.15441861976236068</v>
      </c>
      <c r="V95" s="16">
        <v>-4.993825741114067E-2</v>
      </c>
      <c r="W95" s="16">
        <v>-6.6114117205318623E-2</v>
      </c>
      <c r="X95" s="16">
        <v>-2.9289367193748809E-2</v>
      </c>
      <c r="Y95" s="32">
        <v>1</v>
      </c>
      <c r="Z95" s="16">
        <v>-1.2244387999457667E-2</v>
      </c>
      <c r="AA95" s="16">
        <v>-0.11392359428230189</v>
      </c>
      <c r="AB95" s="16">
        <v>-6.7870063178920581E-2</v>
      </c>
      <c r="AC95" s="16">
        <v>-8.6394902160015809E-3</v>
      </c>
      <c r="AD95" s="16">
        <v>-1.7391304347826146E-2</v>
      </c>
      <c r="AE95" s="16">
        <v>-3.5727104657107309E-2</v>
      </c>
      <c r="AF95" s="16">
        <v>-4.248244341324188E-2</v>
      </c>
      <c r="AG95" s="16">
        <v>-4.4582257006028213E-2</v>
      </c>
      <c r="AH95" s="16">
        <v>-6.5232807305344448E-2</v>
      </c>
      <c r="AI95" s="16">
        <v>-2.786391062876753E-2</v>
      </c>
      <c r="AJ95" s="16">
        <v>-5.0572173742417327E-2</v>
      </c>
      <c r="AK95" s="16">
        <v>-5.8067060335504336E-2</v>
      </c>
      <c r="AL95" s="16">
        <v>-2.1393127492027941E-2</v>
      </c>
      <c r="AM95" s="16">
        <v>-1.5028675770882542E-2</v>
      </c>
      <c r="AN95" s="16">
        <v>-3.0660569226416884E-2</v>
      </c>
      <c r="AO95" s="16">
        <v>-4.6625240412015843E-2</v>
      </c>
      <c r="AP95" s="16">
        <v>-2.9289367193748812E-2</v>
      </c>
      <c r="AQ95" s="16">
        <v>0.86414885682574449</v>
      </c>
      <c r="AR95" s="16">
        <v>0.27803050176132715</v>
      </c>
      <c r="AS95" s="28">
        <v>-9.3647786443863928E-2</v>
      </c>
    </row>
    <row r="96" spans="2:45" x14ac:dyDescent="0.35">
      <c r="B96" s="7" t="s">
        <v>75</v>
      </c>
      <c r="C96" s="16">
        <v>-3.887359609983719E-2</v>
      </c>
      <c r="D96" s="16">
        <v>-5.4092104573171089E-2</v>
      </c>
      <c r="E96" s="16">
        <v>-4.5847981747570307E-2</v>
      </c>
      <c r="F96" s="16">
        <v>-5.0374523470844854E-2</v>
      </c>
      <c r="G96" s="16">
        <v>9.7336311692325844E-2</v>
      </c>
      <c r="H96" s="16">
        <v>-9.0467051880915566E-3</v>
      </c>
      <c r="I96" s="16">
        <v>-0.12854514857536722</v>
      </c>
      <c r="J96" s="16">
        <v>0.30380607863969472</v>
      </c>
      <c r="K96" s="16">
        <v>-3.0265358158131486E-2</v>
      </c>
      <c r="L96" s="16">
        <v>3.5802450346588396E-2</v>
      </c>
      <c r="M96" s="16">
        <v>-9.5577890287740608E-2</v>
      </c>
      <c r="N96" s="16">
        <v>-7.7093961676390724E-2</v>
      </c>
      <c r="O96" s="16">
        <v>-5.7465255089702294E-2</v>
      </c>
      <c r="P96" s="16">
        <v>2.049823799316992E-2</v>
      </c>
      <c r="Q96" s="16">
        <v>-3.8404701711804407E-2</v>
      </c>
      <c r="R96" s="16">
        <v>-0.11286874427222654</v>
      </c>
      <c r="S96" s="16">
        <v>-0.13078220561636875</v>
      </c>
      <c r="T96" s="16">
        <v>8.410162149191093E-2</v>
      </c>
      <c r="U96" s="16">
        <v>-4.6430825301208602E-2</v>
      </c>
      <c r="V96" s="16">
        <v>6.4620796138124229E-2</v>
      </c>
      <c r="W96" s="16">
        <v>-4.6547796939953076E-2</v>
      </c>
      <c r="X96" s="16">
        <v>-2.0621246630283523E-2</v>
      </c>
      <c r="Y96" s="16">
        <v>-1.2244387999457667E-2</v>
      </c>
      <c r="Z96" s="32">
        <v>1</v>
      </c>
      <c r="AA96" s="16">
        <v>-8.0208169714404046E-2</v>
      </c>
      <c r="AB96" s="16">
        <v>-4.778407475884832E-2</v>
      </c>
      <c r="AC96" s="16">
        <v>-6.0826530435288502E-3</v>
      </c>
      <c r="AD96" s="16">
        <v>-1.224438799945772E-2</v>
      </c>
      <c r="AE96" s="16">
        <v>-2.5153750562333967E-2</v>
      </c>
      <c r="AF96" s="16">
        <v>0.12915622407864308</v>
      </c>
      <c r="AG96" s="16">
        <v>-3.1388241028717304E-2</v>
      </c>
      <c r="AH96" s="16">
        <v>7.088780251096824E-2</v>
      </c>
      <c r="AI96" s="16">
        <v>-1.961765064294806E-2</v>
      </c>
      <c r="AJ96" s="16">
        <v>-3.560545574349272E-2</v>
      </c>
      <c r="AK96" s="16">
        <v>-4.0882247962310089E-2</v>
      </c>
      <c r="AL96" s="16">
        <v>-1.5061880828219519E-2</v>
      </c>
      <c r="AM96" s="16">
        <v>-1.0580973892262131E-2</v>
      </c>
      <c r="AN96" s="16">
        <v>-2.1586644588817393E-2</v>
      </c>
      <c r="AO96" s="16">
        <v>-3.2826608214930671E-2</v>
      </c>
      <c r="AP96" s="16">
        <v>-2.0621246630283481E-2</v>
      </c>
      <c r="AQ96" s="16">
        <v>-1.0580973892262143E-2</v>
      </c>
      <c r="AR96" s="16">
        <v>-1.0580973892262147E-2</v>
      </c>
      <c r="AS96" s="28">
        <v>5.9512440577174697E-2</v>
      </c>
    </row>
    <row r="97" spans="2:45" x14ac:dyDescent="0.35">
      <c r="B97" s="7" t="s">
        <v>76</v>
      </c>
      <c r="C97" s="16">
        <v>-9.5314885274903782E-2</v>
      </c>
      <c r="D97" s="16">
        <v>0.11292538251160994</v>
      </c>
      <c r="E97" s="16">
        <v>-0.19957710923105046</v>
      </c>
      <c r="F97" s="16">
        <v>-0.29223432011497286</v>
      </c>
      <c r="G97" s="16">
        <v>-0.13658826129180426</v>
      </c>
      <c r="H97" s="16">
        <v>4.6479808411905903E-2</v>
      </c>
      <c r="I97" s="16">
        <v>3.3108559558604936E-2</v>
      </c>
      <c r="J97" s="16">
        <v>-0.1147805195110926</v>
      </c>
      <c r="K97" s="16">
        <v>-8.0703618296823917E-2</v>
      </c>
      <c r="L97" s="16">
        <v>-7.3971576057195218E-2</v>
      </c>
      <c r="M97" s="16">
        <v>-0.19627660787788737</v>
      </c>
      <c r="N97" s="16">
        <v>-0.14756243527858798</v>
      </c>
      <c r="O97" s="16">
        <v>0.33962781151119198</v>
      </c>
      <c r="P97" s="16">
        <v>8.2154478813554435E-2</v>
      </c>
      <c r="Q97" s="16">
        <v>-4.6910301167176961E-2</v>
      </c>
      <c r="R97" s="16">
        <v>0.18744523540983965</v>
      </c>
      <c r="S97" s="16">
        <v>-5.2107029227974416E-2</v>
      </c>
      <c r="T97" s="16">
        <v>8.0887611959079786E-2</v>
      </c>
      <c r="U97" s="16">
        <v>0.27861817190912452</v>
      </c>
      <c r="V97" s="16">
        <v>-9.0221778986786655E-2</v>
      </c>
      <c r="W97" s="16">
        <v>-0.43308757722780006</v>
      </c>
      <c r="X97" s="16">
        <v>-0.19186312413554674</v>
      </c>
      <c r="Y97" s="16">
        <v>-0.11392359428230189</v>
      </c>
      <c r="Z97" s="16">
        <v>-8.0208169714404046E-2</v>
      </c>
      <c r="AA97" s="32">
        <v>1</v>
      </c>
      <c r="AB97" s="16">
        <v>-0.44459008863680055</v>
      </c>
      <c r="AC97" s="16">
        <v>-5.6593902244986304E-2</v>
      </c>
      <c r="AD97" s="16">
        <v>-0.11392359428230214</v>
      </c>
      <c r="AE97" s="16">
        <v>-0.23403421011066411</v>
      </c>
      <c r="AF97" s="16">
        <v>-0.15988782837388912</v>
      </c>
      <c r="AG97" s="16">
        <v>-6.4248982635702515E-2</v>
      </c>
      <c r="AH97" s="16">
        <v>7.4315558733496117E-3</v>
      </c>
      <c r="AI97" s="16">
        <v>-9.7103576028959152E-2</v>
      </c>
      <c r="AJ97" s="16">
        <v>4.6378978617412758E-3</v>
      </c>
      <c r="AK97" s="16">
        <v>-0.12272081675480419</v>
      </c>
      <c r="AL97" s="16">
        <v>-0.14013796366780246</v>
      </c>
      <c r="AM97" s="16">
        <v>-9.8446943764531072E-2</v>
      </c>
      <c r="AN97" s="16">
        <v>0.22996790206950907</v>
      </c>
      <c r="AO97" s="16">
        <v>0.3268032636531174</v>
      </c>
      <c r="AP97" s="16">
        <v>0.13465302893876518</v>
      </c>
      <c r="AQ97" s="16">
        <v>-9.8446943764531114E-2</v>
      </c>
      <c r="AR97" s="16">
        <v>-9.8446943764531267E-2</v>
      </c>
      <c r="AS97" s="28">
        <v>-0.15184162919459546</v>
      </c>
    </row>
    <row r="98" spans="2:45" x14ac:dyDescent="0.35">
      <c r="B98" s="7" t="s">
        <v>77</v>
      </c>
      <c r="C98" s="16">
        <v>-5.3466260156459139E-2</v>
      </c>
      <c r="D98" s="16">
        <v>0.29026412561422799</v>
      </c>
      <c r="E98" s="16">
        <v>-0.24945032835343531</v>
      </c>
      <c r="F98" s="16">
        <v>0.60027693365815993</v>
      </c>
      <c r="G98" s="16">
        <v>-0.22965127764999285</v>
      </c>
      <c r="H98" s="16">
        <v>-0.19933937080985376</v>
      </c>
      <c r="I98" s="16">
        <v>0.50207012623726088</v>
      </c>
      <c r="J98" s="16">
        <v>-0.27948151551830042</v>
      </c>
      <c r="K98" s="16">
        <v>5.01014251329336E-2</v>
      </c>
      <c r="L98" s="16">
        <v>-0.11492486651097442</v>
      </c>
      <c r="M98" s="16">
        <v>0.25536875625342909</v>
      </c>
      <c r="N98" s="16">
        <v>0.14782554747498372</v>
      </c>
      <c r="O98" s="16">
        <v>4.1370218937189944E-2</v>
      </c>
      <c r="P98" s="16">
        <v>-0.27176982664700422</v>
      </c>
      <c r="Q98" s="16">
        <v>-0.13317440797463859</v>
      </c>
      <c r="R98" s="16">
        <v>0.21302196663762801</v>
      </c>
      <c r="S98" s="16">
        <v>0.51721278708771101</v>
      </c>
      <c r="T98" s="16">
        <v>0.40864020985572019</v>
      </c>
      <c r="U98" s="16">
        <v>-0.37470146018519257</v>
      </c>
      <c r="V98" s="16">
        <v>0.32662853945447878</v>
      </c>
      <c r="W98" s="16">
        <v>-0.25801223542525409</v>
      </c>
      <c r="X98" s="16">
        <v>-0.11430259410984443</v>
      </c>
      <c r="Y98" s="16">
        <v>-6.7870063178920581E-2</v>
      </c>
      <c r="Z98" s="16">
        <v>-4.778407475884832E-2</v>
      </c>
      <c r="AA98" s="16">
        <v>-0.44459008863680055</v>
      </c>
      <c r="AB98" s="32">
        <v>1</v>
      </c>
      <c r="AC98" s="16">
        <v>-3.3715857940637334E-2</v>
      </c>
      <c r="AD98" s="16">
        <v>-6.7870063178920928E-2</v>
      </c>
      <c r="AE98" s="16">
        <v>-0.13942604889097232</v>
      </c>
      <c r="AF98" s="16">
        <v>-0.16578895181097023</v>
      </c>
      <c r="AG98" s="16">
        <v>0.1029698469373415</v>
      </c>
      <c r="AH98" s="16">
        <v>0.16828465770909579</v>
      </c>
      <c r="AI98" s="16">
        <v>0.30669036307630476</v>
      </c>
      <c r="AJ98" s="16">
        <v>0.11680451684716725</v>
      </c>
      <c r="AK98" s="16">
        <v>-5.573932945013834E-2</v>
      </c>
      <c r="AL98" s="16">
        <v>-8.3487292582521938E-2</v>
      </c>
      <c r="AM98" s="16">
        <v>-5.8649837508755479E-2</v>
      </c>
      <c r="AN98" s="16">
        <v>-7.2036440907311067E-2</v>
      </c>
      <c r="AO98" s="16">
        <v>-0.18195633571851194</v>
      </c>
      <c r="AP98" s="16">
        <v>-0.11430259410984449</v>
      </c>
      <c r="AQ98" s="16">
        <v>-5.8649837508755194E-2</v>
      </c>
      <c r="AR98" s="16">
        <v>-5.8649837508755444E-2</v>
      </c>
      <c r="AS98" s="28">
        <v>0.336612271065034</v>
      </c>
    </row>
    <row r="99" spans="2:45" x14ac:dyDescent="0.35">
      <c r="B99" s="7" t="s">
        <v>78</v>
      </c>
      <c r="C99" s="16">
        <v>-3.1404289800048585E-2</v>
      </c>
      <c r="D99" s="16">
        <v>9.3436593740981649E-2</v>
      </c>
      <c r="E99" s="16">
        <v>-5.3882496375800941E-2</v>
      </c>
      <c r="F99" s="16">
        <v>-2.5657676698286107E-2</v>
      </c>
      <c r="G99" s="16">
        <v>-2.3998104776530153E-3</v>
      </c>
      <c r="H99" s="16">
        <v>-8.4634285864162037E-2</v>
      </c>
      <c r="I99" s="16">
        <v>8.4873086922846952E-2</v>
      </c>
      <c r="J99" s="16">
        <v>-1.6516939003231243E-2</v>
      </c>
      <c r="K99" s="16">
        <v>-2.1354866058029484E-2</v>
      </c>
      <c r="L99" s="16">
        <v>-7.5316117871924756E-2</v>
      </c>
      <c r="M99" s="16">
        <v>-6.8471956350677002E-2</v>
      </c>
      <c r="N99" s="16">
        <v>-9.3930370825236129E-2</v>
      </c>
      <c r="O99" s="16">
        <v>0.15939931784737627</v>
      </c>
      <c r="P99" s="16">
        <v>-0.12934022820559546</v>
      </c>
      <c r="Q99" s="16">
        <v>-8.6910520247594186E-2</v>
      </c>
      <c r="R99" s="16">
        <v>3.1351456706841835E-2</v>
      </c>
      <c r="S99" s="16">
        <v>9.7933650501564606E-2</v>
      </c>
      <c r="T99" s="16">
        <v>-4.5182462835865932E-2</v>
      </c>
      <c r="U99" s="16">
        <v>-2.7674559578367914E-2</v>
      </c>
      <c r="V99" s="16">
        <v>-0.11991114649335556</v>
      </c>
      <c r="W99" s="16">
        <v>-3.2843555452258429E-2</v>
      </c>
      <c r="X99" s="16">
        <v>-1.4550099074937997E-2</v>
      </c>
      <c r="Y99" s="16">
        <v>-8.6394902160015809E-3</v>
      </c>
      <c r="Z99" s="16">
        <v>-6.0826530435288502E-3</v>
      </c>
      <c r="AA99" s="16">
        <v>-5.6593902244986304E-2</v>
      </c>
      <c r="AB99" s="16">
        <v>-3.3715857940637334E-2</v>
      </c>
      <c r="AC99" s="32">
        <v>1</v>
      </c>
      <c r="AD99" s="16">
        <v>-8.6394902160016381E-3</v>
      </c>
      <c r="AE99" s="16">
        <v>-1.774817834004068E-2</v>
      </c>
      <c r="AF99" s="16">
        <v>-2.1104032617681172E-2</v>
      </c>
      <c r="AG99" s="16">
        <v>-2.214715845962368E-2</v>
      </c>
      <c r="AH99" s="16">
        <v>-3.2405746527418226E-2</v>
      </c>
      <c r="AI99" s="16">
        <v>-1.3841974037264683E-2</v>
      </c>
      <c r="AJ99" s="16">
        <v>-2.5122773514348749E-2</v>
      </c>
      <c r="AK99" s="16">
        <v>-2.8846013479332196E-2</v>
      </c>
      <c r="AL99" s="16">
        <v>-1.062747865028031E-2</v>
      </c>
      <c r="AM99" s="16">
        <v>-7.4658055937149425E-3</v>
      </c>
      <c r="AN99" s="16">
        <v>-1.5231272051298315E-2</v>
      </c>
      <c r="AO99" s="16">
        <v>0.18529642184483197</v>
      </c>
      <c r="AP99" s="16">
        <v>-1.4550099074937968E-2</v>
      </c>
      <c r="AQ99" s="16">
        <v>-7.465805593714952E-3</v>
      </c>
      <c r="AR99" s="16">
        <v>-7.4658055937149503E-3</v>
      </c>
      <c r="AS99" s="28">
        <v>-3.9715434863272989E-2</v>
      </c>
    </row>
    <row r="100" spans="2:45" x14ac:dyDescent="0.35">
      <c r="B100" s="7" t="s">
        <v>79</v>
      </c>
      <c r="C100" s="16">
        <v>-5.5183760018851342E-2</v>
      </c>
      <c r="D100" s="16">
        <v>0.12154921015472728</v>
      </c>
      <c r="E100" s="16">
        <v>-0.11618218090750451</v>
      </c>
      <c r="F100" s="16">
        <v>-6.9144904310681182E-2</v>
      </c>
      <c r="G100" s="16">
        <v>-2.5889222733505388E-3</v>
      </c>
      <c r="H100" s="16">
        <v>-0.14897973835366671</v>
      </c>
      <c r="I100" s="16">
        <v>-1.3781310911056048E-2</v>
      </c>
      <c r="J100" s="16">
        <v>3.1495605310892363E-2</v>
      </c>
      <c r="K100" s="16">
        <v>-4.2987371434762327E-2</v>
      </c>
      <c r="L100" s="16">
        <v>-0.12300046002891547</v>
      </c>
      <c r="M100" s="16">
        <v>-0.14588888301631814</v>
      </c>
      <c r="N100" s="16">
        <v>-0.17157534908444588</v>
      </c>
      <c r="O100" s="16">
        <v>0.2379248310106967</v>
      </c>
      <c r="P100" s="16">
        <v>-0.16873300192830407</v>
      </c>
      <c r="Q100" s="16">
        <v>-0.14425289673786393</v>
      </c>
      <c r="R100" s="16">
        <v>-2.0388258143018409E-2</v>
      </c>
      <c r="S100" s="16">
        <v>-5.3633121563797778E-2</v>
      </c>
      <c r="T100" s="16">
        <v>-8.6820431385949706E-2</v>
      </c>
      <c r="U100" s="16">
        <v>0.20563897195651537</v>
      </c>
      <c r="V100" s="16">
        <v>-0.20152145809749106</v>
      </c>
      <c r="W100" s="16">
        <v>-6.6114117205318845E-2</v>
      </c>
      <c r="X100" s="16">
        <v>-2.9289367193748909E-2</v>
      </c>
      <c r="Y100" s="16">
        <v>-1.7391304347826146E-2</v>
      </c>
      <c r="Z100" s="16">
        <v>-1.224438799945772E-2</v>
      </c>
      <c r="AA100" s="16">
        <v>-0.11392359428230214</v>
      </c>
      <c r="AB100" s="16">
        <v>-6.7870063178920928E-2</v>
      </c>
      <c r="AC100" s="16">
        <v>-8.6394902160016381E-3</v>
      </c>
      <c r="AD100" s="32">
        <v>1</v>
      </c>
      <c r="AE100" s="16">
        <v>-3.5727104657107336E-2</v>
      </c>
      <c r="AF100" s="16">
        <v>-4.2482443413241984E-2</v>
      </c>
      <c r="AG100" s="16">
        <v>-4.4582257006028331E-2</v>
      </c>
      <c r="AH100" s="16">
        <v>-6.523280730534467E-2</v>
      </c>
      <c r="AI100" s="16">
        <v>-2.786391062876761E-2</v>
      </c>
      <c r="AJ100" s="16">
        <v>-5.0572173742417376E-2</v>
      </c>
      <c r="AK100" s="16">
        <v>-5.8067060335504524E-2</v>
      </c>
      <c r="AL100" s="16">
        <v>-2.1393127492027996E-2</v>
      </c>
      <c r="AM100" s="16">
        <v>-1.502867577088258E-2</v>
      </c>
      <c r="AN100" s="16">
        <v>-3.0660569226416953E-2</v>
      </c>
      <c r="AO100" s="16">
        <v>0.16318834144205629</v>
      </c>
      <c r="AP100" s="16">
        <v>-2.9289367193748909E-2</v>
      </c>
      <c r="AQ100" s="16">
        <v>-1.5028675770882597E-2</v>
      </c>
      <c r="AR100" s="16">
        <v>0.57108967929353638</v>
      </c>
      <c r="AS100" s="28">
        <v>-0.15531118997505744</v>
      </c>
    </row>
    <row r="101" spans="2:45" x14ac:dyDescent="0.35">
      <c r="B101" s="7" t="s">
        <v>80</v>
      </c>
      <c r="C101" s="16">
        <v>-5.1869326106303085E-2</v>
      </c>
      <c r="D101" s="16">
        <v>0.27346564462085543</v>
      </c>
      <c r="E101" s="16">
        <v>-0.15814800529098488</v>
      </c>
      <c r="F101" s="16">
        <v>0.34016918153776765</v>
      </c>
      <c r="G101" s="16">
        <v>-0.12585028350425276</v>
      </c>
      <c r="H101" s="16">
        <v>-0.17555016556333339</v>
      </c>
      <c r="I101" s="16">
        <v>0.25524061916592433</v>
      </c>
      <c r="J101" s="16">
        <v>-0.1085177745928287</v>
      </c>
      <c r="K101" s="16">
        <v>0.14823369749168552</v>
      </c>
      <c r="L101" s="16">
        <v>-0.13819126338957805</v>
      </c>
      <c r="M101" s="16">
        <v>0.17471802431853842</v>
      </c>
      <c r="N101" s="16">
        <v>6.9543002271275772E-2</v>
      </c>
      <c r="O101" s="16">
        <v>4.8210319301867609E-2</v>
      </c>
      <c r="P101" s="16">
        <v>-0.30165874169702772</v>
      </c>
      <c r="Q101" s="16">
        <v>4.9264165293349399E-2</v>
      </c>
      <c r="R101" s="16">
        <v>0.23222038627484773</v>
      </c>
      <c r="S101" s="16">
        <v>0.29338525615073802</v>
      </c>
      <c r="T101" s="16">
        <v>0.2359207316152338</v>
      </c>
      <c r="U101" s="16">
        <v>-0.19737088629553765</v>
      </c>
      <c r="V101" s="16">
        <v>0.14391434645131995</v>
      </c>
      <c r="W101" s="16">
        <v>-0.13581879412063433</v>
      </c>
      <c r="X101" s="16">
        <v>-6.0169396506611871E-2</v>
      </c>
      <c r="Y101" s="16">
        <v>-3.5727104657107309E-2</v>
      </c>
      <c r="Z101" s="16">
        <v>-2.5153750562333967E-2</v>
      </c>
      <c r="AA101" s="16">
        <v>-0.23403421011066411</v>
      </c>
      <c r="AB101" s="16">
        <v>-0.13942604889097232</v>
      </c>
      <c r="AC101" s="16">
        <v>-1.774817834004068E-2</v>
      </c>
      <c r="AD101" s="16">
        <v>-3.5727104657107336E-2</v>
      </c>
      <c r="AE101" s="32">
        <v>1</v>
      </c>
      <c r="AF101" s="16">
        <v>-8.7272045360085704E-2</v>
      </c>
      <c r="AG101" s="16">
        <v>0.13165445856991262</v>
      </c>
      <c r="AH101" s="16">
        <v>7.9021205532416275E-2</v>
      </c>
      <c r="AI101" s="16">
        <v>-5.7241068943440325E-2</v>
      </c>
      <c r="AJ101" s="16">
        <v>-5.3244059231965499E-2</v>
      </c>
      <c r="AK101" s="16">
        <v>0.15617265574557271</v>
      </c>
      <c r="AL101" s="16">
        <v>-4.3948084028905036E-2</v>
      </c>
      <c r="AM101" s="16">
        <v>-3.0873536647133083E-2</v>
      </c>
      <c r="AN101" s="16">
        <v>-6.2986268521924169E-2</v>
      </c>
      <c r="AO101" s="16">
        <v>-9.5782628522115845E-2</v>
      </c>
      <c r="AP101" s="16">
        <v>-6.0169396506611871E-2</v>
      </c>
      <c r="AQ101" s="16">
        <v>-3.0873536647133156E-2</v>
      </c>
      <c r="AR101" s="16">
        <v>-3.0873536647133142E-2</v>
      </c>
      <c r="AS101" s="28">
        <v>0.12904040693878691</v>
      </c>
    </row>
    <row r="102" spans="2:45" x14ac:dyDescent="0.35">
      <c r="B102" s="7" t="s">
        <v>81</v>
      </c>
      <c r="C102" s="16">
        <v>0.45609274409805545</v>
      </c>
      <c r="D102" s="16">
        <v>-0.28202169026058882</v>
      </c>
      <c r="E102" s="16">
        <v>0.27508595882734144</v>
      </c>
      <c r="F102" s="16">
        <v>-0.20694848519852715</v>
      </c>
      <c r="G102" s="16">
        <v>0.86226226585534138</v>
      </c>
      <c r="H102" s="16">
        <v>-0.26529826569289483</v>
      </c>
      <c r="I102" s="16">
        <v>-0.46525347489577373</v>
      </c>
      <c r="J102" s="16">
        <v>6.5378676730816029E-2</v>
      </c>
      <c r="K102" s="16">
        <v>2.9188358661285923E-2</v>
      </c>
      <c r="L102" s="16">
        <v>-5.2790996182756518E-2</v>
      </c>
      <c r="M102" s="16">
        <v>-0.28198541796156912</v>
      </c>
      <c r="N102" s="16">
        <v>-0.25695419047434814</v>
      </c>
      <c r="O102" s="16">
        <v>-0.36482475296500966</v>
      </c>
      <c r="P102" s="16">
        <v>-4.8256013876124181E-2</v>
      </c>
      <c r="Q102" s="16">
        <v>-0.26606475959231563</v>
      </c>
      <c r="R102" s="16">
        <v>-0.55588569801077903</v>
      </c>
      <c r="S102" s="16">
        <v>-0.48117191704822854</v>
      </c>
      <c r="T102" s="16">
        <v>-0.31767637646975488</v>
      </c>
      <c r="U102" s="16">
        <v>-0.13770452564446534</v>
      </c>
      <c r="V102" s="16">
        <v>3.584602375437547E-2</v>
      </c>
      <c r="W102" s="16">
        <v>0.45982100101894141</v>
      </c>
      <c r="X102" s="16">
        <v>-7.1546323354040847E-2</v>
      </c>
      <c r="Y102" s="16">
        <v>-4.248244341324188E-2</v>
      </c>
      <c r="Z102" s="16">
        <v>0.12915622407864308</v>
      </c>
      <c r="AA102" s="16">
        <v>-0.15988782837388912</v>
      </c>
      <c r="AB102" s="16">
        <v>-0.16578895181097023</v>
      </c>
      <c r="AC102" s="16">
        <v>-2.1104032617681172E-2</v>
      </c>
      <c r="AD102" s="16">
        <v>-4.2482443413241984E-2</v>
      </c>
      <c r="AE102" s="16">
        <v>-8.7272045360085704E-2</v>
      </c>
      <c r="AF102" s="32">
        <v>1</v>
      </c>
      <c r="AG102" s="16">
        <v>-0.10890288460335971</v>
      </c>
      <c r="AH102" s="16">
        <v>-0.15934682008958209</v>
      </c>
      <c r="AI102" s="16">
        <v>-6.8064302877099664E-2</v>
      </c>
      <c r="AJ102" s="16">
        <v>-0.12353469678457107</v>
      </c>
      <c r="AK102" s="16">
        <v>-0.14184275978039121</v>
      </c>
      <c r="AL102" s="16">
        <v>-5.2257858866460109E-2</v>
      </c>
      <c r="AM102" s="16">
        <v>-3.6711154910717567E-2</v>
      </c>
      <c r="AN102" s="16">
        <v>-7.4895814087795276E-2</v>
      </c>
      <c r="AO102" s="16">
        <v>-0.1138933629023553</v>
      </c>
      <c r="AP102" s="16">
        <v>-7.1546323354040847E-2</v>
      </c>
      <c r="AQ102" s="16">
        <v>-3.671115491071765E-2</v>
      </c>
      <c r="AR102" s="16">
        <v>-3.6711154910717532E-2</v>
      </c>
      <c r="AS102" s="28">
        <v>-0.28048218847225881</v>
      </c>
    </row>
    <row r="103" spans="2:45" x14ac:dyDescent="0.35">
      <c r="B103" s="7" t="s">
        <v>82</v>
      </c>
      <c r="C103" s="16">
        <v>-0.12282959887971294</v>
      </c>
      <c r="D103" s="16">
        <v>0.23295023869301459</v>
      </c>
      <c r="E103" s="16">
        <v>-0.15618345458072461</v>
      </c>
      <c r="F103" s="16">
        <v>0.36252745623555666</v>
      </c>
      <c r="G103" s="16">
        <v>-7.6414096979637774E-2</v>
      </c>
      <c r="H103" s="16">
        <v>-0.19512771709598084</v>
      </c>
      <c r="I103" s="16">
        <v>0.17593482669523686</v>
      </c>
      <c r="J103" s="16">
        <v>-2.8815957720111515E-2</v>
      </c>
      <c r="K103" s="16">
        <v>-8.1901811328387683E-2</v>
      </c>
      <c r="L103" s="16">
        <v>-0.14837226749913904</v>
      </c>
      <c r="M103" s="16">
        <v>-0.16354605285196222</v>
      </c>
      <c r="N103" s="16">
        <v>-0.19683014013578895</v>
      </c>
      <c r="O103" s="16">
        <v>0.13843544152327203</v>
      </c>
      <c r="P103" s="16">
        <v>-0.20523039729316944</v>
      </c>
      <c r="Q103" s="16">
        <v>-0.18465496169214246</v>
      </c>
      <c r="R103" s="16">
        <v>5.8723178501355132E-2</v>
      </c>
      <c r="S103" s="16">
        <v>0.21141227897127141</v>
      </c>
      <c r="T103" s="16">
        <v>0.41902698357295026</v>
      </c>
      <c r="U103" s="16">
        <v>-4.9650912398654892E-2</v>
      </c>
      <c r="V103" s="16">
        <v>1.7815760275241593E-2</v>
      </c>
      <c r="W103" s="16">
        <v>-2.8848034465704924E-2</v>
      </c>
      <c r="X103" s="16">
        <v>-7.5082700507099073E-2</v>
      </c>
      <c r="Y103" s="16">
        <v>-4.4582257006028213E-2</v>
      </c>
      <c r="Z103" s="16">
        <v>-3.1388241028717304E-2</v>
      </c>
      <c r="AA103" s="16">
        <v>-6.4248982635702515E-2</v>
      </c>
      <c r="AB103" s="16">
        <v>0.1029698469373415</v>
      </c>
      <c r="AC103" s="16">
        <v>-2.214715845962368E-2</v>
      </c>
      <c r="AD103" s="16">
        <v>-4.4582257006028331E-2</v>
      </c>
      <c r="AE103" s="16">
        <v>0.13165445856991262</v>
      </c>
      <c r="AF103" s="16">
        <v>-0.10890288460335971</v>
      </c>
      <c r="AG103" s="32">
        <v>1</v>
      </c>
      <c r="AH103" s="16">
        <v>-0.16722298237941557</v>
      </c>
      <c r="AI103" s="16">
        <v>-7.1428571428570481E-2</v>
      </c>
      <c r="AJ103" s="16">
        <v>-0.12964074471043366</v>
      </c>
      <c r="AK103" s="16">
        <v>-0.14885373492906462</v>
      </c>
      <c r="AL103" s="16">
        <v>-5.4840849710707767E-2</v>
      </c>
      <c r="AM103" s="16">
        <v>-3.8525706426470512E-2</v>
      </c>
      <c r="AN103" s="16">
        <v>-7.8597749189185009E-2</v>
      </c>
      <c r="AO103" s="16">
        <v>-0.11952286093344031</v>
      </c>
      <c r="AP103" s="16">
        <v>-7.5082700507099281E-2</v>
      </c>
      <c r="AQ103" s="16">
        <v>-3.8525706426470421E-2</v>
      </c>
      <c r="AR103" s="16">
        <v>-3.8525706426470713E-2</v>
      </c>
      <c r="AS103" s="28">
        <v>0.39315459358656096</v>
      </c>
    </row>
    <row r="104" spans="2:45" x14ac:dyDescent="0.35">
      <c r="B104" s="7" t="s">
        <v>83</v>
      </c>
      <c r="C104" s="16">
        <v>8.775959381508977E-2</v>
      </c>
      <c r="D104" s="16">
        <v>2.5306999771319751E-2</v>
      </c>
      <c r="E104" s="16">
        <v>8.3209002203905286E-2</v>
      </c>
      <c r="F104" s="16">
        <v>0.29494319743313913</v>
      </c>
      <c r="G104" s="16">
        <v>-0.10089055735004554</v>
      </c>
      <c r="H104" s="16">
        <v>-0.1728754948232184</v>
      </c>
      <c r="I104" s="16">
        <v>0.27481770123928995</v>
      </c>
      <c r="J104" s="16">
        <v>-2.9904463489340703E-2</v>
      </c>
      <c r="K104" s="16">
        <v>0.32811174929963099</v>
      </c>
      <c r="L104" s="16">
        <v>-8.1672251523264294E-2</v>
      </c>
      <c r="M104" s="16">
        <v>-3.6960393906620613E-2</v>
      </c>
      <c r="N104" s="16">
        <v>-8.1895256766209248E-2</v>
      </c>
      <c r="O104" s="16">
        <v>-9.4988837859115854E-2</v>
      </c>
      <c r="P104" s="16">
        <v>-0.18858496445879078</v>
      </c>
      <c r="Q104" s="16">
        <v>-5.7206292468365075E-2</v>
      </c>
      <c r="R104" s="16">
        <v>-9.1840653962254135E-3</v>
      </c>
      <c r="S104" s="16">
        <v>0.22177718489987278</v>
      </c>
      <c r="T104" s="16">
        <v>0.22534145546136367</v>
      </c>
      <c r="U104" s="16">
        <v>-0.28167662525094139</v>
      </c>
      <c r="V104" s="16">
        <v>0.22951494719766186</v>
      </c>
      <c r="W104" s="16">
        <v>-0.14062511722192236</v>
      </c>
      <c r="X104" s="16">
        <v>-0.10986108965910435</v>
      </c>
      <c r="Y104" s="16">
        <v>-6.5232807305344448E-2</v>
      </c>
      <c r="Z104" s="16">
        <v>7.088780251096824E-2</v>
      </c>
      <c r="AA104" s="16">
        <v>7.4315558733496117E-3</v>
      </c>
      <c r="AB104" s="16">
        <v>0.16828465770909579</v>
      </c>
      <c r="AC104" s="16">
        <v>-3.2405746527418226E-2</v>
      </c>
      <c r="AD104" s="16">
        <v>-6.523280730534467E-2</v>
      </c>
      <c r="AE104" s="16">
        <v>7.9021205532416275E-2</v>
      </c>
      <c r="AF104" s="16">
        <v>-0.15934682008958209</v>
      </c>
      <c r="AG104" s="16">
        <v>-0.16722298237941557</v>
      </c>
      <c r="AH104" s="32">
        <v>1</v>
      </c>
      <c r="AI104" s="16">
        <v>-0.10451436398713407</v>
      </c>
      <c r="AJ104" s="16">
        <v>-0.18969047972321185</v>
      </c>
      <c r="AK104" s="16">
        <v>-0.21780294806509001</v>
      </c>
      <c r="AL104" s="16">
        <v>-8.0243191392401964E-2</v>
      </c>
      <c r="AM104" s="16">
        <v>-5.6370855860447384E-2</v>
      </c>
      <c r="AN104" s="16">
        <v>-0.11500431274259387</v>
      </c>
      <c r="AO104" s="16">
        <v>-0.174885981093337</v>
      </c>
      <c r="AP104" s="16">
        <v>-0.10986108965910435</v>
      </c>
      <c r="AQ104" s="16">
        <v>-5.6370855860447579E-2</v>
      </c>
      <c r="AR104" s="16">
        <v>-5.6370855860447551E-2</v>
      </c>
      <c r="AS104" s="28">
        <v>0.23834305164695957</v>
      </c>
    </row>
    <row r="105" spans="2:45" x14ac:dyDescent="0.35">
      <c r="B105" s="7" t="s">
        <v>84</v>
      </c>
      <c r="C105" s="16">
        <v>-7.1553366303201242E-3</v>
      </c>
      <c r="D105" s="16">
        <v>0.15564937055503358</v>
      </c>
      <c r="E105" s="16">
        <v>-0.14311993742138987</v>
      </c>
      <c r="F105" s="16">
        <v>0.28789401185415808</v>
      </c>
      <c r="G105" s="16">
        <v>-7.0191022581863022E-2</v>
      </c>
      <c r="H105" s="16">
        <v>-0.22094437073399795</v>
      </c>
      <c r="I105" s="16">
        <v>0.11083001079849433</v>
      </c>
      <c r="J105" s="16">
        <v>-0.1192559595615874</v>
      </c>
      <c r="K105" s="16">
        <v>-5.4396397621441994E-2</v>
      </c>
      <c r="L105" s="16">
        <v>-0.14160545787373302</v>
      </c>
      <c r="M105" s="16">
        <v>-0.11747014250972963</v>
      </c>
      <c r="N105" s="16">
        <v>-0.13458071411157196</v>
      </c>
      <c r="O105" s="16">
        <v>8.6668988614275758E-2</v>
      </c>
      <c r="P105" s="16">
        <v>-0.1219619098120583</v>
      </c>
      <c r="Q105" s="16">
        <v>-0.23133036463459553</v>
      </c>
      <c r="R105" s="16">
        <v>8.3132775749038185E-2</v>
      </c>
      <c r="S105" s="16">
        <v>0.11541270997451303</v>
      </c>
      <c r="T105" s="16">
        <v>0.25245605018210204</v>
      </c>
      <c r="U105" s="16">
        <v>-0.12839978542813874</v>
      </c>
      <c r="V105" s="16">
        <v>-7.7441383513703374E-2</v>
      </c>
      <c r="W105" s="16">
        <v>-0.10592637655375969</v>
      </c>
      <c r="X105" s="16">
        <v>-4.6926687816937242E-2</v>
      </c>
      <c r="Y105" s="16">
        <v>-2.786391062876753E-2</v>
      </c>
      <c r="Z105" s="16">
        <v>-1.961765064294806E-2</v>
      </c>
      <c r="AA105" s="16">
        <v>-9.7103576028959152E-2</v>
      </c>
      <c r="AB105" s="16">
        <v>0.30669036307630476</v>
      </c>
      <c r="AC105" s="16">
        <v>-1.3841974037264683E-2</v>
      </c>
      <c r="AD105" s="16">
        <v>-2.786391062876761E-2</v>
      </c>
      <c r="AE105" s="16">
        <v>-5.7241068943440325E-2</v>
      </c>
      <c r="AF105" s="16">
        <v>-6.8064302877099664E-2</v>
      </c>
      <c r="AG105" s="16">
        <v>-7.1428571428570481E-2</v>
      </c>
      <c r="AH105" s="16">
        <v>-0.10451436398713407</v>
      </c>
      <c r="AI105" s="32">
        <v>1</v>
      </c>
      <c r="AJ105" s="16">
        <v>-8.1025465444020464E-2</v>
      </c>
      <c r="AK105" s="16">
        <v>-9.3033584330665275E-2</v>
      </c>
      <c r="AL105" s="16">
        <v>-3.4275531069192414E-2</v>
      </c>
      <c r="AM105" s="16">
        <v>-2.4078566516544116E-2</v>
      </c>
      <c r="AN105" s="16">
        <v>-4.912359324324081E-2</v>
      </c>
      <c r="AO105" s="16">
        <v>-7.4701788083399265E-2</v>
      </c>
      <c r="AP105" s="16">
        <v>-4.6926687816937242E-2</v>
      </c>
      <c r="AQ105" s="16">
        <v>-2.4078566516544046E-2</v>
      </c>
      <c r="AR105" s="16">
        <v>-2.407856651654414E-2</v>
      </c>
      <c r="AS105" s="28">
        <v>0.21196143634507916</v>
      </c>
    </row>
    <row r="106" spans="2:45" x14ac:dyDescent="0.35">
      <c r="B106" s="7" t="s">
        <v>85</v>
      </c>
      <c r="C106" s="16">
        <v>-8.112298106449968E-2</v>
      </c>
      <c r="D106" s="16">
        <v>-0.16410674841973005</v>
      </c>
      <c r="E106" s="16">
        <v>5.0468120566036535E-2</v>
      </c>
      <c r="F106" s="16">
        <v>-7.9204158671891456E-2</v>
      </c>
      <c r="G106" s="16">
        <v>-0.21408862418143579</v>
      </c>
      <c r="H106" s="16">
        <v>0.38346018404185112</v>
      </c>
      <c r="I106" s="16">
        <v>0.23926608843964234</v>
      </c>
      <c r="J106" s="16">
        <v>-8.129249805847576E-3</v>
      </c>
      <c r="K106" s="16">
        <v>1.1657282230839752E-2</v>
      </c>
      <c r="L106" s="16">
        <v>0.30883484814190831</v>
      </c>
      <c r="M106" s="16">
        <v>0.51993875860202809</v>
      </c>
      <c r="N106" s="16">
        <v>0.51770221298867936</v>
      </c>
      <c r="O106" s="16">
        <v>-0.1535558049934109</v>
      </c>
      <c r="P106" s="16">
        <v>0.25491234935649781</v>
      </c>
      <c r="Q106" s="16">
        <v>0.44363265129343782</v>
      </c>
      <c r="R106" s="16">
        <v>0.3860577305927419</v>
      </c>
      <c r="S106" s="16">
        <v>0.28718866786532943</v>
      </c>
      <c r="T106" s="16">
        <v>4.9596230590546554E-2</v>
      </c>
      <c r="U106" s="16">
        <v>-0.16192573277148345</v>
      </c>
      <c r="V106" s="16">
        <v>0.17770798839790736</v>
      </c>
      <c r="W106" s="16">
        <v>-0.19225324077270162</v>
      </c>
      <c r="X106" s="16">
        <v>0.27719142823612192</v>
      </c>
      <c r="Y106" s="16">
        <v>-5.0572173742417327E-2</v>
      </c>
      <c r="Z106" s="16">
        <v>-3.560545574349272E-2</v>
      </c>
      <c r="AA106" s="16">
        <v>4.6378978617412758E-3</v>
      </c>
      <c r="AB106" s="16">
        <v>0.11680451684716725</v>
      </c>
      <c r="AC106" s="16">
        <v>-2.5122773514348749E-2</v>
      </c>
      <c r="AD106" s="16">
        <v>-5.0572173742417376E-2</v>
      </c>
      <c r="AE106" s="16">
        <v>-5.3244059231965499E-2</v>
      </c>
      <c r="AF106" s="16">
        <v>-0.12353469678457107</v>
      </c>
      <c r="AG106" s="16">
        <v>-0.12964074471043366</v>
      </c>
      <c r="AH106" s="16">
        <v>-0.18969047972321185</v>
      </c>
      <c r="AI106" s="16">
        <v>-8.1025465444020464E-2</v>
      </c>
      <c r="AJ106" s="32">
        <v>1</v>
      </c>
      <c r="AK106" s="16">
        <v>-0.1688532041799175</v>
      </c>
      <c r="AL106" s="16">
        <v>-6.2209075224180191E-2</v>
      </c>
      <c r="AM106" s="16">
        <v>-4.3701886126703088E-2</v>
      </c>
      <c r="AN106" s="16">
        <v>-8.9157868952687264E-2</v>
      </c>
      <c r="AO106" s="16">
        <v>-0.13558153613666038</v>
      </c>
      <c r="AP106" s="16">
        <v>-8.5170550575344145E-2</v>
      </c>
      <c r="AQ106" s="16">
        <v>-4.3701886126703254E-2</v>
      </c>
      <c r="AR106" s="16">
        <v>-4.3701886126703123E-2</v>
      </c>
      <c r="AS106" s="28">
        <v>0.18336886547073691</v>
      </c>
    </row>
    <row r="107" spans="2:45" x14ac:dyDescent="0.35">
      <c r="B107" s="7" t="s">
        <v>86</v>
      </c>
      <c r="C107" s="16">
        <v>-7.8845416914983868E-2</v>
      </c>
      <c r="D107" s="16">
        <v>-8.7082357341013147E-2</v>
      </c>
      <c r="E107" s="16">
        <v>5.4064228495001899E-2</v>
      </c>
      <c r="F107" s="16">
        <v>-7.4413261713361947E-2</v>
      </c>
      <c r="G107" s="16">
        <v>-0.12721033143991109</v>
      </c>
      <c r="H107" s="16">
        <v>0.34497850777343947</v>
      </c>
      <c r="I107" s="16">
        <v>-0.20351203418827743</v>
      </c>
      <c r="J107" s="16">
        <v>-9.1995704575639839E-2</v>
      </c>
      <c r="K107" s="16">
        <v>-4.8284669952438568E-2</v>
      </c>
      <c r="L107" s="16">
        <v>9.8406879671101132E-3</v>
      </c>
      <c r="M107" s="16">
        <v>0.2960119500538686</v>
      </c>
      <c r="N107" s="16">
        <v>0.2916592397100406</v>
      </c>
      <c r="O107" s="16">
        <v>-0.37894162312564006</v>
      </c>
      <c r="P107" s="16">
        <v>0.133955597980386</v>
      </c>
      <c r="Q107" s="16">
        <v>0.36535205958010591</v>
      </c>
      <c r="R107" s="16">
        <v>0.16674010747966836</v>
      </c>
      <c r="S107" s="16">
        <v>-0.10742840871528789</v>
      </c>
      <c r="T107" s="16">
        <v>-0.31789474257408196</v>
      </c>
      <c r="U107" s="16">
        <v>-9.0208115885796858E-2</v>
      </c>
      <c r="V107" s="16">
        <v>0.20551119597872247</v>
      </c>
      <c r="W107" s="16">
        <v>9.7394997609018638E-2</v>
      </c>
      <c r="X107" s="16">
        <v>0.12118842789152712</v>
      </c>
      <c r="Y107" s="16">
        <v>-5.8067060335504336E-2</v>
      </c>
      <c r="Z107" s="16">
        <v>-4.0882247962310089E-2</v>
      </c>
      <c r="AA107" s="16">
        <v>-0.12272081675480419</v>
      </c>
      <c r="AB107" s="16">
        <v>-5.573932945013834E-2</v>
      </c>
      <c r="AC107" s="16">
        <v>-2.8846013479332196E-2</v>
      </c>
      <c r="AD107" s="16">
        <v>-5.8067060335504524E-2</v>
      </c>
      <c r="AE107" s="16">
        <v>0.15617265574557271</v>
      </c>
      <c r="AF107" s="16">
        <v>-0.14184275978039121</v>
      </c>
      <c r="AG107" s="16">
        <v>-0.14885373492906462</v>
      </c>
      <c r="AH107" s="16">
        <v>-0.21780294806509001</v>
      </c>
      <c r="AI107" s="16">
        <v>-9.3033584330665275E-2</v>
      </c>
      <c r="AJ107" s="16">
        <v>-0.1688532041799175</v>
      </c>
      <c r="AK107" s="32">
        <v>1</v>
      </c>
      <c r="AL107" s="16">
        <v>-7.1428571428571494E-2</v>
      </c>
      <c r="AM107" s="16">
        <v>-5.0178583808157623E-2</v>
      </c>
      <c r="AN107" s="16">
        <v>-0.10237122458349684</v>
      </c>
      <c r="AO107" s="16">
        <v>-0.15567496226930985</v>
      </c>
      <c r="AP107" s="16">
        <v>-9.7792978491618873E-2</v>
      </c>
      <c r="AQ107" s="16">
        <v>-5.0178583808157644E-2</v>
      </c>
      <c r="AR107" s="16">
        <v>-5.0178583808157713E-2</v>
      </c>
      <c r="AS107" s="28">
        <v>-6.4433703897985167E-2</v>
      </c>
    </row>
    <row r="108" spans="2:45" x14ac:dyDescent="0.35">
      <c r="B108" s="7" t="s">
        <v>87</v>
      </c>
      <c r="C108" s="16">
        <v>-7.1964949881654555E-2</v>
      </c>
      <c r="D108" s="16">
        <v>-0.17693801012101987</v>
      </c>
      <c r="E108" s="16">
        <v>0.10344398554190418</v>
      </c>
      <c r="F108" s="16">
        <v>-0.12010195382977744</v>
      </c>
      <c r="G108" s="16">
        <v>-8.3405000255500752E-2</v>
      </c>
      <c r="H108" s="16">
        <v>0.26454436183903279</v>
      </c>
      <c r="I108" s="16">
        <v>-0.23777810963186996</v>
      </c>
      <c r="J108" s="16">
        <v>0.26752198234371311</v>
      </c>
      <c r="K108" s="16">
        <v>-5.2878973264934181E-2</v>
      </c>
      <c r="L108" s="16">
        <v>-5.1852042476870079E-2</v>
      </c>
      <c r="M108" s="16">
        <v>-8.4151566866739122E-2</v>
      </c>
      <c r="N108" s="16">
        <v>-2.7664214762166271E-2</v>
      </c>
      <c r="O108" s="16">
        <v>-0.21974413267437606</v>
      </c>
      <c r="P108" s="16">
        <v>0.16681327719195133</v>
      </c>
      <c r="Q108" s="16">
        <v>0.18557960895029652</v>
      </c>
      <c r="R108" s="16">
        <v>-5.6659209102179413E-2</v>
      </c>
      <c r="S108" s="16">
        <v>-0.16409329004473255</v>
      </c>
      <c r="T108" s="16">
        <v>-0.26931701563686733</v>
      </c>
      <c r="U108" s="16">
        <v>9.9458444092249687E-2</v>
      </c>
      <c r="V108" s="16">
        <v>-0.23904310907336657</v>
      </c>
      <c r="W108" s="16">
        <v>0.32357881185331255</v>
      </c>
      <c r="X108" s="16">
        <v>-3.6028992075859433E-2</v>
      </c>
      <c r="Y108" s="16">
        <v>-2.1393127492027941E-2</v>
      </c>
      <c r="Z108" s="16">
        <v>-1.5061880828219519E-2</v>
      </c>
      <c r="AA108" s="16">
        <v>-0.14013796366780246</v>
      </c>
      <c r="AB108" s="16">
        <v>-8.3487292582521938E-2</v>
      </c>
      <c r="AC108" s="16">
        <v>-1.062747865028031E-2</v>
      </c>
      <c r="AD108" s="16">
        <v>-2.1393127492027996E-2</v>
      </c>
      <c r="AE108" s="16">
        <v>-4.3948084028905036E-2</v>
      </c>
      <c r="AF108" s="16">
        <v>-5.2257858866460109E-2</v>
      </c>
      <c r="AG108" s="16">
        <v>-5.4840849710707767E-2</v>
      </c>
      <c r="AH108" s="16">
        <v>-8.0243191392401964E-2</v>
      </c>
      <c r="AI108" s="16">
        <v>-3.4275531069192414E-2</v>
      </c>
      <c r="AJ108" s="16">
        <v>-6.2209075224180191E-2</v>
      </c>
      <c r="AK108" s="16">
        <v>-7.1428571428571494E-2</v>
      </c>
      <c r="AL108" s="32">
        <v>1</v>
      </c>
      <c r="AM108" s="16">
        <v>-1.8486846666163202E-2</v>
      </c>
      <c r="AN108" s="16">
        <v>-3.7715714320235544E-2</v>
      </c>
      <c r="AO108" s="16">
        <v>-5.7353933467641026E-2</v>
      </c>
      <c r="AP108" s="16">
        <v>-3.6028992075859426E-2</v>
      </c>
      <c r="AQ108" s="16">
        <v>-1.8486846666163244E-2</v>
      </c>
      <c r="AR108" s="16">
        <v>-1.8486846666163296E-2</v>
      </c>
      <c r="AS108" s="28">
        <v>-7.7644368011377696E-2</v>
      </c>
    </row>
    <row r="109" spans="2:45" x14ac:dyDescent="0.35">
      <c r="B109" s="7" t="s">
        <v>88</v>
      </c>
      <c r="C109" s="16">
        <v>-5.3206373790272904E-2</v>
      </c>
      <c r="D109" s="16">
        <v>-0.12301986177651165</v>
      </c>
      <c r="E109" s="16">
        <v>0.19937288299335271</v>
      </c>
      <c r="F109" s="16">
        <v>-8.0993666509907719E-2</v>
      </c>
      <c r="G109" s="16">
        <v>-5.9884156656033222E-2</v>
      </c>
      <c r="H109" s="16">
        <v>0.18697397579752201</v>
      </c>
      <c r="I109" s="16">
        <v>-0.11430412046281496</v>
      </c>
      <c r="J109" s="16">
        <v>0.14007846790458453</v>
      </c>
      <c r="K109" s="16">
        <v>-3.7147487883293528E-2</v>
      </c>
      <c r="L109" s="16">
        <v>0.64501963487218184</v>
      </c>
      <c r="M109" s="16">
        <v>0.26333834443979443</v>
      </c>
      <c r="N109" s="16">
        <v>0.32442827868706087</v>
      </c>
      <c r="O109" s="16">
        <v>-6.8719615887932836E-2</v>
      </c>
      <c r="P109" s="16">
        <v>0.35876694011187754</v>
      </c>
      <c r="Q109" s="16">
        <v>0.10999982742041042</v>
      </c>
      <c r="R109" s="16">
        <v>-0.22772527077820129</v>
      </c>
      <c r="S109" s="16">
        <v>-8.9738880164709003E-2</v>
      </c>
      <c r="T109" s="16">
        <v>-6.5248284448198232E-2</v>
      </c>
      <c r="U109" s="16">
        <v>0.10742296372153777</v>
      </c>
      <c r="V109" s="16">
        <v>-0.1023656776089812</v>
      </c>
      <c r="W109" s="16">
        <v>0.227314171407757</v>
      </c>
      <c r="X109" s="16">
        <v>-2.5310373177627424E-2</v>
      </c>
      <c r="Y109" s="16">
        <v>-1.5028675770882542E-2</v>
      </c>
      <c r="Z109" s="16">
        <v>-1.0580973892262131E-2</v>
      </c>
      <c r="AA109" s="16">
        <v>-9.8446943764531072E-2</v>
      </c>
      <c r="AB109" s="16">
        <v>-5.8649837508755479E-2</v>
      </c>
      <c r="AC109" s="16">
        <v>-7.4658055937149425E-3</v>
      </c>
      <c r="AD109" s="16">
        <v>-1.502867577088258E-2</v>
      </c>
      <c r="AE109" s="16">
        <v>-3.0873536647133083E-2</v>
      </c>
      <c r="AF109" s="16">
        <v>-3.6711154910717567E-2</v>
      </c>
      <c r="AG109" s="16">
        <v>-3.8525706426470512E-2</v>
      </c>
      <c r="AH109" s="16">
        <v>-5.6370855860447384E-2</v>
      </c>
      <c r="AI109" s="16">
        <v>-2.4078566516544116E-2</v>
      </c>
      <c r="AJ109" s="16">
        <v>-4.3701886126703088E-2</v>
      </c>
      <c r="AK109" s="16">
        <v>-5.0178583808157623E-2</v>
      </c>
      <c r="AL109" s="16">
        <v>-1.8486846666163202E-2</v>
      </c>
      <c r="AM109" s="32">
        <v>1</v>
      </c>
      <c r="AN109" s="16">
        <v>-2.6495295846634528E-2</v>
      </c>
      <c r="AO109" s="16">
        <v>-4.0291148201269285E-2</v>
      </c>
      <c r="AP109" s="16">
        <v>-2.5310373177627417E-2</v>
      </c>
      <c r="AQ109" s="16">
        <v>-1.2987012987012833E-2</v>
      </c>
      <c r="AR109" s="16">
        <v>-1.2987012987012872E-2</v>
      </c>
      <c r="AS109" s="28">
        <v>1.7799817882398702E-2</v>
      </c>
    </row>
    <row r="110" spans="2:45" x14ac:dyDescent="0.35">
      <c r="B110" s="7" t="s">
        <v>89</v>
      </c>
      <c r="C110" s="16">
        <v>-7.9656471629737297E-2</v>
      </c>
      <c r="D110" s="16">
        <v>0.11324891438566417</v>
      </c>
      <c r="E110" s="16">
        <v>-0.18165987352102259</v>
      </c>
      <c r="F110" s="16">
        <v>-0.11880141866702723</v>
      </c>
      <c r="G110" s="16">
        <v>-6.1940136597601808E-2</v>
      </c>
      <c r="H110" s="16">
        <v>-5.9576362713485667E-2</v>
      </c>
      <c r="I110" s="16">
        <v>4.2438841461145786E-3</v>
      </c>
      <c r="J110" s="16">
        <v>1.2539715455545193E-3</v>
      </c>
      <c r="K110" s="16">
        <v>-7.5785993469890345E-2</v>
      </c>
      <c r="L110" s="16">
        <v>-9.5012356122685243E-2</v>
      </c>
      <c r="M110" s="16">
        <v>-0.21763291272347118</v>
      </c>
      <c r="N110" s="16">
        <v>-0.19177776135800839</v>
      </c>
      <c r="O110" s="16">
        <v>0.24349853526121321</v>
      </c>
      <c r="P110" s="16">
        <v>-1.3504264797304242E-2</v>
      </c>
      <c r="Q110" s="16">
        <v>-0.1139702365253816</v>
      </c>
      <c r="R110" s="16">
        <v>-2.3007892649361879E-2</v>
      </c>
      <c r="S110" s="16">
        <v>-6.5940170731191947E-2</v>
      </c>
      <c r="T110" s="16">
        <v>-2.2408434776949565E-2</v>
      </c>
      <c r="U110" s="16">
        <v>0.21080447694658544</v>
      </c>
      <c r="V110" s="16">
        <v>-0.16358183831823289</v>
      </c>
      <c r="W110" s="16">
        <v>-0.11655804687648384</v>
      </c>
      <c r="X110" s="16">
        <v>-5.1636648550407858E-2</v>
      </c>
      <c r="Y110" s="16">
        <v>-3.0660569226416884E-2</v>
      </c>
      <c r="Z110" s="16">
        <v>-2.1586644588817393E-2</v>
      </c>
      <c r="AA110" s="16">
        <v>0.22996790206950907</v>
      </c>
      <c r="AB110" s="16">
        <v>-7.2036440907311067E-2</v>
      </c>
      <c r="AC110" s="16">
        <v>-1.5231272051298315E-2</v>
      </c>
      <c r="AD110" s="16">
        <v>-3.0660569226416953E-2</v>
      </c>
      <c r="AE110" s="16">
        <v>-6.2986268521924169E-2</v>
      </c>
      <c r="AF110" s="16">
        <v>-7.4895814087795276E-2</v>
      </c>
      <c r="AG110" s="16">
        <v>-7.8597749189185009E-2</v>
      </c>
      <c r="AH110" s="16">
        <v>-0.11500431274259387</v>
      </c>
      <c r="AI110" s="16">
        <v>-4.912359324324081E-2</v>
      </c>
      <c r="AJ110" s="16">
        <v>-8.9157868952687264E-2</v>
      </c>
      <c r="AK110" s="16">
        <v>-0.10237122458349684</v>
      </c>
      <c r="AL110" s="16">
        <v>-3.7715714320235544E-2</v>
      </c>
      <c r="AM110" s="16">
        <v>-2.6495295846634528E-2</v>
      </c>
      <c r="AN110" s="32">
        <v>1</v>
      </c>
      <c r="AO110" s="16">
        <v>-8.2199493652679631E-2</v>
      </c>
      <c r="AP110" s="16">
        <v>-5.1636648550407921E-2</v>
      </c>
      <c r="AQ110" s="16">
        <v>-2.6495295846634442E-2</v>
      </c>
      <c r="AR110" s="16">
        <v>-2.649529584663465E-2</v>
      </c>
      <c r="AS110" s="28">
        <v>-0.27303910673665471</v>
      </c>
    </row>
    <row r="111" spans="2:45" x14ac:dyDescent="0.35">
      <c r="B111" s="7" t="s">
        <v>90</v>
      </c>
      <c r="C111" s="16">
        <v>-0.10839054017678781</v>
      </c>
      <c r="D111" s="16">
        <v>0.41461345947886491</v>
      </c>
      <c r="E111" s="16">
        <v>-0.33533501213011241</v>
      </c>
      <c r="F111" s="16">
        <v>-0.19751485729139526</v>
      </c>
      <c r="G111" s="16">
        <v>2.1745071173722479E-2</v>
      </c>
      <c r="H111" s="16">
        <v>-0.31388047009254921</v>
      </c>
      <c r="I111" s="16">
        <v>-4.4311309604680708E-2</v>
      </c>
      <c r="J111" s="16">
        <v>-0.11049295312879116</v>
      </c>
      <c r="K111" s="16">
        <v>-0.11524705035001863</v>
      </c>
      <c r="L111" s="16">
        <v>-0.27066355664722119</v>
      </c>
      <c r="M111" s="16">
        <v>-0.31863149319798051</v>
      </c>
      <c r="N111" s="16">
        <v>-0.33661258300901753</v>
      </c>
      <c r="O111" s="16">
        <v>0.6462309917964898</v>
      </c>
      <c r="P111" s="16">
        <v>-0.22805121380517784</v>
      </c>
      <c r="Q111" s="16">
        <v>-0.36822390047846809</v>
      </c>
      <c r="R111" s="16">
        <v>4.5341519006117503E-3</v>
      </c>
      <c r="S111" s="16">
        <v>-0.12677504455693422</v>
      </c>
      <c r="T111" s="16">
        <v>5.5041151684572173E-3</v>
      </c>
      <c r="U111" s="16">
        <v>0.36060253472231218</v>
      </c>
      <c r="V111" s="16">
        <v>-0.38175341960778914</v>
      </c>
      <c r="W111" s="16">
        <v>-0.17724873003625541</v>
      </c>
      <c r="X111" s="16">
        <v>-7.8523367748150094E-2</v>
      </c>
      <c r="Y111" s="16">
        <v>-4.6625240412015843E-2</v>
      </c>
      <c r="Z111" s="16">
        <v>-3.2826608214930671E-2</v>
      </c>
      <c r="AA111" s="16">
        <v>0.3268032636531174</v>
      </c>
      <c r="AB111" s="16">
        <v>-0.18195633571851194</v>
      </c>
      <c r="AC111" s="16">
        <v>0.18529642184483197</v>
      </c>
      <c r="AD111" s="16">
        <v>0.16318834144205629</v>
      </c>
      <c r="AE111" s="16">
        <v>-9.5782628522115845E-2</v>
      </c>
      <c r="AF111" s="16">
        <v>-0.1138933629023553</v>
      </c>
      <c r="AG111" s="16">
        <v>-0.11952286093344031</v>
      </c>
      <c r="AH111" s="16">
        <v>-0.174885981093337</v>
      </c>
      <c r="AI111" s="16">
        <v>-7.4701788083399265E-2</v>
      </c>
      <c r="AJ111" s="16">
        <v>-0.13558153613666038</v>
      </c>
      <c r="AK111" s="16">
        <v>-0.15567496226930985</v>
      </c>
      <c r="AL111" s="16">
        <v>-5.7353933467641026E-2</v>
      </c>
      <c r="AM111" s="16">
        <v>-4.0291148201269285E-2</v>
      </c>
      <c r="AN111" s="16">
        <v>-8.2199493652679631E-2</v>
      </c>
      <c r="AO111" s="32">
        <v>1</v>
      </c>
      <c r="AP111" s="16">
        <v>-7.8523367748150094E-2</v>
      </c>
      <c r="AQ111" s="16">
        <v>-4.0291148201269326E-2</v>
      </c>
      <c r="AR111" s="16">
        <v>-4.0291148201269174E-2</v>
      </c>
      <c r="AS111" s="28">
        <v>-0.36995507096601749</v>
      </c>
    </row>
    <row r="112" spans="2:45" x14ac:dyDescent="0.35">
      <c r="B112" s="7" t="s">
        <v>91</v>
      </c>
      <c r="C112" s="16">
        <v>2.2868228918471564E-2</v>
      </c>
      <c r="D112" s="16">
        <v>-0.18236497753219008</v>
      </c>
      <c r="E112" s="16">
        <v>0.12501090844695656</v>
      </c>
      <c r="F112" s="16">
        <v>-0.16905211732897049</v>
      </c>
      <c r="G112" s="16">
        <v>-0.11704460969779162</v>
      </c>
      <c r="H112" s="16">
        <v>0.26321530601614984</v>
      </c>
      <c r="I112" s="16">
        <v>5.2737522508558766E-2</v>
      </c>
      <c r="J112" s="16">
        <v>3.2220289371821254E-2</v>
      </c>
      <c r="K112" s="16">
        <v>-7.2396692132192381E-2</v>
      </c>
      <c r="L112" s="16">
        <v>0.30027615685797848</v>
      </c>
      <c r="M112" s="16">
        <v>0.21168705095259166</v>
      </c>
      <c r="N112" s="16">
        <v>0.27632591474928508</v>
      </c>
      <c r="O112" s="16">
        <v>0.16568583619274244</v>
      </c>
      <c r="P112" s="16">
        <v>0.34707948267062277</v>
      </c>
      <c r="Q112" s="16">
        <v>0.14013188019278713</v>
      </c>
      <c r="R112" s="16">
        <v>1.9356004437019125E-2</v>
      </c>
      <c r="S112" s="16">
        <v>3.8887095608876134E-2</v>
      </c>
      <c r="T112" s="16">
        <v>-7.9396083694041497E-2</v>
      </c>
      <c r="U112" s="16">
        <v>0.29735357242312488</v>
      </c>
      <c r="V112" s="16">
        <v>-1.6886662327248701E-2</v>
      </c>
      <c r="W112" s="16">
        <v>-1.0553039742590949E-2</v>
      </c>
      <c r="X112" s="16">
        <v>4.6066041581736675E-2</v>
      </c>
      <c r="Y112" s="16">
        <v>-2.9289367193748812E-2</v>
      </c>
      <c r="Z112" s="16">
        <v>-2.0621246630283481E-2</v>
      </c>
      <c r="AA112" s="16">
        <v>0.13465302893876518</v>
      </c>
      <c r="AB112" s="16">
        <v>-0.11430259410984449</v>
      </c>
      <c r="AC112" s="16">
        <v>-1.4550099074937968E-2</v>
      </c>
      <c r="AD112" s="16">
        <v>-2.9289367193748909E-2</v>
      </c>
      <c r="AE112" s="16">
        <v>-6.0169396506611871E-2</v>
      </c>
      <c r="AF112" s="16">
        <v>-7.1546323354040847E-2</v>
      </c>
      <c r="AG112" s="16">
        <v>-7.5082700507099281E-2</v>
      </c>
      <c r="AH112" s="16">
        <v>-0.10986108965910435</v>
      </c>
      <c r="AI112" s="16">
        <v>-4.6926687816937242E-2</v>
      </c>
      <c r="AJ112" s="16">
        <v>-8.5170550575344145E-2</v>
      </c>
      <c r="AK112" s="16">
        <v>-9.7792978491618873E-2</v>
      </c>
      <c r="AL112" s="16">
        <v>-3.6028992075859426E-2</v>
      </c>
      <c r="AM112" s="16">
        <v>-2.5310373177627417E-2</v>
      </c>
      <c r="AN112" s="16">
        <v>-5.1636648550407921E-2</v>
      </c>
      <c r="AO112" s="16">
        <v>-7.8523367748150094E-2</v>
      </c>
      <c r="AP112" s="32">
        <v>1</v>
      </c>
      <c r="AQ112" s="16">
        <v>-2.5310373177627549E-2</v>
      </c>
      <c r="AR112" s="16">
        <v>-2.5310373177627545E-2</v>
      </c>
      <c r="AS112" s="28">
        <v>-2.7515585625945135E-2</v>
      </c>
    </row>
    <row r="113" spans="2:45" x14ac:dyDescent="0.35">
      <c r="B113" s="7" t="s">
        <v>92</v>
      </c>
      <c r="C113" s="16">
        <v>-3.7130198921975971E-2</v>
      </c>
      <c r="D113" s="16">
        <v>-0.13351642132764913</v>
      </c>
      <c r="E113" s="16">
        <v>8.4145122675922945E-2</v>
      </c>
      <c r="F113" s="16">
        <v>-8.0901975600369699E-2</v>
      </c>
      <c r="G113" s="16">
        <v>-2.7181665068343033E-2</v>
      </c>
      <c r="H113" s="16">
        <v>-7.5487013502550989E-3</v>
      </c>
      <c r="I113" s="16">
        <v>-5.2958867400091821E-3</v>
      </c>
      <c r="J113" s="16">
        <v>0.20115780352013768</v>
      </c>
      <c r="K113" s="16">
        <v>-3.7147487883293577E-2</v>
      </c>
      <c r="L113" s="16">
        <v>1.5789461615893778E-2</v>
      </c>
      <c r="M113" s="16">
        <v>-0.10223373755578113</v>
      </c>
      <c r="N113" s="16">
        <v>-0.1129097049039714</v>
      </c>
      <c r="O113" s="16">
        <v>0.10234490979297912</v>
      </c>
      <c r="P113" s="16">
        <v>-9.0772814880758196E-2</v>
      </c>
      <c r="Q113" s="16">
        <v>-2.1667222540590354E-3</v>
      </c>
      <c r="R113" s="16">
        <v>-0.14542097106845117</v>
      </c>
      <c r="S113" s="16">
        <v>-3.359420290302547E-2</v>
      </c>
      <c r="T113" s="16">
        <v>2.8471432774067742E-2</v>
      </c>
      <c r="U113" s="16">
        <v>0.14102460420925042</v>
      </c>
      <c r="V113" s="16">
        <v>-2.7879578161544856E-2</v>
      </c>
      <c r="W113" s="16">
        <v>-5.7132438803019492E-2</v>
      </c>
      <c r="X113" s="16">
        <v>-2.5310373177627479E-2</v>
      </c>
      <c r="Y113" s="16">
        <v>0.86414885682574449</v>
      </c>
      <c r="Z113" s="16">
        <v>-1.0580973892262143E-2</v>
      </c>
      <c r="AA113" s="16">
        <v>-9.8446943764531114E-2</v>
      </c>
      <c r="AB113" s="16">
        <v>-5.8649837508755194E-2</v>
      </c>
      <c r="AC113" s="16">
        <v>-7.465805593714952E-3</v>
      </c>
      <c r="AD113" s="16">
        <v>-1.5028675770882597E-2</v>
      </c>
      <c r="AE113" s="16">
        <v>-3.0873536647133156E-2</v>
      </c>
      <c r="AF113" s="16">
        <v>-3.671115491071765E-2</v>
      </c>
      <c r="AG113" s="16">
        <v>-3.8525706426470421E-2</v>
      </c>
      <c r="AH113" s="16">
        <v>-5.6370855860447579E-2</v>
      </c>
      <c r="AI113" s="16">
        <v>-2.4078566516544046E-2</v>
      </c>
      <c r="AJ113" s="16">
        <v>-4.3701886126703254E-2</v>
      </c>
      <c r="AK113" s="16">
        <v>-5.0178583808157644E-2</v>
      </c>
      <c r="AL113" s="16">
        <v>-1.8486846666163244E-2</v>
      </c>
      <c r="AM113" s="16">
        <v>-1.2987012987012833E-2</v>
      </c>
      <c r="AN113" s="16">
        <v>-2.6495295846634442E-2</v>
      </c>
      <c r="AO113" s="16">
        <v>-4.0291148201269326E-2</v>
      </c>
      <c r="AP113" s="16">
        <v>-2.5310373177627549E-2</v>
      </c>
      <c r="AQ113" s="32">
        <v>1</v>
      </c>
      <c r="AR113" s="16">
        <v>-1.2987012987012891E-2</v>
      </c>
      <c r="AS113" s="28">
        <v>-9.7325639305645195E-2</v>
      </c>
    </row>
    <row r="114" spans="2:45" x14ac:dyDescent="0.35">
      <c r="B114" s="7" t="s">
        <v>93</v>
      </c>
      <c r="C114" s="16">
        <v>-4.2177197495587189E-2</v>
      </c>
      <c r="D114" s="16">
        <v>-2.4689788323989506E-2</v>
      </c>
      <c r="E114" s="16">
        <v>-2.741342470674064E-2</v>
      </c>
      <c r="F114" s="16">
        <v>-8.758126428172161E-2</v>
      </c>
      <c r="G114" s="16">
        <v>-9.8501868400046565E-3</v>
      </c>
      <c r="H114" s="16">
        <v>-0.10078364772496504</v>
      </c>
      <c r="I114" s="16">
        <v>-1.1478008572566385E-2</v>
      </c>
      <c r="J114" s="16">
        <v>8.2379959752032425E-2</v>
      </c>
      <c r="K114" s="16">
        <v>-3.7147487883293522E-2</v>
      </c>
      <c r="L114" s="16">
        <v>-8.0357567612419648E-2</v>
      </c>
      <c r="M114" s="16">
        <v>-0.12552375887742676</v>
      </c>
      <c r="N114" s="16">
        <v>-0.1421393436094785</v>
      </c>
      <c r="O114" s="16">
        <v>0.13219340864583684</v>
      </c>
      <c r="P114" s="16">
        <v>-0.12438734161201281</v>
      </c>
      <c r="Q114" s="16">
        <v>-9.0018701746324939E-2</v>
      </c>
      <c r="R114" s="16">
        <v>-7.8381891731565359E-2</v>
      </c>
      <c r="S114" s="16">
        <v>-4.989905558906306E-2</v>
      </c>
      <c r="T114" s="16">
        <v>-6.7934288167447385E-2</v>
      </c>
      <c r="U114" s="16">
        <v>0.12566640258486475</v>
      </c>
      <c r="V114" s="16">
        <v>-0.12938842328433497</v>
      </c>
      <c r="W114" s="16">
        <v>-5.7132438803019686E-2</v>
      </c>
      <c r="X114" s="16">
        <v>-2.5310373177627573E-2</v>
      </c>
      <c r="Y114" s="16">
        <v>0.27803050176132715</v>
      </c>
      <c r="Z114" s="16">
        <v>-1.0580973892262147E-2</v>
      </c>
      <c r="AA114" s="16">
        <v>-9.8446943764531267E-2</v>
      </c>
      <c r="AB114" s="16">
        <v>-5.8649837508755444E-2</v>
      </c>
      <c r="AC114" s="16">
        <v>-7.4658055937149503E-3</v>
      </c>
      <c r="AD114" s="16">
        <v>0.57108967929353638</v>
      </c>
      <c r="AE114" s="16">
        <v>-3.0873536647133142E-2</v>
      </c>
      <c r="AF114" s="16">
        <v>-3.6711154910717532E-2</v>
      </c>
      <c r="AG114" s="16">
        <v>-3.8525706426470713E-2</v>
      </c>
      <c r="AH114" s="16">
        <v>-5.6370855860447551E-2</v>
      </c>
      <c r="AI114" s="16">
        <v>-2.407856651654414E-2</v>
      </c>
      <c r="AJ114" s="16">
        <v>-4.3701886126703123E-2</v>
      </c>
      <c r="AK114" s="16">
        <v>-5.0178583808157713E-2</v>
      </c>
      <c r="AL114" s="16">
        <v>-1.8486846666163296E-2</v>
      </c>
      <c r="AM114" s="16">
        <v>-1.2987012987012872E-2</v>
      </c>
      <c r="AN114" s="16">
        <v>-2.649529584663465E-2</v>
      </c>
      <c r="AO114" s="16">
        <v>-4.0291148201269174E-2</v>
      </c>
      <c r="AP114" s="16">
        <v>-2.5310373177627545E-2</v>
      </c>
      <c r="AQ114" s="16">
        <v>-1.2987012987012891E-2</v>
      </c>
      <c r="AR114" s="32">
        <v>1</v>
      </c>
      <c r="AS114" s="28">
        <v>-8.0151201692970103E-2</v>
      </c>
    </row>
    <row r="115" spans="2:45" ht="15" thickBot="1" x14ac:dyDescent="0.4">
      <c r="B115" s="26" t="s">
        <v>0</v>
      </c>
      <c r="C115" s="29">
        <v>-3.9023221901392256E-2</v>
      </c>
      <c r="D115" s="29">
        <v>-9.288128505998949E-3</v>
      </c>
      <c r="E115" s="29">
        <v>2.5724338115004918E-2</v>
      </c>
      <c r="F115" s="29">
        <v>0.49324582275119</v>
      </c>
      <c r="G115" s="29">
        <v>-0.36276794523327027</v>
      </c>
      <c r="H115" s="29">
        <v>8.5102023993503528E-2</v>
      </c>
      <c r="I115" s="29">
        <v>0.45590408140851085</v>
      </c>
      <c r="J115" s="29">
        <v>-9.8435736460892764E-2</v>
      </c>
      <c r="K115" s="29">
        <v>0.10677450458523738</v>
      </c>
      <c r="L115" s="29">
        <v>6.6580082243819491E-2</v>
      </c>
      <c r="M115" s="29">
        <v>0.23867455464384055</v>
      </c>
      <c r="N115" s="29">
        <v>0.20273371775965507</v>
      </c>
      <c r="O115" s="29">
        <v>-0.10371060464086622</v>
      </c>
      <c r="P115" s="29">
        <v>-1.256997939657103E-2</v>
      </c>
      <c r="Q115" s="29">
        <v>0.17917806102268155</v>
      </c>
      <c r="R115" s="29">
        <v>0.31734320149223372</v>
      </c>
      <c r="S115" s="29">
        <v>0.52206044132655083</v>
      </c>
      <c r="T115" s="29">
        <v>0.4904095403149159</v>
      </c>
      <c r="U115" s="29">
        <v>-0.35777614832459104</v>
      </c>
      <c r="V115" s="29">
        <v>0.33823498537172858</v>
      </c>
      <c r="W115" s="29">
        <v>-0.17624969462175097</v>
      </c>
      <c r="X115" s="29">
        <v>2.6366893850810584E-2</v>
      </c>
      <c r="Y115" s="29">
        <v>-9.3647786443863928E-2</v>
      </c>
      <c r="Z115" s="29">
        <v>5.9512440577174697E-2</v>
      </c>
      <c r="AA115" s="29">
        <v>-0.15184162919459546</v>
      </c>
      <c r="AB115" s="29">
        <v>0.336612271065034</v>
      </c>
      <c r="AC115" s="29">
        <v>-3.9715434863272989E-2</v>
      </c>
      <c r="AD115" s="29">
        <v>-0.15531118997505744</v>
      </c>
      <c r="AE115" s="29">
        <v>0.12904040693878691</v>
      </c>
      <c r="AF115" s="29">
        <v>-0.28048218847225881</v>
      </c>
      <c r="AG115" s="29">
        <v>0.39315459358656096</v>
      </c>
      <c r="AH115" s="29">
        <v>0.23834305164695957</v>
      </c>
      <c r="AI115" s="29">
        <v>0.21196143634507916</v>
      </c>
      <c r="AJ115" s="29">
        <v>0.18336886547073691</v>
      </c>
      <c r="AK115" s="29">
        <v>-6.4433703897985167E-2</v>
      </c>
      <c r="AL115" s="29">
        <v>-7.7644368011377696E-2</v>
      </c>
      <c r="AM115" s="29">
        <v>1.7799817882398702E-2</v>
      </c>
      <c r="AN115" s="29">
        <v>-0.27303910673665471</v>
      </c>
      <c r="AO115" s="29">
        <v>-0.36995507096601749</v>
      </c>
      <c r="AP115" s="29">
        <v>-2.7515585625945135E-2</v>
      </c>
      <c r="AQ115" s="29">
        <v>-9.7325639305645195E-2</v>
      </c>
      <c r="AR115" s="29">
        <v>-8.0151201692970103E-2</v>
      </c>
      <c r="AS115" s="33">
        <v>1</v>
      </c>
    </row>
    <row r="118" spans="2:45" x14ac:dyDescent="0.35">
      <c r="B118" s="6" t="s">
        <v>94</v>
      </c>
    </row>
    <row r="119" spans="2:45" ht="15" thickBot="1" x14ac:dyDescent="0.4"/>
    <row r="120" spans="2:45" x14ac:dyDescent="0.35">
      <c r="B120" s="8" t="s">
        <v>95</v>
      </c>
      <c r="C120" s="9" t="s">
        <v>96</v>
      </c>
      <c r="D120" s="9" t="s">
        <v>97</v>
      </c>
      <c r="E120" s="9" t="s">
        <v>98</v>
      </c>
      <c r="F120" s="9" t="s">
        <v>99</v>
      </c>
    </row>
    <row r="121" spans="2:45" x14ac:dyDescent="0.35">
      <c r="B121" s="22" t="s">
        <v>100</v>
      </c>
      <c r="C121" s="23">
        <v>0.40732147287652853</v>
      </c>
      <c r="D121" s="23">
        <v>0.49326358650014257</v>
      </c>
      <c r="E121" s="23">
        <v>0.5142490722994868</v>
      </c>
      <c r="F121" s="23">
        <v>0.50593881255629825</v>
      </c>
    </row>
    <row r="122" spans="2:45" x14ac:dyDescent="0.35">
      <c r="B122" s="7" t="s">
        <v>101</v>
      </c>
      <c r="C122" s="16">
        <v>0.43835145925905222</v>
      </c>
      <c r="D122" s="16">
        <v>0.57717986963692303</v>
      </c>
      <c r="E122" s="16">
        <v>0.62380868192634564</v>
      </c>
      <c r="F122" s="16">
        <v>0.64027721801542714</v>
      </c>
    </row>
    <row r="123" spans="2:45" ht="15" thickBot="1" x14ac:dyDescent="0.4">
      <c r="B123" s="11" t="s">
        <v>102</v>
      </c>
      <c r="C123" s="17">
        <v>0.15024486392792721</v>
      </c>
      <c r="D123" s="17">
        <v>0.23084738525622925</v>
      </c>
      <c r="E123" s="17">
        <v>0.33579754634706754</v>
      </c>
      <c r="F123" s="17">
        <v>0.43938933011187636</v>
      </c>
    </row>
    <row r="143" spans="7:7" x14ac:dyDescent="0.35">
      <c r="G143" t="s">
        <v>103</v>
      </c>
    </row>
    <row r="146" spans="2:10" x14ac:dyDescent="0.35">
      <c r="B146" s="6" t="s">
        <v>104</v>
      </c>
    </row>
    <row r="147" spans="2:10" ht="15" thickBot="1" x14ac:dyDescent="0.4"/>
    <row r="148" spans="2:10" x14ac:dyDescent="0.35">
      <c r="B148" s="8"/>
      <c r="C148" s="9" t="s">
        <v>105</v>
      </c>
      <c r="D148" s="9" t="s">
        <v>106</v>
      </c>
      <c r="E148" s="9" t="s">
        <v>107</v>
      </c>
      <c r="F148" s="9" t="s">
        <v>108</v>
      </c>
      <c r="G148" s="9" t="s">
        <v>109</v>
      </c>
      <c r="H148" s="9" t="s">
        <v>110</v>
      </c>
      <c r="I148" s="9" t="s">
        <v>111</v>
      </c>
      <c r="J148" s="9" t="s">
        <v>112</v>
      </c>
    </row>
    <row r="149" spans="2:10" x14ac:dyDescent="0.35">
      <c r="B149" s="22" t="s">
        <v>1</v>
      </c>
      <c r="C149" s="23">
        <v>-0.15146404008940359</v>
      </c>
      <c r="D149" s="23">
        <v>0.32450042646800409</v>
      </c>
      <c r="E149" s="23">
        <v>-0.24049961582549531</v>
      </c>
      <c r="F149" s="23">
        <v>-0.31082704823706159</v>
      </c>
      <c r="G149" s="23">
        <v>-3.9023221901392596E-2</v>
      </c>
      <c r="H149" s="23">
        <v>8.1739575040914267E-2</v>
      </c>
      <c r="I149" s="23">
        <v>-9.1733823220169625E-2</v>
      </c>
      <c r="J149" s="23">
        <v>-1.2581498943237079E-2</v>
      </c>
    </row>
    <row r="150" spans="2:10" x14ac:dyDescent="0.35">
      <c r="B150" s="7" t="s">
        <v>2</v>
      </c>
      <c r="C150" s="16">
        <v>0.30095885885426427</v>
      </c>
      <c r="D150" s="16">
        <v>-0.60588691613522094</v>
      </c>
      <c r="E150" s="16">
        <v>0.41899256509475014</v>
      </c>
      <c r="F150" s="16">
        <v>-0.35851098495822681</v>
      </c>
      <c r="G150" s="16">
        <v>-9.2881285059988813E-3</v>
      </c>
      <c r="H150" s="16">
        <v>-0.27827378290983579</v>
      </c>
      <c r="I150" s="16">
        <v>2.645803421890492E-2</v>
      </c>
      <c r="J150" s="16">
        <v>-0.11946271640809482</v>
      </c>
    </row>
    <row r="151" spans="2:10" x14ac:dyDescent="0.35">
      <c r="B151" s="7" t="s">
        <v>3</v>
      </c>
      <c r="C151" s="16">
        <v>-0.20104177532404574</v>
      </c>
      <c r="D151" s="16">
        <v>0.6327394648514334</v>
      </c>
      <c r="E151" s="16">
        <v>-0.43761621739090928</v>
      </c>
      <c r="F151" s="16">
        <v>0.17738516794907119</v>
      </c>
      <c r="G151" s="16">
        <v>2.5724338115004821E-2</v>
      </c>
      <c r="H151" s="16">
        <v>0.2119342096521882</v>
      </c>
      <c r="I151" s="16">
        <v>-0.118303527535061</v>
      </c>
      <c r="J151" s="16">
        <v>2.8648078439087909E-2</v>
      </c>
    </row>
    <row r="152" spans="2:10" x14ac:dyDescent="0.35">
      <c r="B152" s="7" t="s">
        <v>4</v>
      </c>
      <c r="C152" s="16">
        <v>0.74035675812549229</v>
      </c>
      <c r="D152" s="16">
        <v>1.7045039591863445E-2</v>
      </c>
      <c r="E152" s="16">
        <v>0.19327341164974604</v>
      </c>
      <c r="F152" s="16">
        <v>-0.4669353125948088</v>
      </c>
      <c r="G152" s="16">
        <v>0.49324582275118917</v>
      </c>
      <c r="H152" s="16">
        <v>4.0958521824544739E-3</v>
      </c>
      <c r="I152" s="16">
        <v>-5.0463419576740713E-3</v>
      </c>
      <c r="J152" s="16">
        <v>-7.3394749157953326E-2</v>
      </c>
    </row>
    <row r="153" spans="2:10" x14ac:dyDescent="0.35">
      <c r="B153" s="7" t="s">
        <v>5</v>
      </c>
      <c r="C153" s="16">
        <v>-0.60204410506336725</v>
      </c>
      <c r="D153" s="16">
        <v>0.32405639436562089</v>
      </c>
      <c r="E153" s="16">
        <v>-0.16959249649620545</v>
      </c>
      <c r="F153" s="16">
        <v>-0.47230212353557405</v>
      </c>
      <c r="G153" s="16">
        <v>-0.36276794523327022</v>
      </c>
      <c r="H153" s="16">
        <v>4.7815019667985063E-2</v>
      </c>
      <c r="I153" s="16">
        <v>-0.13057865932456639</v>
      </c>
      <c r="J153" s="16">
        <v>-7.8727344346346817E-2</v>
      </c>
    </row>
    <row r="154" spans="2:10" x14ac:dyDescent="0.35">
      <c r="B154" s="7" t="s">
        <v>6</v>
      </c>
      <c r="C154" s="16">
        <v>8.3382908026546881E-2</v>
      </c>
      <c r="D154" s="16">
        <v>0.14076958335972564</v>
      </c>
      <c r="E154" s="16">
        <v>-0.45944746851599588</v>
      </c>
      <c r="F154" s="16">
        <v>0.78309777827552129</v>
      </c>
      <c r="G154" s="16">
        <v>8.5102023993503473E-2</v>
      </c>
      <c r="H154" s="16">
        <v>3.9891232183260981E-2</v>
      </c>
      <c r="I154" s="16">
        <v>-3.4686140307498399E-2</v>
      </c>
      <c r="J154" s="16">
        <v>0.12498232029860153</v>
      </c>
    </row>
    <row r="155" spans="2:10" x14ac:dyDescent="0.35">
      <c r="B155" s="7" t="s">
        <v>7</v>
      </c>
      <c r="C155" s="16">
        <v>0.81911870425394162</v>
      </c>
      <c r="D155" s="16">
        <v>-0.31709773518156825</v>
      </c>
      <c r="E155" s="16">
        <v>0.19662373873012909</v>
      </c>
      <c r="F155" s="16">
        <v>-0.11515030824271655</v>
      </c>
      <c r="G155" s="16">
        <v>0.45590408140851041</v>
      </c>
      <c r="H155" s="16">
        <v>-0.11531261240717365</v>
      </c>
      <c r="I155" s="16">
        <v>4.879788213248127E-2</v>
      </c>
      <c r="J155" s="16">
        <v>-1.749052253585651E-2</v>
      </c>
    </row>
    <row r="156" spans="2:10" x14ac:dyDescent="0.35">
      <c r="B156" s="7" t="s">
        <v>8</v>
      </c>
      <c r="C156" s="16">
        <v>-0.31123637335143989</v>
      </c>
      <c r="D156" s="16">
        <v>0.37404452521920423</v>
      </c>
      <c r="E156" s="16">
        <v>-1.8521898922646621E-2</v>
      </c>
      <c r="F156" s="16">
        <v>0.16854935033717491</v>
      </c>
      <c r="G156" s="16">
        <v>-9.8435736460892778E-2</v>
      </c>
      <c r="H156" s="16">
        <v>0.14361273737775754</v>
      </c>
      <c r="I156" s="16">
        <v>-4.8811986079876753E-2</v>
      </c>
      <c r="J156" s="16">
        <v>-4.5227845540360773E-2</v>
      </c>
    </row>
    <row r="157" spans="2:10" x14ac:dyDescent="0.35">
      <c r="B157" s="7" t="s">
        <v>9</v>
      </c>
      <c r="C157" s="16">
        <v>0.18215982788131624</v>
      </c>
      <c r="D157" s="16">
        <v>0.15149890623526771</v>
      </c>
      <c r="E157" s="16">
        <v>-0.23846121582528704</v>
      </c>
      <c r="F157" s="16">
        <v>-0.28539671434770936</v>
      </c>
      <c r="G157" s="16">
        <v>0.1067745045852372</v>
      </c>
      <c r="H157" s="16">
        <v>-1.8454085817744735E-2</v>
      </c>
      <c r="I157" s="16">
        <v>-0.10807921538290753</v>
      </c>
      <c r="J157" s="16">
        <v>-3.062796007254507E-2</v>
      </c>
    </row>
    <row r="158" spans="2:10" x14ac:dyDescent="0.35">
      <c r="B158" s="7" t="s">
        <v>10</v>
      </c>
      <c r="C158" s="16">
        <v>0.10203796012567712</v>
      </c>
      <c r="D158" s="16">
        <v>0.23391474927117037</v>
      </c>
      <c r="E158" s="16">
        <v>-0.51383604152359075</v>
      </c>
      <c r="F158" s="16">
        <v>0.47114071564524024</v>
      </c>
      <c r="G158" s="16">
        <v>6.6580082243819366E-2</v>
      </c>
      <c r="H158" s="16">
        <v>-1.3040920675072263E-3</v>
      </c>
      <c r="I158" s="16">
        <v>-0.13553824003917783</v>
      </c>
      <c r="J158" s="16">
        <v>3.7210768922195527E-2</v>
      </c>
    </row>
    <row r="159" spans="2:10" x14ac:dyDescent="0.35">
      <c r="B159" s="7" t="s">
        <v>11</v>
      </c>
      <c r="C159" s="16">
        <v>0.61171090925550708</v>
      </c>
      <c r="D159" s="16">
        <v>-0.13194285668788808</v>
      </c>
      <c r="E159" s="16">
        <v>-0.63410341081544441</v>
      </c>
      <c r="F159" s="16">
        <v>0.3169435466503302</v>
      </c>
      <c r="G159" s="16">
        <v>0.23867455464384046</v>
      </c>
      <c r="H159" s="16">
        <v>-0.22193832126258661</v>
      </c>
      <c r="I159" s="16">
        <v>-0.18018747136606014</v>
      </c>
      <c r="J159" s="16">
        <v>3.2217144158242179E-2</v>
      </c>
    </row>
    <row r="160" spans="2:10" x14ac:dyDescent="0.35">
      <c r="B160" s="7" t="s">
        <v>12</v>
      </c>
      <c r="C160" s="16">
        <v>0.49233429595660738</v>
      </c>
      <c r="D160" s="16">
        <v>-4.7244033994978049E-2</v>
      </c>
      <c r="E160" s="16">
        <v>-0.65990119154850824</v>
      </c>
      <c r="F160" s="16">
        <v>0.465674976481317</v>
      </c>
      <c r="G160" s="16">
        <v>0.20273371775965529</v>
      </c>
      <c r="H160" s="16">
        <v>-0.1644332226388284</v>
      </c>
      <c r="I160" s="16">
        <v>-0.16244395355864721</v>
      </c>
      <c r="J160" s="16">
        <v>6.0110694319096096E-2</v>
      </c>
    </row>
    <row r="161" spans="2:10" x14ac:dyDescent="0.35">
      <c r="B161" s="7" t="s">
        <v>13</v>
      </c>
      <c r="C161" s="16">
        <v>-4.873840991990074E-4</v>
      </c>
      <c r="D161" s="16">
        <v>-0.58994623012265002</v>
      </c>
      <c r="E161" s="16">
        <v>0.60426604360025915</v>
      </c>
      <c r="F161" s="16">
        <v>-0.13366891246024071</v>
      </c>
      <c r="G161" s="16">
        <v>-0.10371060464086629</v>
      </c>
      <c r="H161" s="16">
        <v>-0.13795500690769899</v>
      </c>
      <c r="I161" s="16">
        <v>0.1790463167270738</v>
      </c>
      <c r="J161" s="16">
        <v>-2.2922265076994096E-2</v>
      </c>
    </row>
    <row r="162" spans="2:10" x14ac:dyDescent="0.35">
      <c r="B162" s="7" t="s">
        <v>14</v>
      </c>
      <c r="C162" s="16">
        <v>-0.13485737852436711</v>
      </c>
      <c r="D162" s="16">
        <v>0.24804202111736193</v>
      </c>
      <c r="E162" s="16">
        <v>-0.41527333724166487</v>
      </c>
      <c r="F162" s="16">
        <v>0.71315382561518081</v>
      </c>
      <c r="G162" s="16">
        <v>-1.2569979396571031E-2</v>
      </c>
      <c r="H162" s="16">
        <v>0.10236623868781135</v>
      </c>
      <c r="I162" s="16">
        <v>-2.4149506627728332E-2</v>
      </c>
      <c r="J162" s="16">
        <v>0.12060072668277849</v>
      </c>
    </row>
    <row r="163" spans="2:10" x14ac:dyDescent="0.35">
      <c r="B163" s="7" t="s">
        <v>15</v>
      </c>
      <c r="C163" s="16">
        <v>0.29885959886594204</v>
      </c>
      <c r="D163" s="16">
        <v>6.2264484438761196E-2</v>
      </c>
      <c r="E163" s="16">
        <v>-0.53385568030548958</v>
      </c>
      <c r="F163" s="16">
        <v>0.65320104884716002</v>
      </c>
      <c r="G163" s="16">
        <v>0.17917806102268152</v>
      </c>
      <c r="H163" s="16">
        <v>-2.4940547677769528E-2</v>
      </c>
      <c r="I163" s="16">
        <v>-6.4422980486924575E-2</v>
      </c>
      <c r="J163" s="16">
        <v>0.11965288795685348</v>
      </c>
    </row>
    <row r="164" spans="2:10" x14ac:dyDescent="0.35">
      <c r="B164" s="7" t="s">
        <v>16</v>
      </c>
      <c r="C164" s="16">
        <v>0.60997403719708465</v>
      </c>
      <c r="D164" s="16">
        <v>-0.43062292286391129</v>
      </c>
      <c r="E164" s="16">
        <v>9.7311522529831315E-2</v>
      </c>
      <c r="F164" s="16">
        <v>0.37144854461552634</v>
      </c>
      <c r="G164" s="16">
        <v>0.31734320149223366</v>
      </c>
      <c r="H164" s="16">
        <v>-0.11543288566253176</v>
      </c>
      <c r="I164" s="16">
        <v>0.1137102028082702</v>
      </c>
      <c r="J164" s="16">
        <v>8.629159549984329E-2</v>
      </c>
    </row>
    <row r="165" spans="2:10" x14ac:dyDescent="0.35">
      <c r="B165" s="7" t="s">
        <v>17</v>
      </c>
      <c r="C165" s="16">
        <v>0.88879283933075526</v>
      </c>
      <c r="D165" s="16">
        <v>-0.2494506685626916</v>
      </c>
      <c r="E165" s="16">
        <v>0.11464413623754979</v>
      </c>
      <c r="F165" s="16">
        <v>-5.9843296624025225E-2</v>
      </c>
      <c r="G165" s="16">
        <v>0.52206044132655105</v>
      </c>
      <c r="H165" s="16">
        <v>-8.8590476146075098E-2</v>
      </c>
      <c r="I165" s="16">
        <v>4.0833736000255957E-2</v>
      </c>
      <c r="J165" s="16">
        <v>2.9283136076626503E-3</v>
      </c>
    </row>
    <row r="166" spans="2:10" x14ac:dyDescent="0.35">
      <c r="B166" s="7" t="s">
        <v>18</v>
      </c>
      <c r="C166" s="16">
        <v>0.62836434308370648</v>
      </c>
      <c r="D166" s="16">
        <v>-1.6022810252817377E-4</v>
      </c>
      <c r="E166" s="16">
        <v>0.52017161953261337</v>
      </c>
      <c r="F166" s="16">
        <v>-0.24365314176449787</v>
      </c>
      <c r="G166" s="16">
        <v>0.49040954031491607</v>
      </c>
      <c r="H166" s="16">
        <v>9.9250277815268906E-2</v>
      </c>
      <c r="I166" s="16">
        <v>0.11448132764841315</v>
      </c>
      <c r="J166" s="16">
        <v>-6.1765104444500112E-2</v>
      </c>
    </row>
    <row r="167" spans="2:10" x14ac:dyDescent="0.35">
      <c r="B167" s="7" t="s">
        <v>19</v>
      </c>
      <c r="C167" s="16">
        <v>-0.54450557899128527</v>
      </c>
      <c r="D167" s="16">
        <v>-0.17446510279899391</v>
      </c>
      <c r="E167" s="16">
        <v>0.25446196788419351</v>
      </c>
      <c r="F167" s="16">
        <v>0.25694621630450964</v>
      </c>
      <c r="G167" s="16">
        <v>-0.35777614832459081</v>
      </c>
      <c r="H167" s="16">
        <v>3.6437398023130029E-3</v>
      </c>
      <c r="I167" s="16">
        <v>0.10416959325172938</v>
      </c>
      <c r="J167" s="16">
        <v>2.0849811710154244E-2</v>
      </c>
    </row>
    <row r="168" spans="2:10" x14ac:dyDescent="0.35">
      <c r="B168" s="7" t="s">
        <v>20</v>
      </c>
      <c r="C168" s="16">
        <v>0.55937174576495019</v>
      </c>
      <c r="D168" s="16">
        <v>0.16153668852320402</v>
      </c>
      <c r="E168" s="16">
        <v>-0.3533072782062317</v>
      </c>
      <c r="F168" s="16">
        <v>-0.23147316708713608</v>
      </c>
      <c r="G168" s="16">
        <v>0.33823498537172852</v>
      </c>
      <c r="H168" s="16">
        <v>-4.285178823625261E-2</v>
      </c>
      <c r="I168" s="16">
        <v>-0.14195018340476206</v>
      </c>
      <c r="J168" s="16">
        <v>-2.6103499967929343E-2</v>
      </c>
    </row>
    <row r="169" spans="2:10" x14ac:dyDescent="0.35">
      <c r="B169" s="7" t="s">
        <v>72</v>
      </c>
      <c r="C169" s="16">
        <v>-0.49008024661475696</v>
      </c>
      <c r="D169" s="16">
        <v>0.57389932882633632</v>
      </c>
      <c r="E169" s="16">
        <v>-0.31003553382562021</v>
      </c>
      <c r="F169" s="16">
        <v>-9.1263000497633834E-2</v>
      </c>
      <c r="G169" s="16">
        <v>-0.1762496946217513</v>
      </c>
      <c r="H169" s="16">
        <v>0.19778068403302423</v>
      </c>
      <c r="I169" s="16">
        <v>-0.10090005488611696</v>
      </c>
      <c r="J169" s="16">
        <v>2.1819430702328673E-3</v>
      </c>
    </row>
    <row r="170" spans="2:10" x14ac:dyDescent="0.35">
      <c r="B170" s="7" t="s">
        <v>73</v>
      </c>
      <c r="C170" s="16">
        <v>4.034593523044179E-2</v>
      </c>
      <c r="D170" s="16">
        <v>-1.560874165346827E-2</v>
      </c>
      <c r="E170" s="16">
        <v>-0.25506560222348718</v>
      </c>
      <c r="F170" s="16">
        <v>0.46808569837462677</v>
      </c>
      <c r="G170" s="16">
        <v>2.6366893850810626E-2</v>
      </c>
      <c r="H170" s="16">
        <v>-4.6086847673469417E-4</v>
      </c>
      <c r="I170" s="16">
        <v>8.4127799762446897E-3</v>
      </c>
      <c r="J170" s="16">
        <v>9.8718593333054591E-2</v>
      </c>
    </row>
    <row r="171" spans="2:10" x14ac:dyDescent="0.35">
      <c r="B171" s="7" t="s">
        <v>74</v>
      </c>
      <c r="C171" s="16">
        <v>-0.12914341753823128</v>
      </c>
      <c r="D171" s="16">
        <v>1.0485944776393022E-2</v>
      </c>
      <c r="E171" s="16">
        <v>2.1964926652096879E-2</v>
      </c>
      <c r="F171" s="16">
        <v>-0.1128536086794992</v>
      </c>
      <c r="G171" s="16">
        <v>-9.3647786443864262E-2</v>
      </c>
      <c r="H171" s="16">
        <v>-1.0867378870010649E-2</v>
      </c>
      <c r="I171" s="16">
        <v>-1.853358448705366E-2</v>
      </c>
      <c r="J171" s="16">
        <v>-2.7381737580522859E-2</v>
      </c>
    </row>
    <row r="172" spans="2:10" x14ac:dyDescent="0.35">
      <c r="B172" s="7" t="s">
        <v>75</v>
      </c>
      <c r="C172" s="16">
        <v>-4.560003326150211E-2</v>
      </c>
      <c r="D172" s="16">
        <v>0.2132074888809678</v>
      </c>
      <c r="E172" s="16">
        <v>8.3901537106152529E-2</v>
      </c>
      <c r="F172" s="16">
        <v>-3.6546098794191829E-2</v>
      </c>
      <c r="G172" s="16">
        <v>5.9512440577174613E-2</v>
      </c>
      <c r="H172" s="16">
        <v>0.11969511038717998</v>
      </c>
      <c r="I172" s="16">
        <v>1.578313746156474E-2</v>
      </c>
      <c r="J172" s="16">
        <v>-1.2806061375725906E-2</v>
      </c>
    </row>
    <row r="173" spans="2:10" x14ac:dyDescent="0.35">
      <c r="B173" s="7" t="s">
        <v>76</v>
      </c>
      <c r="C173" s="16">
        <v>-0.17487080661404736</v>
      </c>
      <c r="D173" s="16">
        <v>-0.35517139298110978</v>
      </c>
      <c r="E173" s="16">
        <v>0.31072523177370065</v>
      </c>
      <c r="F173" s="16">
        <v>0.32145360960382174</v>
      </c>
      <c r="G173" s="16">
        <v>-0.15184162919459532</v>
      </c>
      <c r="H173" s="16">
        <v>-4.812038466096677E-2</v>
      </c>
      <c r="I173" s="16">
        <v>0.14805588549672122</v>
      </c>
      <c r="J173" s="16">
        <v>4.7568197451421358E-2</v>
      </c>
    </row>
    <row r="174" spans="2:10" x14ac:dyDescent="0.35">
      <c r="B174" s="7" t="s">
        <v>77</v>
      </c>
      <c r="C174" s="16">
        <v>0.60259796823445588</v>
      </c>
      <c r="D174" s="16">
        <v>-7.5832404281244332E-3</v>
      </c>
      <c r="E174" s="16">
        <v>-9.2209316945618923E-3</v>
      </c>
      <c r="F174" s="16">
        <v>-0.38411856201136074</v>
      </c>
      <c r="G174" s="16">
        <v>0.336612271065035</v>
      </c>
      <c r="H174" s="16">
        <v>-8.3204983517548556E-2</v>
      </c>
      <c r="I174" s="16">
        <v>-9.1551472589862543E-2</v>
      </c>
      <c r="J174" s="16">
        <v>-9.3813295870272595E-2</v>
      </c>
    </row>
    <row r="175" spans="2:10" x14ac:dyDescent="0.35">
      <c r="B175" s="7" t="s">
        <v>78</v>
      </c>
      <c r="C175" s="16">
        <v>-4.3415828034864448E-2</v>
      </c>
      <c r="D175" s="16">
        <v>-0.12920517843590504</v>
      </c>
      <c r="E175" s="16">
        <v>0.10668950470955224</v>
      </c>
      <c r="F175" s="16">
        <v>2.0621976713593462E-2</v>
      </c>
      <c r="G175" s="16">
        <v>-3.9715434863273204E-2</v>
      </c>
      <c r="H175" s="16">
        <v>-1.4638594361098019E-2</v>
      </c>
      <c r="I175" s="16">
        <v>5.7164207173327819E-2</v>
      </c>
      <c r="J175" s="16">
        <v>2.3041853791595908E-2</v>
      </c>
    </row>
    <row r="176" spans="2:10" x14ac:dyDescent="0.35">
      <c r="B176" s="7" t="s">
        <v>79</v>
      </c>
      <c r="C176" s="16">
        <v>-0.1859840925418981</v>
      </c>
      <c r="D176" s="16">
        <v>-0.19916263739776274</v>
      </c>
      <c r="E176" s="16">
        <v>0.17468244959296267</v>
      </c>
      <c r="F176" s="16">
        <v>3.4046033959782626E-4</v>
      </c>
      <c r="G176" s="16">
        <v>-0.15531118997505738</v>
      </c>
      <c r="H176" s="16">
        <v>-4.2932007761589897E-2</v>
      </c>
      <c r="I176" s="16">
        <v>6.4641275192899306E-2</v>
      </c>
      <c r="J176" s="16">
        <v>7.0308464337061278E-3</v>
      </c>
    </row>
    <row r="177" spans="2:10" x14ac:dyDescent="0.35">
      <c r="B177" s="7" t="s">
        <v>80</v>
      </c>
      <c r="C177" s="16">
        <v>0.30510194157843384</v>
      </c>
      <c r="D177" s="16">
        <v>-0.13700285851792721</v>
      </c>
      <c r="E177" s="16">
        <v>-4.7291614379716539E-2</v>
      </c>
      <c r="F177" s="16">
        <v>-0.19270685449903541</v>
      </c>
      <c r="G177" s="16">
        <v>0.12904040693878702</v>
      </c>
      <c r="H177" s="16">
        <v>-9.7356165152252247E-2</v>
      </c>
      <c r="I177" s="16">
        <v>-3.3702628891056456E-2</v>
      </c>
      <c r="J177" s="16">
        <v>-1.9080626096889933E-2</v>
      </c>
    </row>
    <row r="178" spans="2:10" x14ac:dyDescent="0.35">
      <c r="B178" s="7" t="s">
        <v>81</v>
      </c>
      <c r="C178" s="16">
        <v>-0.47023071014512652</v>
      </c>
      <c r="D178" s="16">
        <v>0.32785540391033502</v>
      </c>
      <c r="E178" s="16">
        <v>-0.28858134971430371</v>
      </c>
      <c r="F178" s="16">
        <v>-0.42948331116702843</v>
      </c>
      <c r="G178" s="16">
        <v>-0.28048218847225875</v>
      </c>
      <c r="H178" s="16">
        <v>4.1162771876853639E-2</v>
      </c>
      <c r="I178" s="16">
        <v>-0.14042248038627717</v>
      </c>
      <c r="J178" s="16">
        <v>-4.7271613632394113E-2</v>
      </c>
    </row>
    <row r="179" spans="2:10" x14ac:dyDescent="0.35">
      <c r="B179" s="7" t="s">
        <v>82</v>
      </c>
      <c r="C179" s="16">
        <v>0.26937059822081288</v>
      </c>
      <c r="D179" s="16">
        <v>0.327678446922054</v>
      </c>
      <c r="E179" s="16">
        <v>0.55127181345753562</v>
      </c>
      <c r="F179" s="16">
        <v>-5.4941852412570555E-3</v>
      </c>
      <c r="G179" s="16">
        <v>0.39315459358656174</v>
      </c>
      <c r="H179" s="16">
        <v>0.28662954661704859</v>
      </c>
      <c r="I179" s="16">
        <v>0.14258820563109514</v>
      </c>
      <c r="J179" s="16">
        <v>-4.2916465698151586E-2</v>
      </c>
    </row>
    <row r="180" spans="2:10" x14ac:dyDescent="0.35">
      <c r="B180" s="7" t="s">
        <v>83</v>
      </c>
      <c r="C180" s="16">
        <v>0.29789977067485252</v>
      </c>
      <c r="D180" s="16">
        <v>0.17351078805501702</v>
      </c>
      <c r="E180" s="16">
        <v>2.7371203478491583E-2</v>
      </c>
      <c r="F180" s="16">
        <v>-0.26492134842652465</v>
      </c>
      <c r="G180" s="16">
        <v>0.23834305164695954</v>
      </c>
      <c r="H180" s="16">
        <v>5.4853834163867563E-2</v>
      </c>
      <c r="I180" s="16">
        <v>-3.6202204099103456E-2</v>
      </c>
      <c r="J180" s="16">
        <v>-4.8016749468864195E-2</v>
      </c>
    </row>
    <row r="181" spans="2:10" x14ac:dyDescent="0.35">
      <c r="B181" s="7" t="s">
        <v>84</v>
      </c>
      <c r="C181" s="16">
        <v>0.18121239061639338</v>
      </c>
      <c r="D181" s="16">
        <v>0.11531590866387084</v>
      </c>
      <c r="E181" s="16">
        <v>0.2904097941433364</v>
      </c>
      <c r="F181" s="16">
        <v>-9.3246857888960158E-2</v>
      </c>
      <c r="G181" s="16">
        <v>0.21196143634507927</v>
      </c>
      <c r="H181" s="16">
        <v>0.12273843274887254</v>
      </c>
      <c r="I181" s="16">
        <v>7.5383420085040106E-2</v>
      </c>
      <c r="J181" s="16">
        <v>-2.2324249947366537E-2</v>
      </c>
    </row>
    <row r="182" spans="2:10" x14ac:dyDescent="0.35">
      <c r="B182" s="7" t="s">
        <v>85</v>
      </c>
      <c r="C182" s="16">
        <v>0.33404389066616047</v>
      </c>
      <c r="D182" s="16">
        <v>-8.4955162202418791E-2</v>
      </c>
      <c r="E182" s="16">
        <v>-0.27622848093802749</v>
      </c>
      <c r="F182" s="16">
        <v>0.35697061030263377</v>
      </c>
      <c r="G182" s="16">
        <v>0.18336886547073644</v>
      </c>
      <c r="H182" s="16">
        <v>-5.043191779152964E-2</v>
      </c>
      <c r="I182" s="16">
        <v>-9.4445376402894961E-3</v>
      </c>
      <c r="J182" s="16">
        <v>8.7237598886122106E-2</v>
      </c>
    </row>
    <row r="183" spans="2:10" x14ac:dyDescent="0.35">
      <c r="B183" s="7" t="s">
        <v>86</v>
      </c>
      <c r="C183" s="16">
        <v>1.8055867693163537E-2</v>
      </c>
      <c r="D183" s="16">
        <v>-0.13532742763750583</v>
      </c>
      <c r="E183" s="16">
        <v>-0.3923054733354307</v>
      </c>
      <c r="F183" s="16">
        <v>0.21934309823519341</v>
      </c>
      <c r="G183" s="16">
        <v>-6.4433703897985167E-2</v>
      </c>
      <c r="H183" s="16">
        <v>-0.1019280453051961</v>
      </c>
      <c r="I183" s="16">
        <v>-3.9931921993833358E-2</v>
      </c>
      <c r="J183" s="16">
        <v>9.5782583131590465E-2</v>
      </c>
    </row>
    <row r="184" spans="2:10" x14ac:dyDescent="0.35">
      <c r="B184" s="7" t="s">
        <v>87</v>
      </c>
      <c r="C184" s="16">
        <v>-0.16653971987092145</v>
      </c>
      <c r="D184" s="16">
        <v>0.19804128667722226</v>
      </c>
      <c r="E184" s="16">
        <v>-4.2174364385075123E-2</v>
      </c>
      <c r="F184" s="16">
        <v>7.6557219933596668E-2</v>
      </c>
      <c r="G184" s="16">
        <v>-7.7644368011377876E-2</v>
      </c>
      <c r="H184" s="16">
        <v>4.3524210568408626E-2</v>
      </c>
      <c r="I184" s="16">
        <v>-6.3316196241273257E-2</v>
      </c>
      <c r="J184" s="16">
        <v>-5.227749673867578E-2</v>
      </c>
    </row>
    <row r="185" spans="2:10" x14ac:dyDescent="0.35">
      <c r="B185" s="7" t="s">
        <v>88</v>
      </c>
      <c r="C185" s="16">
        <v>-3.3578617288849678E-2</v>
      </c>
      <c r="D185" s="16">
        <v>0.14219053258145517</v>
      </c>
      <c r="E185" s="16">
        <v>-0.20828349822363271</v>
      </c>
      <c r="F185" s="16">
        <v>0.15826360163222464</v>
      </c>
      <c r="G185" s="16">
        <v>1.7799817882398726E-2</v>
      </c>
      <c r="H185" s="16">
        <v>5.3415893522965614E-2</v>
      </c>
      <c r="I185" s="16">
        <v>-1.9912698102390512E-2</v>
      </c>
      <c r="J185" s="16">
        <v>5.2218574996834369E-2</v>
      </c>
    </row>
    <row r="186" spans="2:10" x14ac:dyDescent="0.35">
      <c r="B186" s="7" t="s">
        <v>89</v>
      </c>
      <c r="C186" s="16">
        <v>-0.19196281240818361</v>
      </c>
      <c r="D186" s="16">
        <v>-0.32280387832143598</v>
      </c>
      <c r="E186" s="16">
        <v>3.2731377276580848E-2</v>
      </c>
      <c r="F186" s="16">
        <v>-0.10163553026999872</v>
      </c>
      <c r="G186" s="16">
        <v>-0.27303910673665371</v>
      </c>
      <c r="H186" s="16">
        <v>-0.19473963927484506</v>
      </c>
      <c r="I186" s="16">
        <v>-3.9474952916473668E-2</v>
      </c>
      <c r="J186" s="16">
        <v>-5.3373532396106607E-2</v>
      </c>
    </row>
    <row r="187" spans="2:10" x14ac:dyDescent="0.35">
      <c r="B187" s="7" t="s">
        <v>90</v>
      </c>
      <c r="C187" s="16">
        <v>-0.35764637731121396</v>
      </c>
      <c r="D187" s="16">
        <v>-0.55170189939655079</v>
      </c>
      <c r="E187" s="16">
        <v>0.34033185392079579</v>
      </c>
      <c r="F187" s="16">
        <v>-1.1842802394706795E-2</v>
      </c>
      <c r="G187" s="16">
        <v>-0.36995507096601621</v>
      </c>
      <c r="H187" s="16">
        <v>-0.17768672488550957</v>
      </c>
      <c r="I187" s="16">
        <v>0.11133974160959689</v>
      </c>
      <c r="J187" s="16">
        <v>-1.7804255340220362E-3</v>
      </c>
    </row>
    <row r="188" spans="2:10" x14ac:dyDescent="0.35">
      <c r="B188" s="7" t="s">
        <v>91</v>
      </c>
      <c r="C188" s="16">
        <v>-2.3085549985548751E-2</v>
      </c>
      <c r="D188" s="16">
        <v>-3.2903731620011617E-2</v>
      </c>
      <c r="E188" s="16">
        <v>-7.3271293811737193E-2</v>
      </c>
      <c r="F188" s="16">
        <v>0.27854488523758414</v>
      </c>
      <c r="G188" s="16">
        <v>-2.7515585625945044E-2</v>
      </c>
      <c r="H188" s="16">
        <v>-1.6320460819028923E-2</v>
      </c>
      <c r="I188" s="16">
        <v>4.421200398788623E-5</v>
      </c>
      <c r="J188" s="16">
        <v>2.584312650766394E-2</v>
      </c>
    </row>
    <row r="189" spans="2:10" x14ac:dyDescent="0.35">
      <c r="B189" s="7" t="s">
        <v>92</v>
      </c>
      <c r="C189" s="16">
        <v>-0.10735257743436566</v>
      </c>
      <c r="D189" s="16">
        <v>7.8311333124592084E-3</v>
      </c>
      <c r="E189" s="16">
        <v>-1.2507742975790204E-2</v>
      </c>
      <c r="F189" s="16">
        <v>-0.12504239497900921</v>
      </c>
      <c r="G189" s="16">
        <v>-9.7325639305645251E-2</v>
      </c>
      <c r="H189" s="16">
        <v>-3.5025880224916962E-2</v>
      </c>
      <c r="I189" s="16">
        <v>-4.485589582834841E-2</v>
      </c>
      <c r="J189" s="16">
        <v>-4.3151110821104906E-2</v>
      </c>
    </row>
    <row r="190" spans="2:10" x14ac:dyDescent="0.35">
      <c r="B190" s="7" t="s">
        <v>93</v>
      </c>
      <c r="C190" s="16">
        <v>-0.14275226330009783</v>
      </c>
      <c r="D190" s="16">
        <v>-5.0642005158902062E-2</v>
      </c>
      <c r="E190" s="16">
        <v>0.15316033517400501</v>
      </c>
      <c r="F190" s="16">
        <v>2.0121150963494261E-2</v>
      </c>
      <c r="G190" s="16">
        <v>-8.0151201692970062E-2</v>
      </c>
      <c r="H190" s="16">
        <v>1.9164352809917122E-2</v>
      </c>
      <c r="I190" s="16">
        <v>5.1105924352370831E-2</v>
      </c>
      <c r="J190" s="16">
        <v>2.5832399639855196E-4</v>
      </c>
    </row>
    <row r="191" spans="2:10" ht="15" thickBot="1" x14ac:dyDescent="0.4">
      <c r="B191" s="34" t="s">
        <v>0</v>
      </c>
      <c r="C191" s="35">
        <v>0.66208115760762454</v>
      </c>
      <c r="D191" s="35">
        <v>0.37259684697789747</v>
      </c>
      <c r="E191" s="35">
        <v>0.21593705631369206</v>
      </c>
      <c r="F191" s="35">
        <v>0.12832979423766527</v>
      </c>
      <c r="G191" s="35">
        <v>0.99999999999999978</v>
      </c>
      <c r="H191" s="35">
        <v>0.74943214552149262</v>
      </c>
      <c r="I191" s="35">
        <v>0.65024620749611184</v>
      </c>
      <c r="J191" s="35">
        <v>0.61334437151868781</v>
      </c>
    </row>
    <row r="211" spans="2:7" x14ac:dyDescent="0.35">
      <c r="G211" t="s">
        <v>103</v>
      </c>
    </row>
    <row r="214" spans="2:7" x14ac:dyDescent="0.35">
      <c r="B214" s="6" t="s">
        <v>113</v>
      </c>
    </row>
    <row r="215" spans="2:7" ht="15" thickBot="1" x14ac:dyDescent="0.4"/>
    <row r="216" spans="2:7" x14ac:dyDescent="0.35">
      <c r="B216" s="8" t="s">
        <v>56</v>
      </c>
      <c r="C216" s="9" t="s">
        <v>114</v>
      </c>
      <c r="D216" s="9" t="s">
        <v>115</v>
      </c>
      <c r="E216" s="9" t="s">
        <v>116</v>
      </c>
      <c r="F216" s="9" t="s">
        <v>117</v>
      </c>
    </row>
    <row r="217" spans="2:7" x14ac:dyDescent="0.35">
      <c r="B217" s="22" t="s">
        <v>1</v>
      </c>
      <c r="C217" s="23">
        <v>-2.4956618603394924E-2</v>
      </c>
      <c r="D217" s="23">
        <v>0.10809704788857269</v>
      </c>
      <c r="E217" s="23">
        <v>-0.15461808552470133</v>
      </c>
      <c r="F217" s="23">
        <v>-3.2406269443313644E-2</v>
      </c>
    </row>
    <row r="218" spans="2:7" x14ac:dyDescent="0.35">
      <c r="B218" s="7" t="s">
        <v>2</v>
      </c>
      <c r="C218" s="16">
        <v>-5.9400600301345993E-3</v>
      </c>
      <c r="D218" s="16">
        <v>-0.3680050259899455</v>
      </c>
      <c r="E218" s="16">
        <v>4.459522621068128E-2</v>
      </c>
      <c r="F218" s="16">
        <v>-0.30770109299511544</v>
      </c>
    </row>
    <row r="219" spans="2:7" x14ac:dyDescent="0.35">
      <c r="B219" s="7" t="s">
        <v>3</v>
      </c>
      <c r="C219" s="16">
        <v>1.64515502277899E-2</v>
      </c>
      <c r="D219" s="16">
        <v>0.28027381349281744</v>
      </c>
      <c r="E219" s="16">
        <v>-0.19940153256654056</v>
      </c>
      <c r="F219" s="16">
        <v>7.3789089290455023E-2</v>
      </c>
    </row>
    <row r="220" spans="2:7" x14ac:dyDescent="0.35">
      <c r="B220" s="7" t="s">
        <v>4</v>
      </c>
      <c r="C220" s="16">
        <v>0.3154467334149022</v>
      </c>
      <c r="D220" s="16">
        <v>5.4165871218399986E-3</v>
      </c>
      <c r="E220" s="16">
        <v>-8.5056493342248445E-3</v>
      </c>
      <c r="F220" s="16">
        <v>-0.18904345401670705</v>
      </c>
    </row>
    <row r="221" spans="2:7" x14ac:dyDescent="0.35">
      <c r="B221" s="7" t="s">
        <v>5</v>
      </c>
      <c r="C221" s="16">
        <v>-0.23200189040261929</v>
      </c>
      <c r="D221" s="16">
        <v>6.3233292664612972E-2</v>
      </c>
      <c r="E221" s="16">
        <v>-0.22009136441080424</v>
      </c>
      <c r="F221" s="16">
        <v>-0.202778662936315</v>
      </c>
    </row>
    <row r="222" spans="2:7" x14ac:dyDescent="0.35">
      <c r="B222" s="7" t="s">
        <v>6</v>
      </c>
      <c r="C222" s="16">
        <v>5.4425510034757971E-2</v>
      </c>
      <c r="D222" s="16">
        <v>5.2754426891621638E-2</v>
      </c>
      <c r="E222" s="16">
        <v>-5.8463764185589663E-2</v>
      </c>
      <c r="F222" s="16">
        <v>0.3219179817540081</v>
      </c>
    </row>
    <row r="223" spans="2:7" x14ac:dyDescent="0.35">
      <c r="B223" s="7" t="s">
        <v>7</v>
      </c>
      <c r="C223" s="16">
        <v>0.29156547627445567</v>
      </c>
      <c r="D223" s="16">
        <v>-0.15249593577279322</v>
      </c>
      <c r="E223" s="16">
        <v>8.2249216789705759E-2</v>
      </c>
      <c r="F223" s="16">
        <v>-4.5050481549020895E-2</v>
      </c>
    </row>
    <row r="224" spans="2:7" x14ac:dyDescent="0.35">
      <c r="B224" s="7" t="s">
        <v>8</v>
      </c>
      <c r="C224" s="16">
        <v>-6.2952852483744548E-2</v>
      </c>
      <c r="D224" s="16">
        <v>0.18992162538111981</v>
      </c>
      <c r="E224" s="16">
        <v>-8.2272989104737418E-2</v>
      </c>
      <c r="F224" s="16">
        <v>-0.11649373063845914</v>
      </c>
    </row>
    <row r="225" spans="2:6" x14ac:dyDescent="0.35">
      <c r="B225" s="7" t="s">
        <v>9</v>
      </c>
      <c r="C225" s="16">
        <v>6.8285765696991671E-2</v>
      </c>
      <c r="D225" s="16">
        <v>-2.4404729256080459E-2</v>
      </c>
      <c r="E225" s="16">
        <v>-0.18216837346252412</v>
      </c>
      <c r="F225" s="16">
        <v>-7.8888686561745081E-2</v>
      </c>
    </row>
    <row r="226" spans="2:6" x14ac:dyDescent="0.35">
      <c r="B226" s="7" t="s">
        <v>10</v>
      </c>
      <c r="C226" s="16">
        <v>4.2580126349904754E-2</v>
      </c>
      <c r="D226" s="16">
        <v>-1.7246052796565164E-3</v>
      </c>
      <c r="E226" s="16">
        <v>-0.22845077698274063</v>
      </c>
      <c r="F226" s="16">
        <v>9.5844081005447931E-2</v>
      </c>
    </row>
    <row r="227" spans="2:6" x14ac:dyDescent="0.35">
      <c r="B227" s="7" t="s">
        <v>11</v>
      </c>
      <c r="C227" s="16">
        <v>0.15264013426756295</v>
      </c>
      <c r="D227" s="16">
        <v>-0.29350381782414148</v>
      </c>
      <c r="E227" s="16">
        <v>-0.30370740998431983</v>
      </c>
      <c r="F227" s="16">
        <v>8.2981960972726129E-2</v>
      </c>
    </row>
    <row r="228" spans="2:6" x14ac:dyDescent="0.35">
      <c r="B228" s="7" t="s">
        <v>12</v>
      </c>
      <c r="C228" s="16">
        <v>0.12965480105566241</v>
      </c>
      <c r="D228" s="16">
        <v>-0.21745581541333817</v>
      </c>
      <c r="E228" s="16">
        <v>-0.27380057019992482</v>
      </c>
      <c r="F228" s="16">
        <v>0.1548276056229699</v>
      </c>
    </row>
    <row r="229" spans="2:6" x14ac:dyDescent="0.35">
      <c r="B229" s="7" t="s">
        <v>13</v>
      </c>
      <c r="C229" s="16">
        <v>-6.632630211031379E-2</v>
      </c>
      <c r="D229" s="16">
        <v>-0.1824395218681468</v>
      </c>
      <c r="E229" s="16">
        <v>0.30178398480292001</v>
      </c>
      <c r="F229" s="16">
        <v>-5.9041065113742963E-2</v>
      </c>
    </row>
    <row r="230" spans="2:6" x14ac:dyDescent="0.35">
      <c r="B230" s="7" t="s">
        <v>14</v>
      </c>
      <c r="C230" s="16">
        <v>-8.0389103299940597E-3</v>
      </c>
      <c r="D230" s="16">
        <v>0.13537491723037001</v>
      </c>
      <c r="E230" s="16">
        <v>-4.0704184673341373E-2</v>
      </c>
      <c r="F230" s="16">
        <v>0.3106322753412763</v>
      </c>
    </row>
    <row r="231" spans="2:6" x14ac:dyDescent="0.35">
      <c r="B231" s="7" t="s">
        <v>15</v>
      </c>
      <c r="C231" s="16">
        <v>0.11459019304808618</v>
      </c>
      <c r="D231" s="16">
        <v>-3.2982794140312258E-2</v>
      </c>
      <c r="E231" s="16">
        <v>-0.10858544380927264</v>
      </c>
      <c r="F231" s="16">
        <v>0.30819091940430005</v>
      </c>
    </row>
    <row r="232" spans="2:6" x14ac:dyDescent="0.35">
      <c r="B232" s="7" t="s">
        <v>16</v>
      </c>
      <c r="C232" s="16">
        <v>0.20295129054270505</v>
      </c>
      <c r="D232" s="16">
        <v>-0.15265499194402551</v>
      </c>
      <c r="E232" s="16">
        <v>0.19165944736264479</v>
      </c>
      <c r="F232" s="16">
        <v>0.22226196632671652</v>
      </c>
    </row>
    <row r="233" spans="2:6" x14ac:dyDescent="0.35">
      <c r="B233" s="7" t="s">
        <v>17</v>
      </c>
      <c r="C233" s="16">
        <v>0.33387461842667093</v>
      </c>
      <c r="D233" s="16">
        <v>-0.11715706789080241</v>
      </c>
      <c r="E233" s="16">
        <v>6.8825585411689788E-2</v>
      </c>
      <c r="F233" s="16">
        <v>7.5424812427014746E-3</v>
      </c>
    </row>
    <row r="234" spans="2:6" x14ac:dyDescent="0.35">
      <c r="B234" s="7" t="s">
        <v>18</v>
      </c>
      <c r="C234" s="16">
        <v>0.31363283862188801</v>
      </c>
      <c r="D234" s="16">
        <v>0.13125419392725124</v>
      </c>
      <c r="E234" s="16">
        <v>0.19295918438763801</v>
      </c>
      <c r="F234" s="16">
        <v>-0.1590888832764093</v>
      </c>
    </row>
    <row r="235" spans="2:6" x14ac:dyDescent="0.35">
      <c r="B235" s="7" t="s">
        <v>19</v>
      </c>
      <c r="C235" s="16">
        <v>-0.22880947405344351</v>
      </c>
      <c r="D235" s="16">
        <v>4.8186880798802715E-3</v>
      </c>
      <c r="E235" s="16">
        <v>0.17557867439812397</v>
      </c>
      <c r="F235" s="16">
        <v>5.3703030073758304E-2</v>
      </c>
    </row>
    <row r="236" spans="2:6" x14ac:dyDescent="0.35">
      <c r="B236" s="7" t="s">
        <v>20</v>
      </c>
      <c r="C236" s="16">
        <v>0.21631226528596445</v>
      </c>
      <c r="D236" s="16">
        <v>-5.6669634051395357E-2</v>
      </c>
      <c r="E236" s="16">
        <v>-0.23925815830489477</v>
      </c>
      <c r="F236" s="16">
        <v>-6.7234997768605212E-2</v>
      </c>
    </row>
    <row r="237" spans="2:6" x14ac:dyDescent="0.35">
      <c r="B237" s="7" t="s">
        <v>72</v>
      </c>
      <c r="C237" s="16">
        <v>-0.1127174075670799</v>
      </c>
      <c r="D237" s="16">
        <v>0.26155638884409521</v>
      </c>
      <c r="E237" s="16">
        <v>-0.17006784158973617</v>
      </c>
      <c r="F237" s="16">
        <v>5.6200485620160091E-3</v>
      </c>
    </row>
    <row r="238" spans="2:6" x14ac:dyDescent="0.35">
      <c r="B238" s="7" t="s">
        <v>73</v>
      </c>
      <c r="C238" s="16">
        <v>1.6862485502956319E-2</v>
      </c>
      <c r="D238" s="16">
        <v>-6.094786004819285E-4</v>
      </c>
      <c r="E238" s="16">
        <v>1.4179807275071702E-2</v>
      </c>
      <c r="F238" s="16">
        <v>0.25427028600082086</v>
      </c>
    </row>
    <row r="239" spans="2:6" x14ac:dyDescent="0.35">
      <c r="B239" s="7" t="s">
        <v>74</v>
      </c>
      <c r="C239" s="16">
        <v>-5.9890802846504249E-2</v>
      </c>
      <c r="D239" s="16">
        <v>-1.437163789445684E-2</v>
      </c>
      <c r="E239" s="16">
        <v>-3.1238503429871882E-2</v>
      </c>
      <c r="F239" s="16">
        <v>-7.0527364812720372E-2</v>
      </c>
    </row>
    <row r="240" spans="2:6" x14ac:dyDescent="0.35">
      <c r="B240" s="7" t="s">
        <v>75</v>
      </c>
      <c r="C240" s="16">
        <v>3.8060139816101311E-2</v>
      </c>
      <c r="D240" s="16">
        <v>0.15829159954739908</v>
      </c>
      <c r="E240" s="16">
        <v>2.6602603186212482E-2</v>
      </c>
      <c r="F240" s="16">
        <v>-3.2984676732215876E-2</v>
      </c>
    </row>
    <row r="241" spans="2:6" x14ac:dyDescent="0.35">
      <c r="B241" s="7" t="s">
        <v>76</v>
      </c>
      <c r="C241" s="16">
        <v>-9.7107656500100545E-2</v>
      </c>
      <c r="D241" s="16">
        <v>-6.3637124642615214E-2</v>
      </c>
      <c r="E241" s="16">
        <v>0.24954936753507193</v>
      </c>
      <c r="F241" s="16">
        <v>0.1225217941437831</v>
      </c>
    </row>
    <row r="242" spans="2:6" x14ac:dyDescent="0.35">
      <c r="B242" s="7" t="s">
        <v>77</v>
      </c>
      <c r="C242" s="16">
        <v>0.21527448675099964</v>
      </c>
      <c r="D242" s="16">
        <v>-0.11003498713276082</v>
      </c>
      <c r="E242" s="16">
        <v>-0.15431073209319077</v>
      </c>
      <c r="F242" s="16">
        <v>-0.2416356713181266</v>
      </c>
    </row>
    <row r="243" spans="2:6" x14ac:dyDescent="0.35">
      <c r="B243" s="7" t="s">
        <v>78</v>
      </c>
      <c r="C243" s="16">
        <v>-2.5399311288423133E-2</v>
      </c>
      <c r="D243" s="16">
        <v>-1.9358907051828238E-2</v>
      </c>
      <c r="E243" s="16">
        <v>9.6350723903263352E-2</v>
      </c>
      <c r="F243" s="16">
        <v>5.9349090741312227E-2</v>
      </c>
    </row>
    <row r="244" spans="2:6" x14ac:dyDescent="0.35">
      <c r="B244" s="7" t="s">
        <v>79</v>
      </c>
      <c r="C244" s="16">
        <v>-9.9326553374840351E-2</v>
      </c>
      <c r="D244" s="16">
        <v>-5.677572089938332E-2</v>
      </c>
      <c r="E244" s="16">
        <v>0.10895338126498018</v>
      </c>
      <c r="F244" s="16">
        <v>1.8109408503166505E-2</v>
      </c>
    </row>
    <row r="245" spans="2:6" x14ac:dyDescent="0.35">
      <c r="B245" s="7" t="s">
        <v>80</v>
      </c>
      <c r="C245" s="16">
        <v>8.2525533861242992E-2</v>
      </c>
      <c r="D245" s="16">
        <v>-0.12874931196355111</v>
      </c>
      <c r="E245" s="16">
        <v>-5.680604790424635E-2</v>
      </c>
      <c r="F245" s="16">
        <v>-4.9146124260123603E-2</v>
      </c>
    </row>
    <row r="246" spans="2:6" x14ac:dyDescent="0.35">
      <c r="B246" s="7" t="s">
        <v>81</v>
      </c>
      <c r="C246" s="16">
        <v>-0.17937747478759283</v>
      </c>
      <c r="D246" s="16">
        <v>5.4435983066604306E-2</v>
      </c>
      <c r="E246" s="16">
        <v>-0.23668320276857585</v>
      </c>
      <c r="F246" s="16">
        <v>-0.12175788078216482</v>
      </c>
    </row>
    <row r="247" spans="2:6" x14ac:dyDescent="0.35">
      <c r="B247" s="7" t="s">
        <v>82</v>
      </c>
      <c r="C247" s="16">
        <v>0.25143513954603508</v>
      </c>
      <c r="D247" s="16">
        <v>0.37905516160848823</v>
      </c>
      <c r="E247" s="16">
        <v>0.24033354982020311</v>
      </c>
      <c r="F247" s="16">
        <v>-0.110540290727173</v>
      </c>
    </row>
    <row r="248" spans="2:6" x14ac:dyDescent="0.35">
      <c r="B248" s="7" t="s">
        <v>83</v>
      </c>
      <c r="C248" s="16">
        <v>0.15242812732769653</v>
      </c>
      <c r="D248" s="16">
        <v>7.2541819987630388E-2</v>
      </c>
      <c r="E248" s="16">
        <v>-6.1019101712825451E-2</v>
      </c>
      <c r="F248" s="16">
        <v>-0.12367713323351975</v>
      </c>
    </row>
    <row r="249" spans="2:6" x14ac:dyDescent="0.35">
      <c r="B249" s="7" t="s">
        <v>84</v>
      </c>
      <c r="C249" s="16">
        <v>0.13555622697835604</v>
      </c>
      <c r="D249" s="16">
        <v>0.16231626156585968</v>
      </c>
      <c r="E249" s="16">
        <v>0.12705935155322853</v>
      </c>
      <c r="F249" s="16">
        <v>-5.7500752666925198E-2</v>
      </c>
    </row>
    <row r="250" spans="2:6" x14ac:dyDescent="0.35">
      <c r="B250" s="7" t="s">
        <v>85</v>
      </c>
      <c r="C250" s="16">
        <v>0.11727034868761303</v>
      </c>
      <c r="D250" s="16">
        <v>-6.6694027096358244E-2</v>
      </c>
      <c r="E250" s="16">
        <v>-1.591884298883631E-2</v>
      </c>
      <c r="F250" s="16">
        <v>0.22469859496439817</v>
      </c>
    </row>
    <row r="251" spans="2:6" x14ac:dyDescent="0.35">
      <c r="B251" s="7" t="s">
        <v>86</v>
      </c>
      <c r="C251" s="16">
        <v>-4.1207447643596816E-2</v>
      </c>
      <c r="D251" s="16">
        <v>-0.13479542545981352</v>
      </c>
      <c r="E251" s="16">
        <v>-6.7305570761937952E-2</v>
      </c>
      <c r="F251" s="16">
        <v>0.24670798057869078</v>
      </c>
    </row>
    <row r="252" spans="2:6" x14ac:dyDescent="0.35">
      <c r="B252" s="7" t="s">
        <v>87</v>
      </c>
      <c r="C252" s="16">
        <v>-4.9656096671311448E-2</v>
      </c>
      <c r="D252" s="16">
        <v>5.7558883463372547E-2</v>
      </c>
      <c r="E252" s="16">
        <v>-0.1067199501980359</v>
      </c>
      <c r="F252" s="16">
        <v>-0.1346515747272013</v>
      </c>
    </row>
    <row r="253" spans="2:6" x14ac:dyDescent="0.35">
      <c r="B253" s="7" t="s">
        <v>88</v>
      </c>
      <c r="C253" s="16">
        <v>1.1383562003758108E-2</v>
      </c>
      <c r="D253" s="16">
        <v>7.0640205766579103E-2</v>
      </c>
      <c r="E253" s="16">
        <v>-3.3563010350429051E-2</v>
      </c>
      <c r="F253" s="16">
        <v>0.13449980951617332</v>
      </c>
    </row>
    <row r="254" spans="2:6" x14ac:dyDescent="0.35">
      <c r="B254" s="7" t="s">
        <v>89</v>
      </c>
      <c r="C254" s="16">
        <v>-0.17461738212843828</v>
      </c>
      <c r="D254" s="16">
        <v>-0.2575347388576395</v>
      </c>
      <c r="E254" s="16">
        <v>-6.653534576307632E-2</v>
      </c>
      <c r="F254" s="16">
        <v>-0.13747464270935841</v>
      </c>
    </row>
    <row r="255" spans="2:6" x14ac:dyDescent="0.35">
      <c r="B255" s="7" t="s">
        <v>90</v>
      </c>
      <c r="C255" s="16">
        <v>-0.23659829087975154</v>
      </c>
      <c r="D255" s="16">
        <v>-0.23498299813154666</v>
      </c>
      <c r="E255" s="16">
        <v>0.18766401623938547</v>
      </c>
      <c r="F255" s="16">
        <v>-4.5858565692043878E-3</v>
      </c>
    </row>
    <row r="256" spans="2:6" x14ac:dyDescent="0.35">
      <c r="B256" s="7" t="s">
        <v>91</v>
      </c>
      <c r="C256" s="16">
        <v>-1.7597111223952074E-2</v>
      </c>
      <c r="D256" s="16">
        <v>-2.1583102601586693E-2</v>
      </c>
      <c r="E256" s="16">
        <v>7.4519682859145337E-5</v>
      </c>
      <c r="F256" s="16">
        <v>6.6564351723383583E-2</v>
      </c>
    </row>
    <row r="257" spans="2:6" x14ac:dyDescent="0.35">
      <c r="B257" s="7" t="s">
        <v>92</v>
      </c>
      <c r="C257" s="16">
        <v>-6.2242909276435061E-2</v>
      </c>
      <c r="D257" s="16">
        <v>-4.6320209642845632E-2</v>
      </c>
      <c r="E257" s="16">
        <v>-7.5604967655482469E-2</v>
      </c>
      <c r="F257" s="16">
        <v>-0.11114466808413899</v>
      </c>
    </row>
    <row r="258" spans="2:6" ht="15" thickBot="1" x14ac:dyDescent="0.4">
      <c r="B258" s="11" t="s">
        <v>93</v>
      </c>
      <c r="C258" s="17">
        <v>-5.1259298279106309E-2</v>
      </c>
      <c r="D258" s="17">
        <v>2.5344026591894792E-2</v>
      </c>
      <c r="E258" s="17">
        <v>8.6139440229897807E-2</v>
      </c>
      <c r="F258" s="17">
        <v>6.6536722442468678E-4</v>
      </c>
    </row>
    <row r="261" spans="2:6" x14ac:dyDescent="0.35">
      <c r="B261" s="6" t="s">
        <v>118</v>
      </c>
    </row>
    <row r="262" spans="2:6" ht="15" thickBot="1" x14ac:dyDescent="0.4"/>
    <row r="263" spans="2:6" x14ac:dyDescent="0.35">
      <c r="B263" s="8" t="s">
        <v>56</v>
      </c>
      <c r="C263" s="9" t="s">
        <v>119</v>
      </c>
      <c r="D263" s="9" t="s">
        <v>120</v>
      </c>
      <c r="E263" s="9" t="s">
        <v>121</v>
      </c>
      <c r="F263" s="9" t="s">
        <v>122</v>
      </c>
    </row>
    <row r="264" spans="2:6" x14ac:dyDescent="0.35">
      <c r="B264" s="22" t="s">
        <v>1</v>
      </c>
      <c r="C264" s="23">
        <v>-2.4956618603394924E-2</v>
      </c>
      <c r="D264" s="23">
        <v>9.9052242645702809E-2</v>
      </c>
      <c r="E264" s="23">
        <v>-8.7186948317237348E-2</v>
      </c>
      <c r="F264" s="23">
        <v>-8.6222363973413249E-2</v>
      </c>
    </row>
    <row r="265" spans="2:6" x14ac:dyDescent="0.35">
      <c r="B265" s="7" t="s">
        <v>2</v>
      </c>
      <c r="C265" s="16">
        <v>-5.9400600301345993E-3</v>
      </c>
      <c r="D265" s="16">
        <v>-0.37015782909830452</v>
      </c>
      <c r="E265" s="16">
        <v>-0.20739466009228788</v>
      </c>
      <c r="F265" s="16">
        <v>-0.43571532962091786</v>
      </c>
    </row>
    <row r="266" spans="2:6" x14ac:dyDescent="0.35">
      <c r="B266" s="7" t="s">
        <v>3</v>
      </c>
      <c r="C266" s="16">
        <v>1.64515502277899E-2</v>
      </c>
      <c r="D266" s="16">
        <v>0.28623620247340675</v>
      </c>
      <c r="E266" s="16">
        <v>-4.542414517434392E-3</v>
      </c>
      <c r="F266" s="16">
        <v>7.0985286499059247E-2</v>
      </c>
    </row>
    <row r="267" spans="2:6" x14ac:dyDescent="0.35">
      <c r="B267" s="7" t="s">
        <v>4</v>
      </c>
      <c r="C267" s="16">
        <v>0.3154467334149022</v>
      </c>
      <c r="D267" s="16">
        <v>0.11974114020248706</v>
      </c>
      <c r="E267" s="16">
        <v>7.3009731223616162E-2</v>
      </c>
      <c r="F267" s="16">
        <v>-0.14397823871807175</v>
      </c>
    </row>
    <row r="268" spans="2:6" x14ac:dyDescent="0.35">
      <c r="B268" s="7" t="s">
        <v>5</v>
      </c>
      <c r="C268" s="16">
        <v>-0.23200189040261929</v>
      </c>
      <c r="D268" s="16">
        <v>-2.0849088366921554E-2</v>
      </c>
      <c r="E268" s="16">
        <v>-0.23428465979482777</v>
      </c>
      <c r="F268" s="16">
        <v>-0.34739073666774456</v>
      </c>
    </row>
    <row r="269" spans="2:6" x14ac:dyDescent="0.35">
      <c r="B269" s="7" t="s">
        <v>6</v>
      </c>
      <c r="C269" s="16">
        <v>5.4425510034757971E-2</v>
      </c>
      <c r="D269" s="16">
        <v>7.2479380272977623E-2</v>
      </c>
      <c r="E269" s="16">
        <v>-9.1224579682171406E-3</v>
      </c>
      <c r="F269" s="16">
        <v>0.31628714973339278</v>
      </c>
    </row>
    <row r="270" spans="2:6" x14ac:dyDescent="0.35">
      <c r="B270" s="7" t="s">
        <v>7</v>
      </c>
      <c r="C270" s="16">
        <v>0.29156547627445567</v>
      </c>
      <c r="D270" s="16">
        <v>-4.6826454247426978E-2</v>
      </c>
      <c r="E270" s="16">
        <v>5.0371482606629561E-2</v>
      </c>
      <c r="F270" s="16">
        <v>-1.3958712403527059E-2</v>
      </c>
    </row>
    <row r="271" spans="2:6" x14ac:dyDescent="0.35">
      <c r="B271" s="7" t="s">
        <v>8</v>
      </c>
      <c r="C271" s="16">
        <v>-6.2952852483744548E-2</v>
      </c>
      <c r="D271" s="16">
        <v>0.16710618314323866</v>
      </c>
      <c r="E271" s="16">
        <v>3.1486777083011466E-2</v>
      </c>
      <c r="F271" s="16">
        <v>-9.7058535294977794E-2</v>
      </c>
    </row>
    <row r="272" spans="2:6" x14ac:dyDescent="0.35">
      <c r="B272" s="7" t="s">
        <v>9</v>
      </c>
      <c r="C272" s="16">
        <v>6.8285765696991671E-2</v>
      </c>
      <c r="D272" s="16">
        <v>3.434732710646467E-4</v>
      </c>
      <c r="E272" s="16">
        <v>-0.18193454944552423</v>
      </c>
      <c r="F272" s="16">
        <v>-0.19118768429275848</v>
      </c>
    </row>
    <row r="273" spans="2:6" x14ac:dyDescent="0.35">
      <c r="B273" s="7" t="s">
        <v>10</v>
      </c>
      <c r="C273" s="16">
        <v>4.2580126349904754E-2</v>
      </c>
      <c r="D273" s="16">
        <v>1.3707331080475638E-2</v>
      </c>
      <c r="E273" s="16">
        <v>-0.21911932826287883</v>
      </c>
      <c r="F273" s="16">
        <v>-3.9407200416402603E-2</v>
      </c>
    </row>
    <row r="274" spans="2:6" x14ac:dyDescent="0.35">
      <c r="B274" s="7" t="s">
        <v>11</v>
      </c>
      <c r="C274" s="16">
        <v>0.15264013426756295</v>
      </c>
      <c r="D274" s="16">
        <v>-0.23818381199178851</v>
      </c>
      <c r="E274" s="16">
        <v>-0.46585422138427213</v>
      </c>
      <c r="F274" s="16">
        <v>-0.20456629365869963</v>
      </c>
    </row>
    <row r="275" spans="2:6" x14ac:dyDescent="0.35">
      <c r="B275" s="7" t="s">
        <v>12</v>
      </c>
      <c r="C275" s="16">
        <v>0.12965480105566241</v>
      </c>
      <c r="D275" s="16">
        <v>-0.17046617939782518</v>
      </c>
      <c r="E275" s="16">
        <v>-0.3898476987169649</v>
      </c>
      <c r="F275" s="16">
        <v>-8.580566588638612E-2</v>
      </c>
    </row>
    <row r="276" spans="2:6" x14ac:dyDescent="0.35">
      <c r="B276" s="7" t="s">
        <v>13</v>
      </c>
      <c r="C276" s="16">
        <v>-6.632630211031379E-2</v>
      </c>
      <c r="D276" s="16">
        <v>-0.20647757344080378</v>
      </c>
      <c r="E276" s="16">
        <v>0.16122161879216854</v>
      </c>
      <c r="F276" s="16">
        <v>4.0472887888092619E-2</v>
      </c>
    </row>
    <row r="277" spans="2:6" x14ac:dyDescent="0.35">
      <c r="B277" s="7" t="s">
        <v>14</v>
      </c>
      <c r="C277" s="16">
        <v>-8.0389103299940597E-3</v>
      </c>
      <c r="D277" s="16">
        <v>0.13246144648117963</v>
      </c>
      <c r="E277" s="16">
        <v>4.947071428700095E-2</v>
      </c>
      <c r="F277" s="16">
        <v>0.34116804575101356</v>
      </c>
    </row>
    <row r="278" spans="2:6" x14ac:dyDescent="0.35">
      <c r="B278" s="7" t="s">
        <v>15</v>
      </c>
      <c r="C278" s="16">
        <v>0.11459019304808618</v>
      </c>
      <c r="D278" s="16">
        <v>8.5471100239406395E-3</v>
      </c>
      <c r="E278" s="16">
        <v>-0.10276688449796931</v>
      </c>
      <c r="F278" s="16">
        <v>0.24475811807968806</v>
      </c>
    </row>
    <row r="279" spans="2:6" x14ac:dyDescent="0.35">
      <c r="B279" s="7" t="s">
        <v>16</v>
      </c>
      <c r="C279" s="16">
        <v>0.20295129054270505</v>
      </c>
      <c r="D279" s="16">
        <v>-7.910116135825225E-2</v>
      </c>
      <c r="E279" s="16">
        <v>0.13781027522530448</v>
      </c>
      <c r="F279" s="16">
        <v>0.30732528075491244</v>
      </c>
    </row>
    <row r="280" spans="2:6" x14ac:dyDescent="0.35">
      <c r="B280" s="7" t="s">
        <v>17</v>
      </c>
      <c r="C280" s="16">
        <v>0.33387461842667093</v>
      </c>
      <c r="D280" s="16">
        <v>3.8461396028577725E-3</v>
      </c>
      <c r="E280" s="16">
        <v>7.1443896318662589E-2</v>
      </c>
      <c r="F280" s="16">
        <v>5.164118583199423E-2</v>
      </c>
    </row>
    <row r="281" spans="2:6" x14ac:dyDescent="0.35">
      <c r="B281" s="7" t="s">
        <v>18</v>
      </c>
      <c r="C281" s="16">
        <v>0.31363283862188801</v>
      </c>
      <c r="D281" s="16">
        <v>0.24492135325618072</v>
      </c>
      <c r="E281" s="16">
        <v>0.35969266699568431</v>
      </c>
      <c r="F281" s="16">
        <v>6.293121196067028E-2</v>
      </c>
    </row>
    <row r="282" spans="2:6" x14ac:dyDescent="0.35">
      <c r="B282" s="7" t="s">
        <v>19</v>
      </c>
      <c r="C282" s="16">
        <v>-0.22880947405344351</v>
      </c>
      <c r="D282" s="16">
        <v>-7.8106693896961801E-2</v>
      </c>
      <c r="E282" s="16">
        <v>0.12240649926801449</v>
      </c>
      <c r="F282" s="16">
        <v>0.12925837250571343</v>
      </c>
    </row>
    <row r="283" spans="2:6" x14ac:dyDescent="0.35">
      <c r="B283" s="7" t="s">
        <v>20</v>
      </c>
      <c r="C283" s="16">
        <v>0.21631226528596445</v>
      </c>
      <c r="D283" s="16">
        <v>2.1726495738775969E-2</v>
      </c>
      <c r="E283" s="16">
        <v>-0.22446755613307875</v>
      </c>
      <c r="F283" s="16">
        <v>-0.20578746981802465</v>
      </c>
    </row>
    <row r="284" spans="2:6" x14ac:dyDescent="0.35">
      <c r="B284" s="7" t="s">
        <v>72</v>
      </c>
      <c r="C284" s="16">
        <v>-0.1127174075670799</v>
      </c>
      <c r="D284" s="16">
        <v>0.2207052216596618</v>
      </c>
      <c r="E284" s="16">
        <v>-1.9819814017368573E-2</v>
      </c>
      <c r="F284" s="16">
        <v>-6.6137204288047001E-3</v>
      </c>
    </row>
    <row r="285" spans="2:6" x14ac:dyDescent="0.35">
      <c r="B285" s="7" t="s">
        <v>73</v>
      </c>
      <c r="C285" s="16">
        <v>1.6862485502956319E-2</v>
      </c>
      <c r="D285" s="16">
        <v>5.5018419958190977E-3</v>
      </c>
      <c r="E285" s="16">
        <v>1.7925259701029053E-2</v>
      </c>
      <c r="F285" s="16">
        <v>0.2653346424115664</v>
      </c>
    </row>
    <row r="286" spans="2:6" x14ac:dyDescent="0.35">
      <c r="B286" s="7" t="s">
        <v>74</v>
      </c>
      <c r="C286" s="16">
        <v>-5.9890802846504249E-2</v>
      </c>
      <c r="D286" s="16">
        <v>-3.6077328725187374E-2</v>
      </c>
      <c r="E286" s="16">
        <v>-5.5798626839176926E-2</v>
      </c>
      <c r="F286" s="16">
        <v>-0.10496903566580165</v>
      </c>
    </row>
    <row r="287" spans="2:6" x14ac:dyDescent="0.35">
      <c r="B287" s="7" t="s">
        <v>75</v>
      </c>
      <c r="C287" s="16">
        <v>3.8060139816101311E-2</v>
      </c>
      <c r="D287" s="16">
        <v>0.17208539740213752</v>
      </c>
      <c r="E287" s="16">
        <v>0.14375203598734765</v>
      </c>
      <c r="F287" s="16">
        <v>5.5746186165297487E-2</v>
      </c>
    </row>
    <row r="288" spans="2:6" x14ac:dyDescent="0.35">
      <c r="B288" s="7" t="s">
        <v>76</v>
      </c>
      <c r="C288" s="16">
        <v>-9.7107656500100545E-2</v>
      </c>
      <c r="D288" s="16">
        <v>-9.8830988626874561E-2</v>
      </c>
      <c r="E288" s="16">
        <v>0.18226885195618306</v>
      </c>
      <c r="F288" s="16">
        <v>0.23502713991039692</v>
      </c>
    </row>
    <row r="289" spans="2:6" x14ac:dyDescent="0.35">
      <c r="B289" s="7" t="s">
        <v>77</v>
      </c>
      <c r="C289" s="16">
        <v>0.21527448675099964</v>
      </c>
      <c r="D289" s="16">
        <v>-3.2014970183962613E-2</v>
      </c>
      <c r="E289" s="16">
        <v>-0.17610535066522473</v>
      </c>
      <c r="F289" s="16">
        <v>-0.35033659939938122</v>
      </c>
    </row>
    <row r="290" spans="2:6" x14ac:dyDescent="0.35">
      <c r="B290" s="7" t="s">
        <v>78</v>
      </c>
      <c r="C290" s="16">
        <v>-2.5399311288423133E-2</v>
      </c>
      <c r="D290" s="16">
        <v>-2.8564153465922278E-2</v>
      </c>
      <c r="E290" s="16">
        <v>7.690529490409248E-2</v>
      </c>
      <c r="F290" s="16">
        <v>0.1068188405181326</v>
      </c>
    </row>
    <row r="291" spans="2:6" x14ac:dyDescent="0.35">
      <c r="B291" s="7" t="s">
        <v>79</v>
      </c>
      <c r="C291" s="16">
        <v>-9.9326553374840351E-2</v>
      </c>
      <c r="D291" s="16">
        <v>-9.2773759936560479E-2</v>
      </c>
      <c r="E291" s="16">
        <v>4.5796405022545519E-2</v>
      </c>
      <c r="F291" s="16">
        <v>4.6377213597851505E-2</v>
      </c>
    </row>
    <row r="292" spans="2:6" x14ac:dyDescent="0.35">
      <c r="B292" s="7" t="s">
        <v>80</v>
      </c>
      <c r="C292" s="16">
        <v>8.2525533861242992E-2</v>
      </c>
      <c r="D292" s="16">
        <v>-9.8840316951010879E-2</v>
      </c>
      <c r="E292" s="16">
        <v>-0.12409291386438806</v>
      </c>
      <c r="F292" s="16">
        <v>-0.12574240514774238</v>
      </c>
    </row>
    <row r="293" spans="2:6" x14ac:dyDescent="0.35">
      <c r="B293" s="7" t="s">
        <v>81</v>
      </c>
      <c r="C293" s="16">
        <v>-0.17937747478759283</v>
      </c>
      <c r="D293" s="16">
        <v>-1.057419920988709E-2</v>
      </c>
      <c r="E293" s="16">
        <v>-0.24388173011874781</v>
      </c>
      <c r="F293" s="16">
        <v>-0.27229374074229523</v>
      </c>
    </row>
    <row r="294" spans="2:6" x14ac:dyDescent="0.35">
      <c r="B294" s="7" t="s">
        <v>82</v>
      </c>
      <c r="C294" s="16">
        <v>0.25143513954603508</v>
      </c>
      <c r="D294" s="16">
        <v>0.47018056223060345</v>
      </c>
      <c r="E294" s="16">
        <v>0.56041524769208684</v>
      </c>
      <c r="F294" s="16">
        <v>0.23537570390276902</v>
      </c>
    </row>
    <row r="295" spans="2:6" x14ac:dyDescent="0.35">
      <c r="B295" s="7" t="s">
        <v>83</v>
      </c>
      <c r="C295" s="16">
        <v>0.15242812732769653</v>
      </c>
      <c r="D295" s="16">
        <v>0.12778499003098082</v>
      </c>
      <c r="E295" s="16">
        <v>2.5972237056295214E-2</v>
      </c>
      <c r="F295" s="16">
        <v>-0.10764578460213982</v>
      </c>
    </row>
    <row r="296" spans="2:6" x14ac:dyDescent="0.35">
      <c r="B296" s="7" t="s">
        <v>84</v>
      </c>
      <c r="C296" s="16">
        <v>0.13555622697835604</v>
      </c>
      <c r="D296" s="16">
        <v>0.21144469887389744</v>
      </c>
      <c r="E296" s="16">
        <v>0.2710031545477305</v>
      </c>
      <c r="F296" s="16">
        <v>0.10977579118032001</v>
      </c>
    </row>
    <row r="297" spans="2:6" x14ac:dyDescent="0.35">
      <c r="B297" s="7" t="s">
        <v>85</v>
      </c>
      <c r="C297" s="16">
        <v>0.11727034868761303</v>
      </c>
      <c r="D297" s="16">
        <v>-2.4192777968857708E-2</v>
      </c>
      <c r="E297" s="16">
        <v>-3.2388399730553616E-2</v>
      </c>
      <c r="F297" s="16">
        <v>0.20470687355173897</v>
      </c>
    </row>
    <row r="298" spans="2:6" x14ac:dyDescent="0.35">
      <c r="B298" s="7" t="s">
        <v>86</v>
      </c>
      <c r="C298" s="16">
        <v>-4.1207447643596816E-2</v>
      </c>
      <c r="D298" s="16">
        <v>-0.14972987408905966</v>
      </c>
      <c r="E298" s="16">
        <v>-0.16923618246822117</v>
      </c>
      <c r="F298" s="16">
        <v>0.14224704268138003</v>
      </c>
    </row>
    <row r="299" spans="2:6" x14ac:dyDescent="0.35">
      <c r="B299" s="7" t="s">
        <v>87</v>
      </c>
      <c r="C299" s="16">
        <v>-4.9656096671311448E-2</v>
      </c>
      <c r="D299" s="16">
        <v>3.9562466134142084E-2</v>
      </c>
      <c r="E299" s="16">
        <v>-7.9787272947111354E-2</v>
      </c>
      <c r="F299" s="16">
        <v>-0.18390022382083734</v>
      </c>
    </row>
    <row r="300" spans="2:6" x14ac:dyDescent="0.35">
      <c r="B300" s="7" t="s">
        <v>88</v>
      </c>
      <c r="C300" s="16">
        <v>1.1383562003758108E-2</v>
      </c>
      <c r="D300" s="16">
        <v>7.4765848864723816E-2</v>
      </c>
      <c r="E300" s="16">
        <v>1.7334839900803169E-2</v>
      </c>
      <c r="F300" s="16">
        <v>0.14519972963921002</v>
      </c>
    </row>
    <row r="301" spans="2:6" x14ac:dyDescent="0.35">
      <c r="B301" s="7" t="s">
        <v>89</v>
      </c>
      <c r="C301" s="16">
        <v>-0.17461738212843828</v>
      </c>
      <c r="D301" s="16">
        <v>-0.32081976310193616</v>
      </c>
      <c r="E301" s="16">
        <v>-0.28493768463764435</v>
      </c>
      <c r="F301" s="16">
        <v>-0.31335226737230937</v>
      </c>
    </row>
    <row r="302" spans="2:6" x14ac:dyDescent="0.35">
      <c r="B302" s="7" t="s">
        <v>90</v>
      </c>
      <c r="C302" s="16">
        <v>-0.23659829087975154</v>
      </c>
      <c r="D302" s="16">
        <v>-0.32073121169410523</v>
      </c>
      <c r="E302" s="16">
        <v>-3.0678040081533339E-2</v>
      </c>
      <c r="F302" s="16">
        <v>-2.3521859455998516E-2</v>
      </c>
    </row>
    <row r="303" spans="2:6" x14ac:dyDescent="0.35">
      <c r="B303" s="7" t="s">
        <v>91</v>
      </c>
      <c r="C303" s="16">
        <v>-1.7597111223952074E-2</v>
      </c>
      <c r="D303" s="16">
        <v>-2.7960667062026656E-2</v>
      </c>
      <c r="E303" s="16">
        <v>-1.8960077886179656E-2</v>
      </c>
      <c r="F303" s="16">
        <v>5.4861254373215596E-2</v>
      </c>
    </row>
    <row r="304" spans="2:6" x14ac:dyDescent="0.35">
      <c r="B304" s="7" t="s">
        <v>92</v>
      </c>
      <c r="C304" s="16">
        <v>-6.2242909276435061E-2</v>
      </c>
      <c r="D304" s="16">
        <v>-6.8878353480424315E-2</v>
      </c>
      <c r="E304" s="16">
        <v>-0.12249482678543308</v>
      </c>
      <c r="F304" s="16">
        <v>-0.18675453062625677</v>
      </c>
    </row>
    <row r="305" spans="2:6" ht="15" thickBot="1" x14ac:dyDescent="0.4">
      <c r="B305" s="11" t="s">
        <v>93</v>
      </c>
      <c r="C305" s="17">
        <v>-5.1259298279106309E-2</v>
      </c>
      <c r="D305" s="17">
        <v>6.7665751675410508E-3</v>
      </c>
      <c r="E305" s="17">
        <v>9.0745876655361962E-2</v>
      </c>
      <c r="F305" s="17">
        <v>5.6678208258066014E-2</v>
      </c>
    </row>
    <row r="308" spans="2:6" x14ac:dyDescent="0.35">
      <c r="B308" s="6" t="s">
        <v>123</v>
      </c>
    </row>
    <row r="309" spans="2:6" ht="15" thickBot="1" x14ac:dyDescent="0.4"/>
    <row r="310" spans="2:6" x14ac:dyDescent="0.35">
      <c r="B310" s="8" t="s">
        <v>56</v>
      </c>
      <c r="C310" s="9" t="s">
        <v>124</v>
      </c>
      <c r="D310" s="9" t="s">
        <v>125</v>
      </c>
      <c r="E310" s="9" t="s">
        <v>126</v>
      </c>
      <c r="F310" s="9" t="s">
        <v>127</v>
      </c>
    </row>
    <row r="311" spans="2:6" ht="15" thickBot="1" x14ac:dyDescent="0.4">
      <c r="B311" s="34" t="s">
        <v>0</v>
      </c>
      <c r="C311" s="35">
        <v>0.28034000397541181</v>
      </c>
      <c r="D311" s="35">
        <v>0.24497822948733558</v>
      </c>
      <c r="E311" s="35">
        <v>0.12086688316705965</v>
      </c>
      <c r="F311" s="35">
        <v>6.9158770655493959E-2</v>
      </c>
    </row>
    <row r="331" spans="2:7" x14ac:dyDescent="0.35">
      <c r="G331" t="s">
        <v>103</v>
      </c>
    </row>
    <row r="334" spans="2:7" x14ac:dyDescent="0.35">
      <c r="B334" s="6" t="s">
        <v>128</v>
      </c>
    </row>
    <row r="335" spans="2:7" ht="15" thickBot="1" x14ac:dyDescent="0.4"/>
    <row r="336" spans="2:7" x14ac:dyDescent="0.35">
      <c r="B336" s="8" t="s">
        <v>56</v>
      </c>
      <c r="C336" s="9" t="s">
        <v>129</v>
      </c>
      <c r="D336" s="9" t="s">
        <v>130</v>
      </c>
      <c r="E336" s="9" t="s">
        <v>131</v>
      </c>
      <c r="F336" s="9" t="s">
        <v>132</v>
      </c>
    </row>
    <row r="337" spans="2:6" x14ac:dyDescent="0.35">
      <c r="B337" s="22" t="s">
        <v>1</v>
      </c>
      <c r="C337" s="23">
        <v>-6.4133269936613502E-2</v>
      </c>
      <c r="D337" s="23">
        <v>0.21335537482079836</v>
      </c>
      <c r="E337" s="23">
        <v>-0.13461533404194928</v>
      </c>
      <c r="F337" s="23">
        <v>-0.16750916394940984</v>
      </c>
    </row>
    <row r="338" spans="2:6" x14ac:dyDescent="0.35">
      <c r="B338" s="7" t="s">
        <v>2</v>
      </c>
      <c r="C338" s="16">
        <v>0.12743272742046727</v>
      </c>
      <c r="D338" s="16">
        <v>-0.39836382188481873</v>
      </c>
      <c r="E338" s="16">
        <v>0.23452355180578932</v>
      </c>
      <c r="F338" s="16">
        <v>-0.19320672283073037</v>
      </c>
    </row>
    <row r="339" spans="2:6" x14ac:dyDescent="0.35">
      <c r="B339" s="7" t="s">
        <v>3</v>
      </c>
      <c r="C339" s="16">
        <v>-8.512559441688268E-2</v>
      </c>
      <c r="D339" s="16">
        <v>0.41601907016476564</v>
      </c>
      <c r="E339" s="16">
        <v>-0.24494780619107553</v>
      </c>
      <c r="F339" s="16">
        <v>9.5595416643124834E-2</v>
      </c>
    </row>
    <row r="340" spans="2:6" x14ac:dyDescent="0.35">
      <c r="B340" s="7" t="s">
        <v>4</v>
      </c>
      <c r="C340" s="16">
        <v>0.31348364793538919</v>
      </c>
      <c r="D340" s="16">
        <v>1.1206921514834895E-2</v>
      </c>
      <c r="E340" s="16">
        <v>0.10818131572208366</v>
      </c>
      <c r="F340" s="16">
        <v>-0.25163815142483681</v>
      </c>
    </row>
    <row r="341" spans="2:6" x14ac:dyDescent="0.35">
      <c r="B341" s="7" t="s">
        <v>5</v>
      </c>
      <c r="C341" s="16">
        <v>-0.25491897008019304</v>
      </c>
      <c r="D341" s="16">
        <v>0.21306342871561884</v>
      </c>
      <c r="E341" s="16">
        <v>-9.4926349418411979E-2</v>
      </c>
      <c r="F341" s="16">
        <v>-0.25453040298035939</v>
      </c>
    </row>
    <row r="342" spans="2:6" x14ac:dyDescent="0.35">
      <c r="B342" s="7" t="s">
        <v>6</v>
      </c>
      <c r="C342" s="16">
        <v>3.5306192449441116E-2</v>
      </c>
      <c r="D342" s="16">
        <v>9.2554415252958849E-2</v>
      </c>
      <c r="E342" s="16">
        <v>-0.25716745632510984</v>
      </c>
      <c r="F342" s="16">
        <v>0.42202264852294169</v>
      </c>
    </row>
    <row r="343" spans="2:6" x14ac:dyDescent="0.35">
      <c r="B343" s="7" t="s">
        <v>7</v>
      </c>
      <c r="C343" s="16">
        <v>0.34683322152927509</v>
      </c>
      <c r="D343" s="16">
        <v>-0.20848818869321434</v>
      </c>
      <c r="E343" s="16">
        <v>0.11005660104230139</v>
      </c>
      <c r="F343" s="16">
        <v>-6.2056156218242481E-2</v>
      </c>
    </row>
    <row r="344" spans="2:6" x14ac:dyDescent="0.35">
      <c r="B344" s="7" t="s">
        <v>8</v>
      </c>
      <c r="C344" s="16">
        <v>-0.13178445744916426</v>
      </c>
      <c r="D344" s="16">
        <v>0.24593006162252193</v>
      </c>
      <c r="E344" s="16">
        <v>-1.0367299764721612E-2</v>
      </c>
      <c r="F344" s="16">
        <v>9.0833667530964599E-2</v>
      </c>
    </row>
    <row r="345" spans="2:6" x14ac:dyDescent="0.35">
      <c r="B345" s="7" t="s">
        <v>9</v>
      </c>
      <c r="C345" s="16">
        <v>7.7130554593841286E-2</v>
      </c>
      <c r="D345" s="16">
        <v>9.9608824175007993E-2</v>
      </c>
      <c r="E345" s="16">
        <v>-0.13347437630695547</v>
      </c>
      <c r="F345" s="16">
        <v>-0.15380439149501629</v>
      </c>
    </row>
    <row r="346" spans="2:6" x14ac:dyDescent="0.35">
      <c r="B346" s="7" t="s">
        <v>10</v>
      </c>
      <c r="C346" s="16">
        <v>4.3205159697699592E-2</v>
      </c>
      <c r="D346" s="16">
        <v>0.15379631253515311</v>
      </c>
      <c r="E346" s="16">
        <v>-0.2876104817675903</v>
      </c>
      <c r="F346" s="16">
        <v>0.25390450357482991</v>
      </c>
    </row>
    <row r="347" spans="2:6" x14ac:dyDescent="0.35">
      <c r="B347" s="7" t="s">
        <v>11</v>
      </c>
      <c r="C347" s="16">
        <v>0.25901211167547167</v>
      </c>
      <c r="D347" s="16">
        <v>-8.6750941901603082E-2</v>
      </c>
      <c r="E347" s="16">
        <v>-0.35492797845463936</v>
      </c>
      <c r="F347" s="16">
        <v>0.17080543285945365</v>
      </c>
    </row>
    <row r="348" spans="2:6" x14ac:dyDescent="0.35">
      <c r="B348" s="7" t="s">
        <v>12</v>
      </c>
      <c r="C348" s="16">
        <v>0.20846537754440003</v>
      </c>
      <c r="D348" s="16">
        <v>-3.1062420135336718E-2</v>
      </c>
      <c r="E348" s="16">
        <v>-0.3693678221899499</v>
      </c>
      <c r="F348" s="16">
        <v>0.25095893817790843</v>
      </c>
    </row>
    <row r="349" spans="2:6" x14ac:dyDescent="0.35">
      <c r="B349" s="7" t="s">
        <v>13</v>
      </c>
      <c r="C349" s="16">
        <v>-2.0636935326888808E-4</v>
      </c>
      <c r="D349" s="16">
        <v>-0.38788300040753759</v>
      </c>
      <c r="E349" s="16">
        <v>0.33822704884683968</v>
      </c>
      <c r="F349" s="16">
        <v>-7.2036098207144378E-2</v>
      </c>
    </row>
    <row r="350" spans="2:6" x14ac:dyDescent="0.35">
      <c r="B350" s="7" t="s">
        <v>14</v>
      </c>
      <c r="C350" s="16">
        <v>-5.7101637159171305E-2</v>
      </c>
      <c r="D350" s="16">
        <v>0.16308483462662318</v>
      </c>
      <c r="E350" s="16">
        <v>-0.23244178091354606</v>
      </c>
      <c r="F350" s="16">
        <v>0.3843288470989582</v>
      </c>
    </row>
    <row r="351" spans="2:6" x14ac:dyDescent="0.35">
      <c r="B351" s="7" t="s">
        <v>15</v>
      </c>
      <c r="C351" s="16">
        <v>0.12654385368239232</v>
      </c>
      <c r="D351" s="16">
        <v>4.0938197092833459E-2</v>
      </c>
      <c r="E351" s="16">
        <v>-0.29881611447837148</v>
      </c>
      <c r="F351" s="16">
        <v>0.35201943397093005</v>
      </c>
    </row>
    <row r="352" spans="2:6" x14ac:dyDescent="0.35">
      <c r="B352" s="7" t="s">
        <v>16</v>
      </c>
      <c r="C352" s="16">
        <v>0.25827668111055069</v>
      </c>
      <c r="D352" s="16">
        <v>-0.28312972070351511</v>
      </c>
      <c r="E352" s="16">
        <v>5.4468374373574484E-2</v>
      </c>
      <c r="F352" s="16">
        <v>0.20017895968730862</v>
      </c>
    </row>
    <row r="353" spans="2:6" x14ac:dyDescent="0.35">
      <c r="B353" s="7" t="s">
        <v>17</v>
      </c>
      <c r="C353" s="16">
        <v>0.37633481220283571</v>
      </c>
      <c r="D353" s="16">
        <v>-0.16401100445314667</v>
      </c>
      <c r="E353" s="16">
        <v>6.4169993131159397E-2</v>
      </c>
      <c r="F353" s="16">
        <v>-3.2250412704822498E-2</v>
      </c>
    </row>
    <row r="354" spans="2:6" x14ac:dyDescent="0.35">
      <c r="B354" s="7" t="s">
        <v>18</v>
      </c>
      <c r="C354" s="16">
        <v>0.26606354887762884</v>
      </c>
      <c r="D354" s="16">
        <v>-1.0534817240092144E-4</v>
      </c>
      <c r="E354" s="16">
        <v>0.29115670759878765</v>
      </c>
      <c r="F354" s="16">
        <v>-0.13130818023111665</v>
      </c>
    </row>
    <row r="355" spans="2:6" x14ac:dyDescent="0.35">
      <c r="B355" s="7" t="s">
        <v>19</v>
      </c>
      <c r="C355" s="16">
        <v>-0.23055586830265193</v>
      </c>
      <c r="D355" s="16">
        <v>-0.1147088396954655</v>
      </c>
      <c r="E355" s="16">
        <v>0.14243050946308902</v>
      </c>
      <c r="F355" s="16">
        <v>0.13847200916796096</v>
      </c>
    </row>
    <row r="356" spans="2:6" x14ac:dyDescent="0.35">
      <c r="B356" s="7" t="s">
        <v>20</v>
      </c>
      <c r="C356" s="16">
        <v>0.23685053656883179</v>
      </c>
      <c r="D356" s="16">
        <v>0.1062085529510914</v>
      </c>
      <c r="E356" s="16">
        <v>-0.1977573939647928</v>
      </c>
      <c r="F356" s="16">
        <v>-0.12474421680933041</v>
      </c>
    </row>
    <row r="357" spans="2:6" x14ac:dyDescent="0.35">
      <c r="B357" s="7" t="s">
        <v>72</v>
      </c>
      <c r="C357" s="16">
        <v>-0.20751096252413512</v>
      </c>
      <c r="D357" s="16">
        <v>0.37733234357773854</v>
      </c>
      <c r="E357" s="16">
        <v>-0.17353681338556867</v>
      </c>
      <c r="F357" s="16">
        <v>-4.9182942731592107E-2</v>
      </c>
    </row>
    <row r="358" spans="2:6" x14ac:dyDescent="0.35">
      <c r="B358" s="7" t="s">
        <v>73</v>
      </c>
      <c r="C358" s="16">
        <v>1.7083373409633951E-2</v>
      </c>
      <c r="D358" s="16">
        <v>-1.0262571800610841E-2</v>
      </c>
      <c r="E358" s="16">
        <v>-0.14276838292681282</v>
      </c>
      <c r="F358" s="16">
        <v>0.25225811085658367</v>
      </c>
    </row>
    <row r="359" spans="2:6" x14ac:dyDescent="0.35">
      <c r="B359" s="7" t="s">
        <v>74</v>
      </c>
      <c r="C359" s="16">
        <v>-5.4682217988027956E-2</v>
      </c>
      <c r="D359" s="16">
        <v>6.8943905635764037E-3</v>
      </c>
      <c r="E359" s="16">
        <v>1.229447260582894E-2</v>
      </c>
      <c r="F359" s="16">
        <v>-6.0818431812147376E-2</v>
      </c>
    </row>
    <row r="360" spans="2:6" x14ac:dyDescent="0.35">
      <c r="B360" s="7" t="s">
        <v>75</v>
      </c>
      <c r="C360" s="16">
        <v>-1.9308076296870584E-2</v>
      </c>
      <c r="D360" s="16">
        <v>0.14018152210128243</v>
      </c>
      <c r="E360" s="16">
        <v>4.6962376240853879E-2</v>
      </c>
      <c r="F360" s="16">
        <v>-1.9695217933410444E-2</v>
      </c>
    </row>
    <row r="361" spans="2:6" x14ac:dyDescent="0.35">
      <c r="B361" s="7" t="s">
        <v>76</v>
      </c>
      <c r="C361" s="16">
        <v>-7.4044219591608798E-2</v>
      </c>
      <c r="D361" s="16">
        <v>-0.23352118978673045</v>
      </c>
      <c r="E361" s="16">
        <v>0.17392285940626692</v>
      </c>
      <c r="F361" s="16">
        <v>0.17323597061021717</v>
      </c>
    </row>
    <row r="362" spans="2:6" x14ac:dyDescent="0.35">
      <c r="B362" s="7" t="s">
        <v>77</v>
      </c>
      <c r="C362" s="16">
        <v>0.25515348816275846</v>
      </c>
      <c r="D362" s="16">
        <v>-4.98589515431114E-3</v>
      </c>
      <c r="E362" s="16">
        <v>-5.1612506572239559E-3</v>
      </c>
      <c r="F362" s="16">
        <v>-0.2070070141736802</v>
      </c>
    </row>
    <row r="363" spans="2:6" x14ac:dyDescent="0.35">
      <c r="B363" s="7" t="s">
        <v>78</v>
      </c>
      <c r="C363" s="16">
        <v>-1.8383234840679191E-2</v>
      </c>
      <c r="D363" s="16">
        <v>-8.4950949291583561E-2</v>
      </c>
      <c r="E363" s="16">
        <v>5.9717531214966625E-2</v>
      </c>
      <c r="F363" s="16">
        <v>1.1113479659735597E-2</v>
      </c>
    </row>
    <row r="364" spans="2:6" x14ac:dyDescent="0.35">
      <c r="B364" s="7" t="s">
        <v>79</v>
      </c>
      <c r="C364" s="16">
        <v>-7.8749833979505232E-2</v>
      </c>
      <c r="D364" s="16">
        <v>-0.13094719046998909</v>
      </c>
      <c r="E364" s="16">
        <v>9.7775359110281901E-2</v>
      </c>
      <c r="F364" s="16">
        <v>1.8347897059611175E-4</v>
      </c>
    </row>
    <row r="365" spans="2:6" x14ac:dyDescent="0.35">
      <c r="B365" s="7" t="s">
        <v>80</v>
      </c>
      <c r="C365" s="16">
        <v>0.12918700152118481</v>
      </c>
      <c r="D365" s="16">
        <v>-9.0077836102613842E-2</v>
      </c>
      <c r="E365" s="16">
        <v>-2.6470630504989427E-2</v>
      </c>
      <c r="F365" s="16">
        <v>-0.10385249375026896</v>
      </c>
    </row>
    <row r="366" spans="2:6" x14ac:dyDescent="0.35">
      <c r="B366" s="7" t="s">
        <v>81</v>
      </c>
      <c r="C366" s="16">
        <v>-0.19910622381670295</v>
      </c>
      <c r="D366" s="16">
        <v>0.21556123469443531</v>
      </c>
      <c r="E366" s="16">
        <v>-0.16152821973010972</v>
      </c>
      <c r="F366" s="16">
        <v>-0.23145472954124682</v>
      </c>
    </row>
    <row r="367" spans="2:6" x14ac:dyDescent="0.35">
      <c r="B367" s="7" t="s">
        <v>82</v>
      </c>
      <c r="C367" s="16">
        <v>0.11405754975560733</v>
      </c>
      <c r="D367" s="16">
        <v>0.21544488746810714</v>
      </c>
      <c r="E367" s="16">
        <v>0.30856448174263723</v>
      </c>
      <c r="F367" s="16">
        <v>-2.9608953968646942E-3</v>
      </c>
    </row>
    <row r="368" spans="2:6" x14ac:dyDescent="0.35">
      <c r="B368" s="7" t="s">
        <v>83</v>
      </c>
      <c r="C368" s="16">
        <v>0.12613744090985843</v>
      </c>
      <c r="D368" s="16">
        <v>0.11408138850190509</v>
      </c>
      <c r="E368" s="16">
        <v>1.5320538815583035E-2</v>
      </c>
      <c r="F368" s="16">
        <v>-0.14276992249861145</v>
      </c>
    </row>
    <row r="369" spans="2:6" x14ac:dyDescent="0.35">
      <c r="B369" s="7" t="s">
        <v>84</v>
      </c>
      <c r="C369" s="16">
        <v>7.6729388417213232E-2</v>
      </c>
      <c r="D369" s="16">
        <v>7.5818910882716542E-2</v>
      </c>
      <c r="E369" s="16">
        <v>0.16255165861065235</v>
      </c>
      <c r="F369" s="16">
        <v>-5.0252071994636424E-2</v>
      </c>
    </row>
    <row r="370" spans="2:6" x14ac:dyDescent="0.35">
      <c r="B370" s="7" t="s">
        <v>85</v>
      </c>
      <c r="C370" s="16">
        <v>0.14144167155533474</v>
      </c>
      <c r="D370" s="16">
        <v>-5.5857062106036956E-2</v>
      </c>
      <c r="E370" s="16">
        <v>-0.15461392362619675</v>
      </c>
      <c r="F370" s="16">
        <v>0.19237659278834598</v>
      </c>
    </row>
    <row r="371" spans="2:6" x14ac:dyDescent="0.35">
      <c r="B371" s="7" t="s">
        <v>86</v>
      </c>
      <c r="C371" s="16">
        <v>7.6452591388815622E-3</v>
      </c>
      <c r="D371" s="16">
        <v>-8.89762591729025E-2</v>
      </c>
      <c r="E371" s="16">
        <v>-0.21958593221975375</v>
      </c>
      <c r="F371" s="16">
        <v>0.11820714835418103</v>
      </c>
    </row>
    <row r="372" spans="2:6" x14ac:dyDescent="0.35">
      <c r="B372" s="7" t="s">
        <v>87</v>
      </c>
      <c r="C372" s="16">
        <v>-7.0516650706962253E-2</v>
      </c>
      <c r="D372" s="16">
        <v>0.13020991500354198</v>
      </c>
      <c r="E372" s="16">
        <v>-2.3606341865523787E-2</v>
      </c>
      <c r="F372" s="16">
        <v>4.1257786212952854E-2</v>
      </c>
    </row>
    <row r="373" spans="2:6" x14ac:dyDescent="0.35">
      <c r="B373" s="7" t="s">
        <v>88</v>
      </c>
      <c r="C373" s="16">
        <v>-1.421793929049363E-2</v>
      </c>
      <c r="D373" s="16">
        <v>9.3488673358882529E-2</v>
      </c>
      <c r="E373" s="16">
        <v>-0.11658294169228253</v>
      </c>
      <c r="F373" s="16">
        <v>8.5290529712257521E-2</v>
      </c>
    </row>
    <row r="374" spans="2:6" x14ac:dyDescent="0.35">
      <c r="B374" s="7" t="s">
        <v>89</v>
      </c>
      <c r="C374" s="16">
        <v>-8.1281357995592177E-2</v>
      </c>
      <c r="D374" s="16">
        <v>-0.21223991352648708</v>
      </c>
      <c r="E374" s="16">
        <v>1.8320799684507873E-2</v>
      </c>
      <c r="F374" s="16">
        <v>-5.4772848114871535E-2</v>
      </c>
    </row>
    <row r="375" spans="2:6" x14ac:dyDescent="0.35">
      <c r="B375" s="7" t="s">
        <v>90</v>
      </c>
      <c r="C375" s="16">
        <v>-0.15143549349676089</v>
      </c>
      <c r="D375" s="16">
        <v>-0.36273778378748484</v>
      </c>
      <c r="E375" s="16">
        <v>0.1904946336126625</v>
      </c>
      <c r="F375" s="16">
        <v>-6.3822564323373042E-3</v>
      </c>
    </row>
    <row r="376" spans="2:6" x14ac:dyDescent="0.35">
      <c r="B376" s="7" t="s">
        <v>91</v>
      </c>
      <c r="C376" s="16">
        <v>-9.7749393716453567E-3</v>
      </c>
      <c r="D376" s="16">
        <v>-2.163383287104163E-2</v>
      </c>
      <c r="E376" s="16">
        <v>-4.1012288765191418E-2</v>
      </c>
      <c r="F376" s="16">
        <v>0.15011184230320354</v>
      </c>
    </row>
    <row r="377" spans="2:6" x14ac:dyDescent="0.35">
      <c r="B377" s="7" t="s">
        <v>92</v>
      </c>
      <c r="C377" s="16">
        <v>-4.5455487803742013E-2</v>
      </c>
      <c r="D377" s="16">
        <v>5.1488819331832773E-3</v>
      </c>
      <c r="E377" s="16">
        <v>-7.0009841513366403E-3</v>
      </c>
      <c r="F377" s="16">
        <v>-6.738714394376262E-2</v>
      </c>
    </row>
    <row r="378" spans="2:6" ht="15" thickBot="1" x14ac:dyDescent="0.4">
      <c r="B378" s="11" t="s">
        <v>93</v>
      </c>
      <c r="C378" s="17">
        <v>-6.0444508352502299E-2</v>
      </c>
      <c r="D378" s="17">
        <v>-3.3296547896585607E-2</v>
      </c>
      <c r="E378" s="17">
        <v>8.5728742686997331E-2</v>
      </c>
      <c r="F378" s="17">
        <v>1.0843577464417416E-2</v>
      </c>
    </row>
    <row r="381" spans="2:6" x14ac:dyDescent="0.35">
      <c r="B381" s="6" t="s">
        <v>133</v>
      </c>
    </row>
    <row r="382" spans="2:6" ht="15" thickBot="1" x14ac:dyDescent="0.4"/>
    <row r="383" spans="2:6" ht="29" x14ac:dyDescent="0.35">
      <c r="B383" s="8" t="s">
        <v>134</v>
      </c>
      <c r="C383" s="9" t="s">
        <v>105</v>
      </c>
      <c r="D383" s="9" t="s">
        <v>106</v>
      </c>
      <c r="E383" s="9" t="s">
        <v>107</v>
      </c>
      <c r="F383" s="9" t="s">
        <v>108</v>
      </c>
    </row>
    <row r="384" spans="2:6" x14ac:dyDescent="0.35">
      <c r="B384" s="22" t="s">
        <v>135</v>
      </c>
      <c r="C384" s="23">
        <v>0.41683531607654944</v>
      </c>
      <c r="D384" s="23">
        <v>2.0464578118615568</v>
      </c>
      <c r="E384" s="23">
        <v>3.9415892145107407</v>
      </c>
      <c r="F384" s="23">
        <v>1.9567820175633488</v>
      </c>
    </row>
    <row r="385" spans="2:6" x14ac:dyDescent="0.35">
      <c r="B385" s="7" t="s">
        <v>136</v>
      </c>
      <c r="C385" s="16">
        <v>0.28146637575494143</v>
      </c>
      <c r="D385" s="16">
        <v>1.3662314723833668</v>
      </c>
      <c r="E385" s="16">
        <v>3.6041921491043785</v>
      </c>
      <c r="F385" s="16">
        <v>1.4134346522019432</v>
      </c>
    </row>
    <row r="386" spans="2:6" x14ac:dyDescent="0.35">
      <c r="B386" s="7" t="s">
        <v>137</v>
      </c>
      <c r="C386" s="16">
        <v>-1.9285601235886545</v>
      </c>
      <c r="D386" s="16">
        <v>3.0428781627570651</v>
      </c>
      <c r="E386" s="16">
        <v>3.7422907221496842</v>
      </c>
      <c r="F386" s="16">
        <v>0.6896215266863035</v>
      </c>
    </row>
    <row r="387" spans="2:6" x14ac:dyDescent="0.35">
      <c r="B387" s="7" t="s">
        <v>138</v>
      </c>
      <c r="C387" s="16">
        <v>-0.18532094200269367</v>
      </c>
      <c r="D387" s="16">
        <v>1.2292046159021925</v>
      </c>
      <c r="E387" s="16">
        <v>2.3152521674283384</v>
      </c>
      <c r="F387" s="16">
        <v>1.1568755010627256</v>
      </c>
    </row>
    <row r="388" spans="2:6" x14ac:dyDescent="0.35">
      <c r="B388" s="7" t="s">
        <v>139</v>
      </c>
      <c r="C388" s="16">
        <v>-0.41840535325481887</v>
      </c>
      <c r="D388" s="16">
        <v>3.6905226975549823</v>
      </c>
      <c r="E388" s="16">
        <v>2.897346169747081</v>
      </c>
      <c r="F388" s="16">
        <v>0.48103910005518608</v>
      </c>
    </row>
    <row r="389" spans="2:6" x14ac:dyDescent="0.35">
      <c r="B389" s="7" t="s">
        <v>140</v>
      </c>
      <c r="C389" s="16">
        <v>1.249563260336743</v>
      </c>
      <c r="D389" s="16">
        <v>1.850802268624278</v>
      </c>
      <c r="E389" s="16">
        <v>4.2398629022415157</v>
      </c>
      <c r="F389" s="16">
        <v>1.3663639521453459</v>
      </c>
    </row>
    <row r="390" spans="2:6" x14ac:dyDescent="0.35">
      <c r="B390" s="7" t="s">
        <v>141</v>
      </c>
      <c r="C390" s="16">
        <v>2.314201285736655</v>
      </c>
      <c r="D390" s="16">
        <v>0.60703833257073503</v>
      </c>
      <c r="E390" s="16">
        <v>3.417517324119165</v>
      </c>
      <c r="F390" s="16">
        <v>-0.77664006294583254</v>
      </c>
    </row>
    <row r="391" spans="2:6" x14ac:dyDescent="0.35">
      <c r="B391" s="7" t="s">
        <v>142</v>
      </c>
      <c r="C391" s="16">
        <v>3.1716473191843063E-3</v>
      </c>
      <c r="D391" s="16">
        <v>1.3001786140599099</v>
      </c>
      <c r="E391" s="16">
        <v>2.1445078901043959</v>
      </c>
      <c r="F391" s="16">
        <v>1.4839153204442994</v>
      </c>
    </row>
    <row r="392" spans="2:6" x14ac:dyDescent="0.35">
      <c r="B392" s="7" t="s">
        <v>143</v>
      </c>
      <c r="C392" s="16">
        <v>1.3389848713265822</v>
      </c>
      <c r="D392" s="16">
        <v>0.47447030271841517</v>
      </c>
      <c r="E392" s="16">
        <v>2.736453331073855</v>
      </c>
      <c r="F392" s="16">
        <v>-0.63838813141422535</v>
      </c>
    </row>
    <row r="393" spans="2:6" x14ac:dyDescent="0.35">
      <c r="B393" s="7" t="s">
        <v>144</v>
      </c>
      <c r="C393" s="16">
        <v>1.3916422887698956</v>
      </c>
      <c r="D393" s="16">
        <v>1.1504942748922653</v>
      </c>
      <c r="E393" s="16">
        <v>2.6983030411559241</v>
      </c>
      <c r="F393" s="16">
        <v>-5.1943234862843711E-2</v>
      </c>
    </row>
    <row r="394" spans="2:6" x14ac:dyDescent="0.35">
      <c r="B394" s="7" t="s">
        <v>145</v>
      </c>
      <c r="C394" s="16">
        <v>2.7229173374298363</v>
      </c>
      <c r="D394" s="16">
        <v>0.23884485481125503</v>
      </c>
      <c r="E394" s="16">
        <v>3.1847859398969054</v>
      </c>
      <c r="F394" s="16">
        <v>-1.4791223797616135</v>
      </c>
    </row>
    <row r="395" spans="2:6" x14ac:dyDescent="0.35">
      <c r="B395" s="7" t="s">
        <v>146</v>
      </c>
      <c r="C395" s="16">
        <v>1.2697654191228285</v>
      </c>
      <c r="D395" s="16">
        <v>1.5759329042000922</v>
      </c>
      <c r="E395" s="16">
        <v>3.9365242732566412</v>
      </c>
      <c r="F395" s="16">
        <v>2.6836154335272533</v>
      </c>
    </row>
    <row r="396" spans="2:6" x14ac:dyDescent="0.35">
      <c r="B396" s="7" t="s">
        <v>147</v>
      </c>
      <c r="C396" s="16">
        <v>1.9973273905584126</v>
      </c>
      <c r="D396" s="16">
        <v>1.7973718785382824</v>
      </c>
      <c r="E396" s="16">
        <v>3.8210801196707389</v>
      </c>
      <c r="F396" s="16">
        <v>1.9959324467977198</v>
      </c>
    </row>
    <row r="397" spans="2:6" x14ac:dyDescent="0.35">
      <c r="B397" s="7" t="s">
        <v>148</v>
      </c>
      <c r="C397" s="16">
        <v>0.59742805166009805</v>
      </c>
      <c r="D397" s="16">
        <v>1.0808403188233393</v>
      </c>
      <c r="E397" s="16">
        <v>3.4680266529120134</v>
      </c>
      <c r="F397" s="16">
        <v>0.93828598141538333</v>
      </c>
    </row>
    <row r="398" spans="2:6" x14ac:dyDescent="0.35">
      <c r="B398" s="7" t="s">
        <v>149</v>
      </c>
      <c r="C398" s="16">
        <v>-1.2297466056402417</v>
      </c>
      <c r="D398" s="16">
        <v>2.4352432251994944</v>
      </c>
      <c r="E398" s="16">
        <v>2.7493678105212647</v>
      </c>
      <c r="F398" s="16">
        <v>0.41674575796763141</v>
      </c>
    </row>
    <row r="399" spans="2:6" x14ac:dyDescent="0.35">
      <c r="B399" s="7" t="s">
        <v>150</v>
      </c>
      <c r="C399" s="16">
        <v>-0.73549178221670419</v>
      </c>
      <c r="D399" s="16">
        <v>2.4276904806810533</v>
      </c>
      <c r="E399" s="16">
        <v>1.7778697890134787</v>
      </c>
      <c r="F399" s="16">
        <v>0.97301862401697448</v>
      </c>
    </row>
    <row r="400" spans="2:6" x14ac:dyDescent="0.35">
      <c r="B400" s="7" t="s">
        <v>151</v>
      </c>
      <c r="C400" s="16">
        <v>2.6706176532964658</v>
      </c>
      <c r="D400" s="16">
        <v>0.20593389871258103</v>
      </c>
      <c r="E400" s="16">
        <v>1.7645071110638382</v>
      </c>
      <c r="F400" s="16">
        <v>-2.082833285925048</v>
      </c>
    </row>
    <row r="401" spans="2:6" x14ac:dyDescent="0.35">
      <c r="B401" s="7" t="s">
        <v>152</v>
      </c>
      <c r="C401" s="16">
        <v>2.491172007970301</v>
      </c>
      <c r="D401" s="16">
        <v>0.82239914559255045</v>
      </c>
      <c r="E401" s="16">
        <v>1.9468696290772454</v>
      </c>
      <c r="F401" s="16">
        <v>-1.2182200961523468</v>
      </c>
    </row>
    <row r="402" spans="2:6" x14ac:dyDescent="0.35">
      <c r="B402" s="7" t="s">
        <v>153</v>
      </c>
      <c r="C402" s="16">
        <v>3.5095981359682309</v>
      </c>
      <c r="D402" s="16">
        <v>1.4460345820998184</v>
      </c>
      <c r="E402" s="16">
        <v>3.277273327248317</v>
      </c>
      <c r="F402" s="16">
        <v>-1.2666336299947669</v>
      </c>
    </row>
    <row r="403" spans="2:6" x14ac:dyDescent="0.35">
      <c r="B403" s="7" t="s">
        <v>154</v>
      </c>
      <c r="C403" s="16">
        <v>1.9101744868293546</v>
      </c>
      <c r="D403" s="16">
        <v>1.0776648416608574</v>
      </c>
      <c r="E403" s="16">
        <v>4.0225554218005382</v>
      </c>
      <c r="F403" s="16">
        <v>0.84371072357576882</v>
      </c>
    </row>
    <row r="404" spans="2:6" x14ac:dyDescent="0.35">
      <c r="B404" s="7" t="s">
        <v>155</v>
      </c>
      <c r="C404" s="16">
        <v>3.015157572549708</v>
      </c>
      <c r="D404" s="16">
        <v>-5.3179915640439376E-2</v>
      </c>
      <c r="E404" s="16">
        <v>1.6839467275741364</v>
      </c>
      <c r="F404" s="16">
        <v>-2.6478106587826162</v>
      </c>
    </row>
    <row r="405" spans="2:6" x14ac:dyDescent="0.35">
      <c r="B405" s="7" t="s">
        <v>156</v>
      </c>
      <c r="C405" s="16">
        <v>2.7302295903785407</v>
      </c>
      <c r="D405" s="16">
        <v>0.78589848630697368</v>
      </c>
      <c r="E405" s="16">
        <v>2.2086513994983057</v>
      </c>
      <c r="F405" s="16">
        <v>-1.6539004762825911</v>
      </c>
    </row>
    <row r="406" spans="2:6" x14ac:dyDescent="0.35">
      <c r="B406" s="7" t="s">
        <v>157</v>
      </c>
      <c r="C406" s="16">
        <v>-0.12401886409794835</v>
      </c>
      <c r="D406" s="16">
        <v>3.6053378378548286</v>
      </c>
      <c r="E406" s="16">
        <v>2.5563123001233188</v>
      </c>
      <c r="F406" s="16">
        <v>0.39128043683799785</v>
      </c>
    </row>
    <row r="407" spans="2:6" x14ac:dyDescent="0.35">
      <c r="B407" s="7" t="s">
        <v>158</v>
      </c>
      <c r="C407" s="16">
        <v>2.5074645966182998</v>
      </c>
      <c r="D407" s="16">
        <v>2.0666967148874424</v>
      </c>
      <c r="E407" s="16">
        <v>2.9327394878422717</v>
      </c>
      <c r="F407" s="16">
        <v>1.6347357726409117</v>
      </c>
    </row>
    <row r="408" spans="2:6" x14ac:dyDescent="0.35">
      <c r="B408" s="7" t="s">
        <v>159</v>
      </c>
      <c r="C408" s="16">
        <v>2.6362827185994422</v>
      </c>
      <c r="D408" s="16">
        <v>1.7232009670642541</v>
      </c>
      <c r="E408" s="16">
        <v>2.8591837626005669</v>
      </c>
      <c r="F408" s="16">
        <v>1.3004136790978609</v>
      </c>
    </row>
    <row r="409" spans="2:6" x14ac:dyDescent="0.35">
      <c r="B409" s="7" t="s">
        <v>160</v>
      </c>
      <c r="C409" s="16">
        <v>-4.4247820967985136</v>
      </c>
      <c r="D409" s="16">
        <v>1.0736695040502251</v>
      </c>
      <c r="E409" s="16">
        <v>-1.330296479514451</v>
      </c>
      <c r="F409" s="16">
        <v>-3.2450470569354142</v>
      </c>
    </row>
    <row r="410" spans="2:6" x14ac:dyDescent="0.35">
      <c r="B410" s="7" t="s">
        <v>161</v>
      </c>
      <c r="C410" s="16">
        <v>2.6069868968223098</v>
      </c>
      <c r="D410" s="16">
        <v>0.26445258795608995</v>
      </c>
      <c r="E410" s="16">
        <v>0.42193129204412</v>
      </c>
      <c r="F410" s="16">
        <v>-2.001341739471536</v>
      </c>
    </row>
    <row r="411" spans="2:6" x14ac:dyDescent="0.35">
      <c r="B411" s="7" t="s">
        <v>162</v>
      </c>
      <c r="C411" s="16">
        <v>-8.914241540309821E-2</v>
      </c>
      <c r="D411" s="16">
        <v>1.4145378836999793</v>
      </c>
      <c r="E411" s="16">
        <v>1.4045151334927712</v>
      </c>
      <c r="F411" s="16">
        <v>2.1624273674965329</v>
      </c>
    </row>
    <row r="412" spans="2:6" x14ac:dyDescent="0.35">
      <c r="B412" s="7" t="s">
        <v>163</v>
      </c>
      <c r="C412" s="16">
        <v>-1.8964312163305364</v>
      </c>
      <c r="D412" s="16">
        <v>3.2796439416223855</v>
      </c>
      <c r="E412" s="16">
        <v>0.3246038054067148</v>
      </c>
      <c r="F412" s="16">
        <v>-1.9386791053919947</v>
      </c>
    </row>
    <row r="413" spans="2:6" x14ac:dyDescent="0.35">
      <c r="B413" s="7" t="s">
        <v>164</v>
      </c>
      <c r="C413" s="16">
        <v>2.9803839592193553</v>
      </c>
      <c r="D413" s="16">
        <v>2.469809205471089E-2</v>
      </c>
      <c r="E413" s="16">
        <v>3.1902773891151454E-2</v>
      </c>
      <c r="F413" s="16">
        <v>-2.2536798557645854</v>
      </c>
    </row>
    <row r="414" spans="2:6" x14ac:dyDescent="0.35">
      <c r="B414" s="7" t="s">
        <v>165</v>
      </c>
      <c r="C414" s="16">
        <v>-4.4194184246044399</v>
      </c>
      <c r="D414" s="16">
        <v>1.1122290350619572</v>
      </c>
      <c r="E414" s="16">
        <v>-1.5410420921376746</v>
      </c>
      <c r="F414" s="16">
        <v>-3.0221566251653806</v>
      </c>
    </row>
    <row r="415" spans="2:6" x14ac:dyDescent="0.35">
      <c r="B415" s="7" t="s">
        <v>166</v>
      </c>
      <c r="C415" s="16">
        <v>-1.9460440998407136</v>
      </c>
      <c r="D415" s="16">
        <v>1.1246271238710235</v>
      </c>
      <c r="E415" s="16">
        <v>-0.42748024500864251</v>
      </c>
      <c r="F415" s="16">
        <v>-0.33090020893539435</v>
      </c>
    </row>
    <row r="416" spans="2:6" x14ac:dyDescent="0.35">
      <c r="B416" s="7" t="s">
        <v>167</v>
      </c>
      <c r="C416" s="16">
        <v>2.6608079846635935</v>
      </c>
      <c r="D416" s="16">
        <v>0.51922573037223441</v>
      </c>
      <c r="E416" s="16">
        <v>0.26638743303837187</v>
      </c>
      <c r="F416" s="16">
        <v>-1.1117194649248505</v>
      </c>
    </row>
    <row r="417" spans="2:6" x14ac:dyDescent="0.35">
      <c r="B417" s="7" t="s">
        <v>168</v>
      </c>
      <c r="C417" s="16">
        <v>-3.8184384999304477</v>
      </c>
      <c r="D417" s="16">
        <v>1.2498920345249322</v>
      </c>
      <c r="E417" s="16">
        <v>-1.542243456738551</v>
      </c>
      <c r="F417" s="16">
        <v>-3.0342951288013187</v>
      </c>
    </row>
    <row r="418" spans="2:6" x14ac:dyDescent="0.35">
      <c r="B418" s="7" t="s">
        <v>169</v>
      </c>
      <c r="C418" s="16">
        <v>2.1338383116211106</v>
      </c>
      <c r="D418" s="16">
        <v>0.43507189860145973</v>
      </c>
      <c r="E418" s="16">
        <v>0.65443838258569109</v>
      </c>
      <c r="F418" s="16">
        <v>9.9499768463086113E-2</v>
      </c>
    </row>
    <row r="419" spans="2:6" x14ac:dyDescent="0.35">
      <c r="B419" s="7" t="s">
        <v>170</v>
      </c>
      <c r="C419" s="16">
        <v>-4.0774486887025505</v>
      </c>
      <c r="D419" s="16">
        <v>1.0090182036577897</v>
      </c>
      <c r="E419" s="16">
        <v>-1.3044622852154593</v>
      </c>
      <c r="F419" s="16">
        <v>-3.0106404250868102</v>
      </c>
    </row>
    <row r="420" spans="2:6" x14ac:dyDescent="0.35">
      <c r="B420" s="7" t="s">
        <v>171</v>
      </c>
      <c r="C420" s="16">
        <v>4.8161227803044007</v>
      </c>
      <c r="D420" s="16">
        <v>-0.76208928430909717</v>
      </c>
      <c r="E420" s="16">
        <v>-0.76880278567015303</v>
      </c>
      <c r="F420" s="16">
        <v>-3.343217910919138</v>
      </c>
    </row>
    <row r="421" spans="2:6" x14ac:dyDescent="0.35">
      <c r="B421" s="7" t="s">
        <v>172</v>
      </c>
      <c r="C421" s="16">
        <v>3.5025466396103067</v>
      </c>
      <c r="D421" s="16">
        <v>-0.52121148301042675</v>
      </c>
      <c r="E421" s="16">
        <v>-0.76663776351025903</v>
      </c>
      <c r="F421" s="16">
        <v>-3.2157583625420019</v>
      </c>
    </row>
    <row r="422" spans="2:6" x14ac:dyDescent="0.35">
      <c r="B422" s="7" t="s">
        <v>173</v>
      </c>
      <c r="C422" s="16">
        <v>-4.4200729565287471</v>
      </c>
      <c r="D422" s="16">
        <v>0.30649428922501953</v>
      </c>
      <c r="E422" s="16">
        <v>-0.86038004372283583</v>
      </c>
      <c r="F422" s="16">
        <v>-1.9761405443517237</v>
      </c>
    </row>
    <row r="423" spans="2:6" x14ac:dyDescent="0.35">
      <c r="B423" s="7" t="s">
        <v>174</v>
      </c>
      <c r="C423" s="16">
        <v>-1.9866071179210092</v>
      </c>
      <c r="D423" s="16">
        <v>0.77160188822211084</v>
      </c>
      <c r="E423" s="16">
        <v>-0.57643018843469374</v>
      </c>
      <c r="F423" s="16">
        <v>-1.8642567171646323</v>
      </c>
    </row>
    <row r="424" spans="2:6" x14ac:dyDescent="0.35">
      <c r="B424" s="7" t="s">
        <v>175</v>
      </c>
      <c r="C424" s="16">
        <v>0.75175791698614902</v>
      </c>
      <c r="D424" s="16">
        <v>0.54649903103918251</v>
      </c>
      <c r="E424" s="16">
        <v>0.90762195163657755</v>
      </c>
      <c r="F424" s="16">
        <v>1.7773872326546152</v>
      </c>
    </row>
    <row r="425" spans="2:6" x14ac:dyDescent="0.35">
      <c r="B425" s="7" t="s">
        <v>176</v>
      </c>
      <c r="C425" s="16">
        <v>4.0046406448151153</v>
      </c>
      <c r="D425" s="16">
        <v>-0.42597896259107931</v>
      </c>
      <c r="E425" s="16">
        <v>-0.34583898783705586</v>
      </c>
      <c r="F425" s="16">
        <v>-2.8968268980811196</v>
      </c>
    </row>
    <row r="426" spans="2:6" x14ac:dyDescent="0.35">
      <c r="B426" s="7" t="s">
        <v>177</v>
      </c>
      <c r="C426" s="16">
        <v>3.5497384054299284</v>
      </c>
      <c r="D426" s="16">
        <v>0.15811436928265754</v>
      </c>
      <c r="E426" s="16">
        <v>1.0572264873479933</v>
      </c>
      <c r="F426" s="16">
        <v>-2.3737173753841976</v>
      </c>
    </row>
    <row r="427" spans="2:6" x14ac:dyDescent="0.35">
      <c r="B427" s="7" t="s">
        <v>178</v>
      </c>
      <c r="C427" s="16">
        <v>-2.3565893976877259</v>
      </c>
      <c r="D427" s="16">
        <v>-0.34053257438966389</v>
      </c>
      <c r="E427" s="16">
        <v>4.0553714434192971E-2</v>
      </c>
      <c r="F427" s="16">
        <v>-2.162932026557852</v>
      </c>
    </row>
    <row r="428" spans="2:6" x14ac:dyDescent="0.35">
      <c r="B428" s="7" t="s">
        <v>179</v>
      </c>
      <c r="C428" s="16">
        <v>0.24224074885559019</v>
      </c>
      <c r="D428" s="16">
        <v>0.16266502079189965</v>
      </c>
      <c r="E428" s="16">
        <v>0.70759089161846489</v>
      </c>
      <c r="F428" s="16">
        <v>1.2578514702791923</v>
      </c>
    </row>
    <row r="429" spans="2:6" x14ac:dyDescent="0.35">
      <c r="B429" s="7" t="s">
        <v>180</v>
      </c>
      <c r="C429" s="16">
        <v>-3.1204442833333244</v>
      </c>
      <c r="D429" s="16">
        <v>-1.2992861645052121</v>
      </c>
      <c r="E429" s="16">
        <v>2.7410097006185699</v>
      </c>
      <c r="F429" s="16">
        <v>0.56367600538567131</v>
      </c>
    </row>
    <row r="430" spans="2:6" x14ac:dyDescent="0.35">
      <c r="B430" s="7" t="s">
        <v>181</v>
      </c>
      <c r="C430" s="16">
        <v>-1.2413710697929012</v>
      </c>
      <c r="D430" s="16">
        <v>-0.25779377893861249</v>
      </c>
      <c r="E430" s="16">
        <v>0.66836768664991852</v>
      </c>
      <c r="F430" s="16">
        <v>0.12054726182167602</v>
      </c>
    </row>
    <row r="431" spans="2:6" x14ac:dyDescent="0.35">
      <c r="B431" s="7" t="s">
        <v>182</v>
      </c>
      <c r="C431" s="16">
        <v>-0.33174128214063769</v>
      </c>
      <c r="D431" s="16">
        <v>-2.3583859112619714</v>
      </c>
      <c r="E431" s="16">
        <v>-0.74529019639430094</v>
      </c>
      <c r="F431" s="16">
        <v>-2.9374601199863877</v>
      </c>
    </row>
    <row r="432" spans="2:6" x14ac:dyDescent="0.35">
      <c r="B432" s="7" t="s">
        <v>183</v>
      </c>
      <c r="C432" s="16">
        <v>3.2208185838773122</v>
      </c>
      <c r="D432" s="16">
        <v>3.8224521429437289E-2</v>
      </c>
      <c r="E432" s="16">
        <v>-0.58900317810775571</v>
      </c>
      <c r="F432" s="16">
        <v>-1.5940565574395271</v>
      </c>
    </row>
    <row r="433" spans="2:6" x14ac:dyDescent="0.35">
      <c r="B433" s="7" t="s">
        <v>184</v>
      </c>
      <c r="C433" s="16">
        <v>3.2293124328210863</v>
      </c>
      <c r="D433" s="16">
        <v>3.747366529836945E-2</v>
      </c>
      <c r="E433" s="16">
        <v>1.1589001423857728</v>
      </c>
      <c r="F433" s="16">
        <v>-1.99702196982034</v>
      </c>
    </row>
    <row r="434" spans="2:6" x14ac:dyDescent="0.35">
      <c r="B434" s="7" t="s">
        <v>185</v>
      </c>
      <c r="C434" s="16">
        <v>-1.4790470859079274</v>
      </c>
      <c r="D434" s="16">
        <v>-0.60898764283721518</v>
      </c>
      <c r="E434" s="16">
        <v>0.78536348263584588</v>
      </c>
      <c r="F434" s="16">
        <v>-1.8876118383343986E-2</v>
      </c>
    </row>
    <row r="435" spans="2:6" x14ac:dyDescent="0.35">
      <c r="B435" s="7" t="s">
        <v>186</v>
      </c>
      <c r="C435" s="16">
        <v>-2.1274178405289219</v>
      </c>
      <c r="D435" s="16">
        <v>-1.8395068442101397</v>
      </c>
      <c r="E435" s="16">
        <v>0.12986278491871572</v>
      </c>
      <c r="F435" s="16">
        <v>-1.0144828355671833</v>
      </c>
    </row>
    <row r="436" spans="2:6" x14ac:dyDescent="0.35">
      <c r="B436" s="7" t="s">
        <v>187</v>
      </c>
      <c r="C436" s="16">
        <v>3.3863224367092228</v>
      </c>
      <c r="D436" s="16">
        <v>-0.55114174328743759</v>
      </c>
      <c r="E436" s="16">
        <v>-0.73877052981844338</v>
      </c>
      <c r="F436" s="16">
        <v>-1.3122286544816129</v>
      </c>
    </row>
    <row r="437" spans="2:6" x14ac:dyDescent="0.35">
      <c r="B437" s="7" t="s">
        <v>188</v>
      </c>
      <c r="C437" s="16">
        <v>-1.6981847005656852</v>
      </c>
      <c r="D437" s="16">
        <v>-0.23109392088830721</v>
      </c>
      <c r="E437" s="16">
        <v>0.79632918336353631</v>
      </c>
      <c r="F437" s="16">
        <v>0.35733237066810836</v>
      </c>
    </row>
    <row r="438" spans="2:6" x14ac:dyDescent="0.35">
      <c r="B438" s="7" t="s">
        <v>189</v>
      </c>
      <c r="C438" s="16">
        <v>3.658179141454212</v>
      </c>
      <c r="D438" s="16">
        <v>-1.4984647466319829</v>
      </c>
      <c r="E438" s="16">
        <v>-1.0079690924583045</v>
      </c>
      <c r="F438" s="16">
        <v>-3.2073764598974774</v>
      </c>
    </row>
    <row r="439" spans="2:6" x14ac:dyDescent="0.35">
      <c r="B439" s="7" t="s">
        <v>190</v>
      </c>
      <c r="C439" s="16">
        <v>-2.7026823924993901</v>
      </c>
      <c r="D439" s="16">
        <v>-2.6455519326805503</v>
      </c>
      <c r="E439" s="16">
        <v>0.46865056395489268</v>
      </c>
      <c r="F439" s="16">
        <v>-1.1652167072169364</v>
      </c>
    </row>
    <row r="440" spans="2:6" x14ac:dyDescent="0.35">
      <c r="B440" s="7" t="s">
        <v>191</v>
      </c>
      <c r="C440" s="16">
        <v>-1.9884519470598505</v>
      </c>
      <c r="D440" s="16">
        <v>-1.6096161569307093</v>
      </c>
      <c r="E440" s="16">
        <v>1.1934160445312292</v>
      </c>
      <c r="F440" s="16">
        <v>1.0766543611834813</v>
      </c>
    </row>
    <row r="441" spans="2:6" x14ac:dyDescent="0.35">
      <c r="B441" s="7" t="s">
        <v>192</v>
      </c>
      <c r="C441" s="16">
        <v>-2.518303850119187</v>
      </c>
      <c r="D441" s="16">
        <v>-1.595580884333033</v>
      </c>
      <c r="E441" s="16">
        <v>1.148760304121341</v>
      </c>
      <c r="F441" s="16">
        <v>0.48237995599236555</v>
      </c>
    </row>
    <row r="442" spans="2:6" x14ac:dyDescent="0.35">
      <c r="B442" s="7" t="s">
        <v>193</v>
      </c>
      <c r="C442" s="16">
        <v>-1.5696100095806662</v>
      </c>
      <c r="D442" s="16">
        <v>-1.697169213844631</v>
      </c>
      <c r="E442" s="16">
        <v>1.6552269431107562</v>
      </c>
      <c r="F442" s="16">
        <v>0.74527048019538922</v>
      </c>
    </row>
    <row r="443" spans="2:6" x14ac:dyDescent="0.35">
      <c r="B443" s="7" t="s">
        <v>194</v>
      </c>
      <c r="C443" s="16">
        <v>1.1907663260587018</v>
      </c>
      <c r="D443" s="16">
        <v>-0.34322326987425827</v>
      </c>
      <c r="E443" s="16">
        <v>-0.41763894271500834</v>
      </c>
      <c r="F443" s="16">
        <v>-1.8653614782872596</v>
      </c>
    </row>
    <row r="444" spans="2:6" x14ac:dyDescent="0.35">
      <c r="B444" s="7" t="s">
        <v>195</v>
      </c>
      <c r="C444" s="16">
        <v>-2.5375331673270454</v>
      </c>
      <c r="D444" s="16">
        <v>-1.9827239415808136</v>
      </c>
      <c r="E444" s="16">
        <v>-0.30639623438545527</v>
      </c>
      <c r="F444" s="16">
        <v>-1.1715203335783171</v>
      </c>
    </row>
    <row r="445" spans="2:6" x14ac:dyDescent="0.35">
      <c r="B445" s="7" t="s">
        <v>196</v>
      </c>
      <c r="C445" s="16">
        <v>1.6435348593574193</v>
      </c>
      <c r="D445" s="16">
        <v>-0.83939924485146156</v>
      </c>
      <c r="E445" s="16">
        <v>-0.69368334787749442</v>
      </c>
      <c r="F445" s="16">
        <v>-2.2355460726735656</v>
      </c>
    </row>
    <row r="446" spans="2:6" x14ac:dyDescent="0.35">
      <c r="B446" s="7" t="s">
        <v>197</v>
      </c>
      <c r="C446" s="16">
        <v>-1.4966137426588944</v>
      </c>
      <c r="D446" s="16">
        <v>-2.2042447497318061</v>
      </c>
      <c r="E446" s="16">
        <v>1.931739477275086</v>
      </c>
      <c r="F446" s="16">
        <v>0.13760923812486514</v>
      </c>
    </row>
    <row r="447" spans="2:6" x14ac:dyDescent="0.35">
      <c r="B447" s="7" t="s">
        <v>198</v>
      </c>
      <c r="C447" s="16">
        <v>-1.7611039404639057</v>
      </c>
      <c r="D447" s="16">
        <v>-2.1331418379955194</v>
      </c>
      <c r="E447" s="16">
        <v>-8.9546271910501199E-2</v>
      </c>
      <c r="F447" s="16">
        <v>9.7562120738453759E-2</v>
      </c>
    </row>
    <row r="448" spans="2:6" x14ac:dyDescent="0.35">
      <c r="B448" s="7" t="s">
        <v>199</v>
      </c>
      <c r="C448" s="16">
        <v>-1.7115828253470995</v>
      </c>
      <c r="D448" s="16">
        <v>-1.9990147115094365</v>
      </c>
      <c r="E448" s="16">
        <v>0.63225837346329428</v>
      </c>
      <c r="F448" s="16">
        <v>-0.61508046389605942</v>
      </c>
    </row>
    <row r="449" spans="2:6" x14ac:dyDescent="0.35">
      <c r="B449" s="7" t="s">
        <v>200</v>
      </c>
      <c r="C449" s="16">
        <v>3.4649810892941129</v>
      </c>
      <c r="D449" s="16">
        <v>-1.9037644134992997</v>
      </c>
      <c r="E449" s="16">
        <v>-1.3949158154114421</v>
      </c>
      <c r="F449" s="16">
        <v>-0.57628951595940936</v>
      </c>
    </row>
    <row r="450" spans="2:6" x14ac:dyDescent="0.35">
      <c r="B450" s="7" t="s">
        <v>201</v>
      </c>
      <c r="C450" s="16">
        <v>-3.7559364498988579</v>
      </c>
      <c r="D450" s="16">
        <v>0.72354413057384892</v>
      </c>
      <c r="E450" s="16">
        <v>-2.0290727870150325</v>
      </c>
      <c r="F450" s="16">
        <v>-2.2651260172778858</v>
      </c>
    </row>
    <row r="451" spans="2:6" x14ac:dyDescent="0.35">
      <c r="B451" s="7" t="s">
        <v>202</v>
      </c>
      <c r="C451" s="16">
        <v>-2.5197428173347172</v>
      </c>
      <c r="D451" s="16">
        <v>-1.6750815570047806</v>
      </c>
      <c r="E451" s="16">
        <v>0.40916120436257974</v>
      </c>
      <c r="F451" s="16">
        <v>-0.73384261701627651</v>
      </c>
    </row>
    <row r="452" spans="2:6" x14ac:dyDescent="0.35">
      <c r="B452" s="7" t="s">
        <v>203</v>
      </c>
      <c r="C452" s="16">
        <v>-1.7231254726756198</v>
      </c>
      <c r="D452" s="16">
        <v>-2.0901460983286539</v>
      </c>
      <c r="E452" s="16">
        <v>-1.9364216238652931E-2</v>
      </c>
      <c r="F452" s="16">
        <v>-0.23026109690425209</v>
      </c>
    </row>
    <row r="453" spans="2:6" x14ac:dyDescent="0.35">
      <c r="B453" s="7" t="s">
        <v>204</v>
      </c>
      <c r="C453" s="16">
        <v>-2.2307246010651478</v>
      </c>
      <c r="D453" s="16">
        <v>-2.6164074500979502</v>
      </c>
      <c r="E453" s="16">
        <v>0.65532737873397651</v>
      </c>
      <c r="F453" s="16">
        <v>-0.74120794236262577</v>
      </c>
    </row>
    <row r="454" spans="2:6" x14ac:dyDescent="0.35">
      <c r="B454" s="7" t="s">
        <v>205</v>
      </c>
      <c r="C454" s="16">
        <v>-2.2777038810804475</v>
      </c>
      <c r="D454" s="16">
        <v>-2.2466187188942279</v>
      </c>
      <c r="E454" s="16">
        <v>2.0173711976958533</v>
      </c>
      <c r="F454" s="16">
        <v>0.30403098165499465</v>
      </c>
    </row>
    <row r="455" spans="2:6" x14ac:dyDescent="0.35">
      <c r="B455" s="7" t="s">
        <v>206</v>
      </c>
      <c r="C455" s="16">
        <v>1.7671018376846066</v>
      </c>
      <c r="D455" s="16">
        <v>-0.76651894221969596</v>
      </c>
      <c r="E455" s="16">
        <v>-0.10990540844227495</v>
      </c>
      <c r="F455" s="16">
        <v>2.3672869641595322</v>
      </c>
    </row>
    <row r="456" spans="2:6" x14ac:dyDescent="0.35">
      <c r="B456" s="7" t="s">
        <v>207</v>
      </c>
      <c r="C456" s="16">
        <v>-2.2763575845902499</v>
      </c>
      <c r="D456" s="16">
        <v>-1.3115912854719882</v>
      </c>
      <c r="E456" s="16">
        <v>1.5478756538602474</v>
      </c>
      <c r="F456" s="16">
        <v>0.36651598997946999</v>
      </c>
    </row>
    <row r="457" spans="2:6" x14ac:dyDescent="0.35">
      <c r="B457" s="7" t="s">
        <v>208</v>
      </c>
      <c r="C457" s="16">
        <v>0.61789752656129826</v>
      </c>
      <c r="D457" s="16">
        <v>-1.0747510702322922</v>
      </c>
      <c r="E457" s="16">
        <v>-0.50695379244400229</v>
      </c>
      <c r="F457" s="16">
        <v>2.6738498847666454</v>
      </c>
    </row>
    <row r="458" spans="2:6" x14ac:dyDescent="0.35">
      <c r="B458" s="7" t="s">
        <v>209</v>
      </c>
      <c r="C458" s="16">
        <v>3.0274107486417248</v>
      </c>
      <c r="D458" s="16">
        <v>-2.4507725334417247</v>
      </c>
      <c r="E458" s="16">
        <v>-2.2054231998201956</v>
      </c>
      <c r="F458" s="16">
        <v>-1.5368530423970397</v>
      </c>
    </row>
    <row r="459" spans="2:6" x14ac:dyDescent="0.35">
      <c r="B459" s="7" t="s">
        <v>210</v>
      </c>
      <c r="C459" s="16">
        <v>-1.9050933855772603</v>
      </c>
      <c r="D459" s="16">
        <v>-2.3945739492242941</v>
      </c>
      <c r="E459" s="16">
        <v>0.54941855385151706</v>
      </c>
      <c r="F459" s="16">
        <v>-0.77406214499852211</v>
      </c>
    </row>
    <row r="460" spans="2:6" x14ac:dyDescent="0.35">
      <c r="B460" s="7" t="s">
        <v>211</v>
      </c>
      <c r="C460" s="16">
        <v>-2.2382892434454584</v>
      </c>
      <c r="D460" s="16">
        <v>-3.2355048401430833</v>
      </c>
      <c r="E460" s="16">
        <v>1.849123798028254</v>
      </c>
      <c r="F460" s="16">
        <v>-0.50281771767520356</v>
      </c>
    </row>
    <row r="461" spans="2:6" x14ac:dyDescent="0.35">
      <c r="B461" s="7" t="s">
        <v>212</v>
      </c>
      <c r="C461" s="16">
        <v>1.7850216275502946</v>
      </c>
      <c r="D461" s="16">
        <v>-1.5197818516768928</v>
      </c>
      <c r="E461" s="16">
        <v>-1.8341884665618367</v>
      </c>
      <c r="F461" s="16">
        <v>-1.1723890754978425</v>
      </c>
    </row>
    <row r="462" spans="2:6" x14ac:dyDescent="0.35">
      <c r="B462" s="7" t="s">
        <v>213</v>
      </c>
      <c r="C462" s="16">
        <v>2.3196495701139184</v>
      </c>
      <c r="D462" s="16">
        <v>-1.8608817592925255</v>
      </c>
      <c r="E462" s="16">
        <v>-2.0887370863589285</v>
      </c>
      <c r="F462" s="16">
        <v>-1.2425858202261089</v>
      </c>
    </row>
    <row r="463" spans="2:6" x14ac:dyDescent="0.35">
      <c r="B463" s="7" t="s">
        <v>214</v>
      </c>
      <c r="C463" s="16">
        <v>-0.93554814357755389</v>
      </c>
      <c r="D463" s="16">
        <v>-0.60995783761750721</v>
      </c>
      <c r="E463" s="16">
        <v>-0.67141428375565804</v>
      </c>
      <c r="F463" s="16">
        <v>1.4755856656531858</v>
      </c>
    </row>
    <row r="464" spans="2:6" x14ac:dyDescent="0.35">
      <c r="B464" s="7" t="s">
        <v>215</v>
      </c>
      <c r="C464" s="16">
        <v>-2.4955123798749304</v>
      </c>
      <c r="D464" s="16">
        <v>-3.0822701797759278</v>
      </c>
      <c r="E464" s="16">
        <v>1.7190856415543072</v>
      </c>
      <c r="F464" s="16">
        <v>-0.43528454996611848</v>
      </c>
    </row>
    <row r="465" spans="2:6" x14ac:dyDescent="0.35">
      <c r="B465" s="7" t="s">
        <v>216</v>
      </c>
      <c r="C465" s="16">
        <v>2.6870222608661174</v>
      </c>
      <c r="D465" s="16">
        <v>-2.1141855773963458</v>
      </c>
      <c r="E465" s="16">
        <v>-2.2764705063289394</v>
      </c>
      <c r="F465" s="16">
        <v>-1.3929607564889623</v>
      </c>
    </row>
    <row r="466" spans="2:6" x14ac:dyDescent="0.35">
      <c r="B466" s="7" t="s">
        <v>217</v>
      </c>
      <c r="C466" s="16">
        <v>-0.67034607073433949</v>
      </c>
      <c r="D466" s="16">
        <v>-0.14116966247192428</v>
      </c>
      <c r="E466" s="16">
        <v>0.60916265171024475</v>
      </c>
      <c r="F466" s="16">
        <v>2.806978811136239</v>
      </c>
    </row>
    <row r="467" spans="2:6" x14ac:dyDescent="0.35">
      <c r="B467" s="7" t="s">
        <v>218</v>
      </c>
      <c r="C467" s="16">
        <v>-0.64471167365889825</v>
      </c>
      <c r="D467" s="16">
        <v>-0.73398622937532676</v>
      </c>
      <c r="E467" s="16">
        <v>-1.4784121276762305</v>
      </c>
      <c r="F467" s="16">
        <v>3.7930489083438741</v>
      </c>
    </row>
    <row r="468" spans="2:6" x14ac:dyDescent="0.35">
      <c r="B468" s="7" t="s">
        <v>219</v>
      </c>
      <c r="C468" s="16">
        <v>2.6686325901477859</v>
      </c>
      <c r="D468" s="16">
        <v>-1.7852617014205527</v>
      </c>
      <c r="E468" s="16">
        <v>-2.2186411997911057</v>
      </c>
      <c r="F468" s="16">
        <v>-1.9283987895280186</v>
      </c>
    </row>
    <row r="469" spans="2:6" x14ac:dyDescent="0.35">
      <c r="B469" s="7" t="s">
        <v>220</v>
      </c>
      <c r="C469" s="16">
        <v>-1.6792565069284893</v>
      </c>
      <c r="D469" s="16">
        <v>-2.7522940360169779</v>
      </c>
      <c r="E469" s="16">
        <v>1.5889683136155048</v>
      </c>
      <c r="F469" s="16">
        <v>-0.20116118956330653</v>
      </c>
    </row>
    <row r="470" spans="2:6" x14ac:dyDescent="0.35">
      <c r="B470" s="7" t="s">
        <v>221</v>
      </c>
      <c r="C470" s="16">
        <v>-2.6434405741546607</v>
      </c>
      <c r="D470" s="16">
        <v>-2.0521105404786604</v>
      </c>
      <c r="E470" s="16">
        <v>1.0185649926011513</v>
      </c>
      <c r="F470" s="16">
        <v>-0.78087954432260842</v>
      </c>
    </row>
    <row r="471" spans="2:6" x14ac:dyDescent="0.35">
      <c r="B471" s="7" t="s">
        <v>222</v>
      </c>
      <c r="C471" s="16">
        <v>-2.8126487468197334</v>
      </c>
      <c r="D471" s="16">
        <v>-3.671879467815371</v>
      </c>
      <c r="E471" s="16">
        <v>1.6054615974957751</v>
      </c>
      <c r="F471" s="16">
        <v>-1.2403623813026821</v>
      </c>
    </row>
    <row r="472" spans="2:6" x14ac:dyDescent="0.35">
      <c r="B472" s="7" t="s">
        <v>223</v>
      </c>
      <c r="C472" s="16">
        <v>-2.0822591490582179</v>
      </c>
      <c r="D472" s="16">
        <v>-2.7035132287006562</v>
      </c>
      <c r="E472" s="16">
        <v>1.8618076939983521</v>
      </c>
      <c r="F472" s="16">
        <v>-0.15865804269966621</v>
      </c>
    </row>
    <row r="473" spans="2:6" x14ac:dyDescent="0.35">
      <c r="B473" s="7" t="s">
        <v>224</v>
      </c>
      <c r="C473" s="16">
        <v>-1.5171988522242981</v>
      </c>
      <c r="D473" s="16">
        <v>-2.035046018828329</v>
      </c>
      <c r="E473" s="16">
        <v>1.817344512480094</v>
      </c>
      <c r="F473" s="16">
        <v>1.2031915837140188E-2</v>
      </c>
    </row>
    <row r="474" spans="2:6" x14ac:dyDescent="0.35">
      <c r="B474" s="7" t="s">
        <v>225</v>
      </c>
      <c r="C474" s="16">
        <v>3.9492933951118521</v>
      </c>
      <c r="D474" s="16">
        <v>-0.56196025019314466</v>
      </c>
      <c r="E474" s="16">
        <v>-1.9214046661303632</v>
      </c>
      <c r="F474" s="16">
        <v>-0.10762358063997396</v>
      </c>
    </row>
    <row r="475" spans="2:6" x14ac:dyDescent="0.35">
      <c r="B475" s="7" t="s">
        <v>226</v>
      </c>
      <c r="C475" s="16">
        <v>-3.621421631174329</v>
      </c>
      <c r="D475" s="16">
        <v>-3.2904592661111396</v>
      </c>
      <c r="E475" s="16">
        <v>0.93817017274650927</v>
      </c>
      <c r="F475" s="16">
        <v>-1.5637414544951116</v>
      </c>
    </row>
    <row r="476" spans="2:6" x14ac:dyDescent="0.35">
      <c r="B476" s="7" t="s">
        <v>227</v>
      </c>
      <c r="C476" s="16">
        <v>2.4577017772651546</v>
      </c>
      <c r="D476" s="16">
        <v>-1.2637690356027769</v>
      </c>
      <c r="E476" s="16">
        <v>-1.9757205391975123</v>
      </c>
      <c r="F476" s="16">
        <v>-0.9609068457953055</v>
      </c>
    </row>
    <row r="477" spans="2:6" x14ac:dyDescent="0.35">
      <c r="B477" s="7" t="s">
        <v>228</v>
      </c>
      <c r="C477" s="16">
        <v>-2.6182177349275135</v>
      </c>
      <c r="D477" s="16">
        <v>-2.3950973735138099</v>
      </c>
      <c r="E477" s="16">
        <v>1.8435070806089906</v>
      </c>
      <c r="F477" s="16">
        <v>-0.14201921844391979</v>
      </c>
    </row>
    <row r="478" spans="2:6" x14ac:dyDescent="0.35">
      <c r="B478" s="7" t="s">
        <v>229</v>
      </c>
      <c r="C478" s="16">
        <v>-1.5617885475534719</v>
      </c>
      <c r="D478" s="16">
        <v>-2.9932266023406595</v>
      </c>
      <c r="E478" s="16">
        <v>2.9032841627405968</v>
      </c>
      <c r="F478" s="16">
        <v>0.58285230400841304</v>
      </c>
    </row>
    <row r="479" spans="2:6" x14ac:dyDescent="0.35">
      <c r="B479" s="7" t="s">
        <v>230</v>
      </c>
      <c r="C479" s="16">
        <v>5.8365494921926069E-3</v>
      </c>
      <c r="D479" s="16">
        <v>-1.574644266593026</v>
      </c>
      <c r="E479" s="16">
        <v>-1.9706580485177532</v>
      </c>
      <c r="F479" s="16">
        <v>2.3503312198590378</v>
      </c>
    </row>
    <row r="480" spans="2:6" x14ac:dyDescent="0.35">
      <c r="B480" s="7" t="s">
        <v>231</v>
      </c>
      <c r="C480" s="16">
        <v>0.20272242754373943</v>
      </c>
      <c r="D480" s="16">
        <v>-0.8915865835366239</v>
      </c>
      <c r="E480" s="16">
        <v>-2.2017899810144148</v>
      </c>
      <c r="F480" s="16">
        <v>3.119480080412969</v>
      </c>
    </row>
    <row r="481" spans="2:6" x14ac:dyDescent="0.35">
      <c r="B481" s="7" t="s">
        <v>232</v>
      </c>
      <c r="C481" s="16">
        <v>1.0371956466294754</v>
      </c>
      <c r="D481" s="16">
        <v>2.0547616606352157E-2</v>
      </c>
      <c r="E481" s="16">
        <v>-1.6212502469145131</v>
      </c>
      <c r="F481" s="16">
        <v>2.0970722940967703</v>
      </c>
    </row>
    <row r="482" spans="2:6" x14ac:dyDescent="0.35">
      <c r="B482" s="7" t="s">
        <v>233</v>
      </c>
      <c r="C482" s="16">
        <v>-2.7582071065015246</v>
      </c>
      <c r="D482" s="16">
        <v>-2.8026074220193276</v>
      </c>
      <c r="E482" s="16">
        <v>1.8456865085693031</v>
      </c>
      <c r="F482" s="16">
        <v>-0.32331341213192644</v>
      </c>
    </row>
    <row r="483" spans="2:6" x14ac:dyDescent="0.35">
      <c r="B483" s="7" t="s">
        <v>234</v>
      </c>
      <c r="C483" s="16">
        <v>0.10761294620925815</v>
      </c>
      <c r="D483" s="16">
        <v>2.1856769136014775</v>
      </c>
      <c r="E483" s="16">
        <v>-3.0611607924952864</v>
      </c>
      <c r="F483" s="16">
        <v>2.6621370759220855</v>
      </c>
    </row>
    <row r="484" spans="2:6" x14ac:dyDescent="0.35">
      <c r="B484" s="7" t="s">
        <v>235</v>
      </c>
      <c r="C484" s="16">
        <v>1.096226122997128</v>
      </c>
      <c r="D484" s="16">
        <v>-1.3938835220020755</v>
      </c>
      <c r="E484" s="16">
        <v>-1.5184994493133692</v>
      </c>
      <c r="F484" s="16">
        <v>1.355979412663691</v>
      </c>
    </row>
    <row r="485" spans="2:6" x14ac:dyDescent="0.35">
      <c r="B485" s="7" t="s">
        <v>236</v>
      </c>
      <c r="C485" s="16">
        <v>-0.1348492843553859</v>
      </c>
      <c r="D485" s="16">
        <v>-0.2150936721678712</v>
      </c>
      <c r="E485" s="16">
        <v>0.61620263641125994</v>
      </c>
      <c r="F485" s="16">
        <v>3.1713789658970573</v>
      </c>
    </row>
    <row r="486" spans="2:6" x14ac:dyDescent="0.35">
      <c r="B486" s="7" t="s">
        <v>237</v>
      </c>
      <c r="C486" s="16">
        <v>-4.1967705446514945</v>
      </c>
      <c r="D486" s="16">
        <v>-3.3031831433843295</v>
      </c>
      <c r="E486" s="16">
        <v>2.4270170448555337</v>
      </c>
      <c r="F486" s="16">
        <v>3.5606151897509479E-2</v>
      </c>
    </row>
    <row r="487" spans="2:6" x14ac:dyDescent="0.35">
      <c r="B487" s="7" t="s">
        <v>238</v>
      </c>
      <c r="C487" s="16">
        <v>3.2086000203955605</v>
      </c>
      <c r="D487" s="16">
        <v>-0.18776843548020095</v>
      </c>
      <c r="E487" s="16">
        <v>-1.9344012862264264</v>
      </c>
      <c r="F487" s="16">
        <v>-0.19361715280526082</v>
      </c>
    </row>
    <row r="488" spans="2:6" x14ac:dyDescent="0.35">
      <c r="B488" s="7" t="s">
        <v>239</v>
      </c>
      <c r="C488" s="16">
        <v>1.5887752144445573</v>
      </c>
      <c r="D488" s="16">
        <v>-1.0719998990412973</v>
      </c>
      <c r="E488" s="16">
        <v>-1.7497497933150705</v>
      </c>
      <c r="F488" s="16">
        <v>1.5992196902267997</v>
      </c>
    </row>
    <row r="489" spans="2:6" x14ac:dyDescent="0.35">
      <c r="B489" s="7" t="s">
        <v>240</v>
      </c>
      <c r="C489" s="16">
        <v>1.8582897194612558</v>
      </c>
      <c r="D489" s="16">
        <v>0.18950742209135776</v>
      </c>
      <c r="E489" s="16">
        <v>-1.0981024571011122</v>
      </c>
      <c r="F489" s="16">
        <v>3.13396274417298</v>
      </c>
    </row>
    <row r="490" spans="2:6" x14ac:dyDescent="0.35">
      <c r="B490" s="7" t="s">
        <v>241</v>
      </c>
      <c r="C490" s="16">
        <v>-2.5887039672382199</v>
      </c>
      <c r="D490" s="16">
        <v>-2.6094353161688182</v>
      </c>
      <c r="E490" s="16">
        <v>1.3042696672110512</v>
      </c>
      <c r="F490" s="16">
        <v>-1.0580559504676796</v>
      </c>
    </row>
    <row r="491" spans="2:6" x14ac:dyDescent="0.35">
      <c r="B491" s="7" t="s">
        <v>242</v>
      </c>
      <c r="C491" s="16">
        <v>0.49866875410826428</v>
      </c>
      <c r="D491" s="16">
        <v>-0.6666715155996753</v>
      </c>
      <c r="E491" s="16">
        <v>-2.4016751992728853</v>
      </c>
      <c r="F491" s="16">
        <v>3.671409942712883</v>
      </c>
    </row>
    <row r="492" spans="2:6" x14ac:dyDescent="0.35">
      <c r="B492" s="7" t="s">
        <v>243</v>
      </c>
      <c r="C492" s="16">
        <v>-3.5909107292125815E-3</v>
      </c>
      <c r="D492" s="16">
        <v>-0.38070715692234142</v>
      </c>
      <c r="E492" s="16">
        <v>-0.71463515142778355</v>
      </c>
      <c r="F492" s="16">
        <v>2.641955749528794</v>
      </c>
    </row>
    <row r="493" spans="2:6" x14ac:dyDescent="0.35">
      <c r="B493" s="7" t="s">
        <v>244</v>
      </c>
      <c r="C493" s="16">
        <v>-1.489162840949231</v>
      </c>
      <c r="D493" s="16">
        <v>0.65699013625724778</v>
      </c>
      <c r="E493" s="16">
        <v>-1.3976085946840116</v>
      </c>
      <c r="F493" s="16">
        <v>3.078563273229205</v>
      </c>
    </row>
    <row r="494" spans="2:6" x14ac:dyDescent="0.35">
      <c r="B494" s="7" t="s">
        <v>245</v>
      </c>
      <c r="C494" s="16">
        <v>0.19814000831099693</v>
      </c>
      <c r="D494" s="16">
        <v>-0.64890777203668237</v>
      </c>
      <c r="E494" s="16">
        <v>-0.69803228882972601</v>
      </c>
      <c r="F494" s="16">
        <v>2.5828246087665043</v>
      </c>
    </row>
    <row r="495" spans="2:6" x14ac:dyDescent="0.35">
      <c r="B495" s="7" t="s">
        <v>246</v>
      </c>
      <c r="C495" s="16">
        <v>3.3522566025825156</v>
      </c>
      <c r="D495" s="16">
        <v>-0.26669914196796562</v>
      </c>
      <c r="E495" s="16">
        <v>-1.7294062652826487</v>
      </c>
      <c r="F495" s="16">
        <v>0.46499505886067966</v>
      </c>
    </row>
    <row r="496" spans="2:6" x14ac:dyDescent="0.35">
      <c r="B496" s="7" t="s">
        <v>247</v>
      </c>
      <c r="C496" s="16">
        <v>1.3209275385961643</v>
      </c>
      <c r="D496" s="16">
        <v>-0.15271518726830147</v>
      </c>
      <c r="E496" s="16">
        <v>-2.1348662172179695</v>
      </c>
      <c r="F496" s="16">
        <v>3.8148797506403449</v>
      </c>
    </row>
    <row r="497" spans="2:6" x14ac:dyDescent="0.35">
      <c r="B497" s="7" t="s">
        <v>248</v>
      </c>
      <c r="C497" s="16">
        <v>-1.9647324926079475</v>
      </c>
      <c r="D497" s="16">
        <v>1.0921127472658503</v>
      </c>
      <c r="E497" s="16">
        <v>-0.97263717358151547</v>
      </c>
      <c r="F497" s="16">
        <v>1.6935828214909383</v>
      </c>
    </row>
    <row r="498" spans="2:6" x14ac:dyDescent="0.35">
      <c r="B498" s="7" t="s">
        <v>249</v>
      </c>
      <c r="C498" s="16">
        <v>-1.9221914830795006</v>
      </c>
      <c r="D498" s="16">
        <v>1.2057523441608731</v>
      </c>
      <c r="E498" s="16">
        <v>-1.1224276764850263</v>
      </c>
      <c r="F498" s="16">
        <v>1.6236779595769479</v>
      </c>
    </row>
    <row r="499" spans="2:6" x14ac:dyDescent="0.35">
      <c r="B499" s="7" t="s">
        <v>250</v>
      </c>
      <c r="C499" s="16">
        <v>0.87744850956619136</v>
      </c>
      <c r="D499" s="16">
        <v>1.906527376727921E-5</v>
      </c>
      <c r="E499" s="16">
        <v>-1.996759509008095</v>
      </c>
      <c r="F499" s="16">
        <v>4.2815954333965687</v>
      </c>
    </row>
    <row r="500" spans="2:6" x14ac:dyDescent="0.35">
      <c r="B500" s="7" t="s">
        <v>251</v>
      </c>
      <c r="C500" s="16">
        <v>-2.0359664050595354</v>
      </c>
      <c r="D500" s="16">
        <v>1.1382708616326023</v>
      </c>
      <c r="E500" s="16">
        <v>-0.85138121992382765</v>
      </c>
      <c r="F500" s="16">
        <v>2.3588006699924202</v>
      </c>
    </row>
    <row r="501" spans="2:6" x14ac:dyDescent="0.35">
      <c r="B501" s="7" t="s">
        <v>252</v>
      </c>
      <c r="C501" s="16">
        <v>-3.7070166296433861E-3</v>
      </c>
      <c r="D501" s="16">
        <v>0.34127449987531511</v>
      </c>
      <c r="E501" s="16">
        <v>-1.7226087055476735</v>
      </c>
      <c r="F501" s="16">
        <v>4.4499654814083991</v>
      </c>
    </row>
    <row r="502" spans="2:6" x14ac:dyDescent="0.35">
      <c r="B502" s="7" t="s">
        <v>253</v>
      </c>
      <c r="C502" s="16">
        <v>0.93414169831165583</v>
      </c>
      <c r="D502" s="16">
        <v>0.20383662582142004</v>
      </c>
      <c r="E502" s="16">
        <v>-2.2405896753627381</v>
      </c>
      <c r="F502" s="16">
        <v>4.1443563584780732</v>
      </c>
    </row>
    <row r="503" spans="2:6" x14ac:dyDescent="0.35">
      <c r="B503" s="7" t="s">
        <v>254</v>
      </c>
      <c r="C503" s="16">
        <v>0.48125577736056457</v>
      </c>
      <c r="D503" s="16">
        <v>0.44402230401370085</v>
      </c>
      <c r="E503" s="16">
        <v>-1.8754544082871809</v>
      </c>
      <c r="F503" s="16">
        <v>4.4170716589487045</v>
      </c>
    </row>
    <row r="504" spans="2:6" x14ac:dyDescent="0.35">
      <c r="B504" s="7" t="s">
        <v>255</v>
      </c>
      <c r="C504" s="16">
        <v>-0.7499684526989171</v>
      </c>
      <c r="D504" s="16">
        <v>1.8304483595365297</v>
      </c>
      <c r="E504" s="16">
        <v>-2.1760838754638683</v>
      </c>
      <c r="F504" s="16">
        <v>3.6833890196570782</v>
      </c>
    </row>
    <row r="505" spans="2:6" x14ac:dyDescent="0.35">
      <c r="B505" s="7" t="s">
        <v>256</v>
      </c>
      <c r="C505" s="16">
        <v>-7.6949145002773084E-2</v>
      </c>
      <c r="D505" s="16">
        <v>-1.490600534967796</v>
      </c>
      <c r="E505" s="16">
        <v>3.4438096465042763E-3</v>
      </c>
      <c r="F505" s="16">
        <v>1.7927965815006146</v>
      </c>
    </row>
    <row r="506" spans="2:6" x14ac:dyDescent="0.35">
      <c r="B506" s="7" t="s">
        <v>257</v>
      </c>
      <c r="C506" s="16">
        <v>-3.3022647000574996</v>
      </c>
      <c r="D506" s="16">
        <v>0.78276291820066612</v>
      </c>
      <c r="E506" s="16">
        <v>-0.87664908638522543</v>
      </c>
      <c r="F506" s="16">
        <v>0.26329561520881523</v>
      </c>
    </row>
    <row r="507" spans="2:6" x14ac:dyDescent="0.35">
      <c r="B507" s="7" t="s">
        <v>258</v>
      </c>
      <c r="C507" s="16">
        <v>-2.1120145961800443</v>
      </c>
      <c r="D507" s="16">
        <v>1.6396848031017048</v>
      </c>
      <c r="E507" s="16">
        <v>-0.703994142631994</v>
      </c>
      <c r="F507" s="16">
        <v>1.0348191205572357</v>
      </c>
    </row>
    <row r="508" spans="2:6" x14ac:dyDescent="0.35">
      <c r="B508" s="7" t="s">
        <v>259</v>
      </c>
      <c r="C508" s="16">
        <v>-1.7651735119709331</v>
      </c>
      <c r="D508" s="16">
        <v>1.9170093495391098</v>
      </c>
      <c r="E508" s="16">
        <v>-0.87257685461355217</v>
      </c>
      <c r="F508" s="16">
        <v>1.432352411323665</v>
      </c>
    </row>
    <row r="509" spans="2:6" x14ac:dyDescent="0.35">
      <c r="B509" s="7" t="s">
        <v>260</v>
      </c>
      <c r="C509" s="16">
        <v>-0.53648284657377421</v>
      </c>
      <c r="D509" s="16">
        <v>1.3109577252739044</v>
      </c>
      <c r="E509" s="16">
        <v>-3.0118889723942801</v>
      </c>
      <c r="F509" s="16">
        <v>0.72675995892864775</v>
      </c>
    </row>
    <row r="510" spans="2:6" x14ac:dyDescent="0.35">
      <c r="B510" s="7" t="s">
        <v>261</v>
      </c>
      <c r="C510" s="16">
        <v>-4.1091810891536227</v>
      </c>
      <c r="D510" s="16">
        <v>1.5797730382332122</v>
      </c>
      <c r="E510" s="16">
        <v>-0.23767567282273519</v>
      </c>
      <c r="F510" s="16">
        <v>0.42064523006059218</v>
      </c>
    </row>
    <row r="511" spans="2:6" x14ac:dyDescent="0.35">
      <c r="B511" s="7" t="s">
        <v>262</v>
      </c>
      <c r="C511" s="16">
        <v>-1.8801844397856384</v>
      </c>
      <c r="D511" s="16">
        <v>1.7579731231575728</v>
      </c>
      <c r="E511" s="16">
        <v>-0.54958158884621788</v>
      </c>
      <c r="F511" s="16">
        <v>1.141471651288696</v>
      </c>
    </row>
    <row r="512" spans="2:6" x14ac:dyDescent="0.35">
      <c r="B512" s="7" t="s">
        <v>263</v>
      </c>
      <c r="C512" s="16">
        <v>-2.1585524584326259</v>
      </c>
      <c r="D512" s="16">
        <v>1.5684199376796004</v>
      </c>
      <c r="E512" s="16">
        <v>-0.56284232017895353</v>
      </c>
      <c r="F512" s="16">
        <v>0.79869628523287961</v>
      </c>
    </row>
    <row r="513" spans="2:6" x14ac:dyDescent="0.35">
      <c r="B513" s="7" t="s">
        <v>264</v>
      </c>
      <c r="C513" s="16">
        <v>-3.271728303318532</v>
      </c>
      <c r="D513" s="16">
        <v>1.5660835532750574</v>
      </c>
      <c r="E513" s="16">
        <v>-0.29865823956505011</v>
      </c>
      <c r="F513" s="16">
        <v>1.2485067656234139</v>
      </c>
    </row>
    <row r="514" spans="2:6" x14ac:dyDescent="0.35">
      <c r="B514" s="7" t="s">
        <v>265</v>
      </c>
      <c r="C514" s="16">
        <v>-3.4360621322750968E-3</v>
      </c>
      <c r="D514" s="16">
        <v>-0.35709319429332492</v>
      </c>
      <c r="E514" s="16">
        <v>-1.1509924991434461</v>
      </c>
      <c r="F514" s="16">
        <v>2.7907047703757208</v>
      </c>
    </row>
    <row r="515" spans="2:6" x14ac:dyDescent="0.35">
      <c r="B515" s="7" t="s">
        <v>266</v>
      </c>
      <c r="C515" s="16">
        <v>-4.2425321550964652</v>
      </c>
      <c r="D515" s="16">
        <v>2.4970357478471334</v>
      </c>
      <c r="E515" s="16">
        <v>0.48091882620716914</v>
      </c>
      <c r="F515" s="16">
        <v>-0.13167840723678403</v>
      </c>
    </row>
    <row r="516" spans="2:6" x14ac:dyDescent="0.35">
      <c r="B516" s="7" t="s">
        <v>267</v>
      </c>
      <c r="C516" s="16">
        <v>0.12017047212057544</v>
      </c>
      <c r="D516" s="16">
        <v>-9.8070496946103716E-2</v>
      </c>
      <c r="E516" s="16">
        <v>-1.8547018280403655</v>
      </c>
      <c r="F516" s="16">
        <v>3.5852272296372791</v>
      </c>
    </row>
    <row r="517" spans="2:6" x14ac:dyDescent="0.35">
      <c r="B517" s="7" t="s">
        <v>268</v>
      </c>
      <c r="C517" s="16">
        <v>-1.4408188024789708</v>
      </c>
      <c r="D517" s="16">
        <v>1.6647991794860386</v>
      </c>
      <c r="E517" s="16">
        <v>-4.5376337919123797</v>
      </c>
      <c r="F517" s="16">
        <v>1.3687988259189505</v>
      </c>
    </row>
    <row r="518" spans="2:6" x14ac:dyDescent="0.35">
      <c r="B518" s="7" t="s">
        <v>269</v>
      </c>
      <c r="C518" s="16">
        <v>-2.3578805600549777</v>
      </c>
      <c r="D518" s="16">
        <v>1.7366952443542421</v>
      </c>
      <c r="E518" s="16">
        <v>-0.57279899956651259</v>
      </c>
      <c r="F518" s="16">
        <v>0.96733423289406972</v>
      </c>
    </row>
    <row r="519" spans="2:6" x14ac:dyDescent="0.35">
      <c r="B519" s="7" t="s">
        <v>270</v>
      </c>
      <c r="C519" s="16">
        <v>-1.2416515382255535</v>
      </c>
      <c r="D519" s="16">
        <v>1.0537014153387121</v>
      </c>
      <c r="E519" s="16">
        <v>-2.0127752459283816</v>
      </c>
      <c r="F519" s="16">
        <v>2.4519358225670191</v>
      </c>
    </row>
    <row r="520" spans="2:6" x14ac:dyDescent="0.35">
      <c r="B520" s="7" t="s">
        <v>271</v>
      </c>
      <c r="C520" s="16">
        <v>6.315743962382285E-2</v>
      </c>
      <c r="D520" s="16">
        <v>-5.9062565138008595E-2</v>
      </c>
      <c r="E520" s="16">
        <v>-2.2740335324276373</v>
      </c>
      <c r="F520" s="16">
        <v>3.588855192804981</v>
      </c>
    </row>
    <row r="521" spans="2:6" x14ac:dyDescent="0.35">
      <c r="B521" s="7" t="s">
        <v>272</v>
      </c>
      <c r="C521" s="16">
        <v>-0.90195477216656372</v>
      </c>
      <c r="D521" s="16">
        <v>0.49206722316831847</v>
      </c>
      <c r="E521" s="16">
        <v>-2.0279419317116805</v>
      </c>
      <c r="F521" s="16">
        <v>2.3214499264606685</v>
      </c>
    </row>
    <row r="522" spans="2:6" x14ac:dyDescent="0.35">
      <c r="B522" s="7" t="s">
        <v>273</v>
      </c>
      <c r="C522" s="16">
        <v>1.0365438029552521</v>
      </c>
      <c r="D522" s="16">
        <v>-1.251983006198061</v>
      </c>
      <c r="E522" s="16">
        <v>-1.8455679403159795</v>
      </c>
      <c r="F522" s="16">
        <v>1.5555464261332101</v>
      </c>
    </row>
    <row r="523" spans="2:6" x14ac:dyDescent="0.35">
      <c r="B523" s="7" t="s">
        <v>274</v>
      </c>
      <c r="C523" s="16">
        <v>0.97756630314193538</v>
      </c>
      <c r="D523" s="16">
        <v>-1.13964917512804</v>
      </c>
      <c r="E523" s="16">
        <v>-1.8307563314500466</v>
      </c>
      <c r="F523" s="16">
        <v>1.7159151801952766</v>
      </c>
    </row>
    <row r="524" spans="2:6" x14ac:dyDescent="0.35">
      <c r="B524" s="7" t="s">
        <v>275</v>
      </c>
      <c r="C524" s="16">
        <v>0.5004473465414252</v>
      </c>
      <c r="D524" s="16">
        <v>-0.83669293427703573</v>
      </c>
      <c r="E524" s="16">
        <v>-1.7319532857080195</v>
      </c>
      <c r="F524" s="16">
        <v>2.1150387721917903</v>
      </c>
    </row>
    <row r="525" spans="2:6" x14ac:dyDescent="0.35">
      <c r="B525" s="7" t="s">
        <v>276</v>
      </c>
      <c r="C525" s="16">
        <v>0.19881506124767828</v>
      </c>
      <c r="D525" s="16">
        <v>-0.48709097818114483</v>
      </c>
      <c r="E525" s="16">
        <v>-1.6941008373372588</v>
      </c>
      <c r="F525" s="16">
        <v>2.25762218275589</v>
      </c>
    </row>
    <row r="526" spans="2:6" x14ac:dyDescent="0.35">
      <c r="B526" s="7" t="s">
        <v>277</v>
      </c>
      <c r="C526" s="16">
        <v>0.85910016531519517</v>
      </c>
      <c r="D526" s="16">
        <v>0.43966895852868859</v>
      </c>
      <c r="E526" s="16">
        <v>-2.3402583349844277</v>
      </c>
      <c r="F526" s="16">
        <v>4.0605043353293215</v>
      </c>
    </row>
    <row r="527" spans="2:6" x14ac:dyDescent="0.35">
      <c r="B527" s="7" t="s">
        <v>278</v>
      </c>
      <c r="C527" s="16">
        <v>2.1632902089774539</v>
      </c>
      <c r="D527" s="16">
        <v>-5.1232738866404136E-2</v>
      </c>
      <c r="E527" s="16">
        <v>-1.3375747497395016</v>
      </c>
      <c r="F527" s="16">
        <v>1.8214068625977713</v>
      </c>
    </row>
    <row r="528" spans="2:6" x14ac:dyDescent="0.35">
      <c r="B528" s="7" t="s">
        <v>279</v>
      </c>
      <c r="C528" s="16">
        <v>1.9999573367599568</v>
      </c>
      <c r="D528" s="16">
        <v>0.20044189485826119</v>
      </c>
      <c r="E528" s="16">
        <v>-1.3552904559650083</v>
      </c>
      <c r="F528" s="16">
        <v>2.1367246876316917</v>
      </c>
    </row>
    <row r="529" spans="2:6" x14ac:dyDescent="0.35">
      <c r="B529" s="7" t="s">
        <v>280</v>
      </c>
      <c r="C529" s="16">
        <v>3.2719784226807436</v>
      </c>
      <c r="D529" s="16">
        <v>-9.1860445104051339E-3</v>
      </c>
      <c r="E529" s="16">
        <v>-1.7338544119435637</v>
      </c>
      <c r="F529" s="16">
        <v>0.69835184988658638</v>
      </c>
    </row>
    <row r="530" spans="2:6" x14ac:dyDescent="0.35">
      <c r="B530" s="7" t="s">
        <v>281</v>
      </c>
      <c r="C530" s="16">
        <v>3.5998469396631534</v>
      </c>
      <c r="D530" s="16">
        <v>-0.15445936850189529</v>
      </c>
      <c r="E530" s="16">
        <v>-1.9562809516039206</v>
      </c>
      <c r="F530" s="16">
        <v>0.41101653196655941</v>
      </c>
    </row>
    <row r="531" spans="2:6" x14ac:dyDescent="0.35">
      <c r="B531" s="7" t="s">
        <v>282</v>
      </c>
      <c r="C531" s="16">
        <v>3.8923109682392778</v>
      </c>
      <c r="D531" s="16">
        <v>-1.1093374577579951</v>
      </c>
      <c r="E531" s="16">
        <v>-1.6868154768786026</v>
      </c>
      <c r="F531" s="16">
        <v>-1.1692850542985593</v>
      </c>
    </row>
    <row r="532" spans="2:6" x14ac:dyDescent="0.35">
      <c r="B532" s="7" t="s">
        <v>283</v>
      </c>
      <c r="C532" s="16">
        <v>3.9128814589087653</v>
      </c>
      <c r="D532" s="16">
        <v>-0.8630998054076825</v>
      </c>
      <c r="E532" s="16">
        <v>-1.8459220822652984</v>
      </c>
      <c r="F532" s="16">
        <v>-1.0021128214388555</v>
      </c>
    </row>
    <row r="533" spans="2:6" x14ac:dyDescent="0.35">
      <c r="B533" s="7" t="s">
        <v>284</v>
      </c>
      <c r="C533" s="16">
        <v>3.3599160451074739</v>
      </c>
      <c r="D533" s="16">
        <v>-0.74614557068589626</v>
      </c>
      <c r="E533" s="16">
        <v>-1.1080076279670501</v>
      </c>
      <c r="F533" s="16">
        <v>-7.3459690206670175E-2</v>
      </c>
    </row>
    <row r="534" spans="2:6" x14ac:dyDescent="0.35">
      <c r="B534" s="7" t="s">
        <v>285</v>
      </c>
      <c r="C534" s="16">
        <v>3.0863565922569487</v>
      </c>
      <c r="D534" s="16">
        <v>-0.57650372891567492</v>
      </c>
      <c r="E534" s="16">
        <v>-1.1544413956401962</v>
      </c>
      <c r="F534" s="16">
        <v>0.15069227591765161</v>
      </c>
    </row>
    <row r="535" spans="2:6" x14ac:dyDescent="0.35">
      <c r="B535" s="7" t="s">
        <v>286</v>
      </c>
      <c r="C535" s="16">
        <v>2.8858784463002767</v>
      </c>
      <c r="D535" s="16">
        <v>-0.30612023398319271</v>
      </c>
      <c r="E535" s="16">
        <v>-1.2024546170241397</v>
      </c>
      <c r="F535" s="16">
        <v>0.47044263128435576</v>
      </c>
    </row>
    <row r="536" spans="2:6" x14ac:dyDescent="0.35">
      <c r="B536" s="7" t="s">
        <v>287</v>
      </c>
      <c r="C536" s="16">
        <v>2.6178025752171035</v>
      </c>
      <c r="D536" s="16">
        <v>-1.1877562261087198</v>
      </c>
      <c r="E536" s="16">
        <v>-0.26042434642240009</v>
      </c>
      <c r="F536" s="16">
        <v>0.7500183887463816</v>
      </c>
    </row>
    <row r="537" spans="2:6" x14ac:dyDescent="0.35">
      <c r="B537" s="7" t="s">
        <v>288</v>
      </c>
      <c r="C537" s="16">
        <v>2.5796616721957877</v>
      </c>
      <c r="D537" s="16">
        <v>-0.88188479123504249</v>
      </c>
      <c r="E537" s="16">
        <v>-0.20643662856725836</v>
      </c>
      <c r="F537" s="16">
        <v>1.088078219348305</v>
      </c>
    </row>
    <row r="538" spans="2:6" x14ac:dyDescent="0.35">
      <c r="B538" s="7" t="s">
        <v>289</v>
      </c>
      <c r="C538" s="16">
        <v>1.7757676295066884</v>
      </c>
      <c r="D538" s="16">
        <v>-0.37000628818863096</v>
      </c>
      <c r="E538" s="16">
        <v>-0.3190596525164861</v>
      </c>
      <c r="F538" s="16">
        <v>1.9260168825920025</v>
      </c>
    </row>
    <row r="539" spans="2:6" x14ac:dyDescent="0.35">
      <c r="B539" s="7" t="s">
        <v>290</v>
      </c>
      <c r="C539" s="16">
        <v>1.6519064131684718</v>
      </c>
      <c r="D539" s="16">
        <v>-0.22478060669715566</v>
      </c>
      <c r="E539" s="16">
        <v>-0.37385338805044949</v>
      </c>
      <c r="F539" s="16">
        <v>2.0770611926708273</v>
      </c>
    </row>
    <row r="540" spans="2:6" x14ac:dyDescent="0.35">
      <c r="B540" s="7" t="s">
        <v>291</v>
      </c>
      <c r="C540" s="16">
        <v>-0.20770463621040147</v>
      </c>
      <c r="D540" s="16">
        <v>0.16029716570326882</v>
      </c>
      <c r="E540" s="16">
        <v>0.37324349086594288</v>
      </c>
      <c r="F540" s="16">
        <v>3.0104097116293191</v>
      </c>
    </row>
    <row r="541" spans="2:6" x14ac:dyDescent="0.35">
      <c r="B541" s="7" t="s">
        <v>292</v>
      </c>
      <c r="C541" s="16">
        <v>-0.31833921723992326</v>
      </c>
      <c r="D541" s="16">
        <v>0.38041886940087</v>
      </c>
      <c r="E541" s="16">
        <v>1.9561362832367934E-2</v>
      </c>
      <c r="F541" s="16">
        <v>2.7854919875038244</v>
      </c>
    </row>
    <row r="542" spans="2:6" x14ac:dyDescent="0.35">
      <c r="B542" s="7" t="s">
        <v>293</v>
      </c>
      <c r="C542" s="16">
        <v>-0.41838542903751391</v>
      </c>
      <c r="D542" s="16">
        <v>0.96643817207335769</v>
      </c>
      <c r="E542" s="16">
        <v>-2.224212133901847</v>
      </c>
      <c r="F542" s="16">
        <v>1.478822641547848</v>
      </c>
    </row>
    <row r="543" spans="2:6" x14ac:dyDescent="0.35">
      <c r="B543" s="7" t="s">
        <v>294</v>
      </c>
      <c r="C543" s="16">
        <v>0.14364362921436857</v>
      </c>
      <c r="D543" s="16">
        <v>-0.99406990325942657</v>
      </c>
      <c r="E543" s="16">
        <v>-0.13292749714674235</v>
      </c>
      <c r="F543" s="16">
        <v>2.2991488840339223</v>
      </c>
    </row>
    <row r="544" spans="2:6" x14ac:dyDescent="0.35">
      <c r="B544" s="7" t="s">
        <v>295</v>
      </c>
      <c r="C544" s="16">
        <v>-1.312457771130034</v>
      </c>
      <c r="D544" s="16">
        <v>-0.42497693499095235</v>
      </c>
      <c r="E544" s="16">
        <v>2.0890544181108259</v>
      </c>
      <c r="F544" s="16">
        <v>1.6677148070615142</v>
      </c>
    </row>
    <row r="545" spans="2:6" x14ac:dyDescent="0.35">
      <c r="B545" s="7" t="s">
        <v>296</v>
      </c>
      <c r="C545" s="16">
        <v>-2.6545509178474789</v>
      </c>
      <c r="D545" s="16">
        <v>-1.8143475422081805</v>
      </c>
      <c r="E545" s="16">
        <v>1.1319930459575085</v>
      </c>
      <c r="F545" s="16">
        <v>-0.44006357304037291</v>
      </c>
    </row>
    <row r="546" spans="2:6" x14ac:dyDescent="0.35">
      <c r="B546" s="7" t="s">
        <v>297</v>
      </c>
      <c r="C546" s="16">
        <v>-2.4257060580591014</v>
      </c>
      <c r="D546" s="16">
        <v>-2.2732604983366489</v>
      </c>
      <c r="E546" s="16">
        <v>1.9076668940691994</v>
      </c>
      <c r="F546" s="16">
        <v>-3.2318721272707608E-2</v>
      </c>
    </row>
    <row r="547" spans="2:6" x14ac:dyDescent="0.35">
      <c r="B547" s="7" t="s">
        <v>298</v>
      </c>
      <c r="C547" s="16">
        <v>-2.2597924609052171</v>
      </c>
      <c r="D547" s="16">
        <v>-1.9824925373857203</v>
      </c>
      <c r="E547" s="16">
        <v>1.9410164698444843</v>
      </c>
      <c r="F547" s="16">
        <v>0.29794473655520892</v>
      </c>
    </row>
    <row r="548" spans="2:6" x14ac:dyDescent="0.35">
      <c r="B548" s="7" t="s">
        <v>299</v>
      </c>
      <c r="C548" s="16">
        <v>-2.3209922406794474</v>
      </c>
      <c r="D548" s="16">
        <v>-1.5428940540095464</v>
      </c>
      <c r="E548" s="16">
        <v>1.4885800454023492</v>
      </c>
      <c r="F548" s="16">
        <v>0.29483202578210083</v>
      </c>
    </row>
    <row r="549" spans="2:6" x14ac:dyDescent="0.35">
      <c r="B549" s="7" t="s">
        <v>300</v>
      </c>
      <c r="C549" s="16">
        <v>-1.8117995016465154</v>
      </c>
      <c r="D549" s="16">
        <v>-1.5316535304118901</v>
      </c>
      <c r="E549" s="16">
        <v>1.9171155470564167</v>
      </c>
      <c r="F549" s="16">
        <v>1.0617276425165076</v>
      </c>
    </row>
    <row r="550" spans="2:6" x14ac:dyDescent="0.35">
      <c r="B550" s="7" t="s">
        <v>301</v>
      </c>
      <c r="C550" s="16">
        <v>-2.0030692099287872</v>
      </c>
      <c r="D550" s="16">
        <v>-1.8666161058056465</v>
      </c>
      <c r="E550" s="16">
        <v>0.6914497680273769</v>
      </c>
      <c r="F550" s="16">
        <v>-0.22320073043980149</v>
      </c>
    </row>
    <row r="551" spans="2:6" x14ac:dyDescent="0.35">
      <c r="B551" s="7" t="s">
        <v>302</v>
      </c>
      <c r="C551" s="16">
        <v>-1.7958343661042617</v>
      </c>
      <c r="D551" s="16">
        <v>-1.6852826252065041</v>
      </c>
      <c r="E551" s="16">
        <v>0.63623463563641414</v>
      </c>
      <c r="F551" s="16">
        <v>-0.20444057921648787</v>
      </c>
    </row>
    <row r="552" spans="2:6" x14ac:dyDescent="0.35">
      <c r="B552" s="7" t="s">
        <v>303</v>
      </c>
      <c r="C552" s="16">
        <v>-2.5679604068991093</v>
      </c>
      <c r="D552" s="16">
        <v>-2.3201052591311031</v>
      </c>
      <c r="E552" s="16">
        <v>1.9698684792997132</v>
      </c>
      <c r="F552" s="16">
        <v>-1.5381586484444555E-2</v>
      </c>
    </row>
    <row r="553" spans="2:6" x14ac:dyDescent="0.35">
      <c r="B553" s="7" t="s">
        <v>304</v>
      </c>
      <c r="C553" s="16">
        <v>-3.164449398784059</v>
      </c>
      <c r="D553" s="16">
        <v>-0.89383896869095758</v>
      </c>
      <c r="E553" s="16">
        <v>2.6721882682047453</v>
      </c>
      <c r="F553" s="16">
        <v>0.66020122864808761</v>
      </c>
    </row>
    <row r="554" spans="2:6" x14ac:dyDescent="0.35">
      <c r="B554" s="7" t="s">
        <v>305</v>
      </c>
      <c r="C554" s="16">
        <v>-2.5712734702042237</v>
      </c>
      <c r="D554" s="16">
        <v>0.16983005008427826</v>
      </c>
      <c r="E554" s="16">
        <v>1.7747150150062179</v>
      </c>
      <c r="F554" s="16">
        <v>-0.24310152359836504</v>
      </c>
    </row>
    <row r="555" spans="2:6" x14ac:dyDescent="0.35">
      <c r="B555" s="7" t="s">
        <v>306</v>
      </c>
      <c r="C555" s="16">
        <v>-2.3168195710899044</v>
      </c>
      <c r="D555" s="16">
        <v>-0.11819280989908613</v>
      </c>
      <c r="E555" s="16">
        <v>-5.1119944046935352E-2</v>
      </c>
      <c r="F555" s="16">
        <v>-2.0678176499268552</v>
      </c>
    </row>
    <row r="556" spans="2:6" x14ac:dyDescent="0.35">
      <c r="B556" s="7" t="s">
        <v>307</v>
      </c>
      <c r="C556" s="16">
        <v>7.8916005240605255E-2</v>
      </c>
      <c r="D556" s="16">
        <v>3.5840490815235388</v>
      </c>
      <c r="E556" s="16">
        <v>2.688657320877117</v>
      </c>
      <c r="F556" s="16">
        <v>0.88762122778363339</v>
      </c>
    </row>
    <row r="557" spans="2:6" x14ac:dyDescent="0.35">
      <c r="B557" s="7" t="s">
        <v>308</v>
      </c>
      <c r="C557" s="16">
        <v>2.5661337311549084</v>
      </c>
      <c r="D557" s="16">
        <v>1.0191070638757858</v>
      </c>
      <c r="E557" s="16">
        <v>2.3964086822063795</v>
      </c>
      <c r="F557" s="16">
        <v>-0.97729970728070548</v>
      </c>
    </row>
    <row r="558" spans="2:6" x14ac:dyDescent="0.35">
      <c r="B558" s="7" t="s">
        <v>309</v>
      </c>
      <c r="C558" s="16">
        <v>2.1289168632460371</v>
      </c>
      <c r="D558" s="16">
        <v>0.78242717922756011</v>
      </c>
      <c r="E558" s="16">
        <v>3.5123904054376927</v>
      </c>
      <c r="F558" s="16">
        <v>-0.50243274380965863</v>
      </c>
    </row>
    <row r="559" spans="2:6" x14ac:dyDescent="0.35">
      <c r="B559" s="7" t="s">
        <v>310</v>
      </c>
      <c r="C559" s="16">
        <v>3.2409105517300936</v>
      </c>
      <c r="D559" s="16">
        <v>0.71369817051984774</v>
      </c>
      <c r="E559" s="16">
        <v>2.3431940229076567</v>
      </c>
      <c r="F559" s="16">
        <v>-2.0067557337903787</v>
      </c>
    </row>
    <row r="560" spans="2:6" x14ac:dyDescent="0.35">
      <c r="B560" s="7" t="s">
        <v>311</v>
      </c>
      <c r="C560" s="16">
        <v>2.9993205596971886</v>
      </c>
      <c r="D560" s="16">
        <v>0.79752689203821525</v>
      </c>
      <c r="E560" s="16">
        <v>2.2890038472665295</v>
      </c>
      <c r="F560" s="16">
        <v>-1.5729144762661782</v>
      </c>
    </row>
    <row r="561" spans="2:6" x14ac:dyDescent="0.35">
      <c r="B561" s="7" t="s">
        <v>312</v>
      </c>
      <c r="C561" s="16">
        <v>2.9882423287775879</v>
      </c>
      <c r="D561" s="16">
        <v>1.0112544076012833</v>
      </c>
      <c r="E561" s="16">
        <v>2.3894955219437293</v>
      </c>
      <c r="F561" s="16">
        <v>-1.4216155938788122</v>
      </c>
    </row>
    <row r="562" spans="2:6" x14ac:dyDescent="0.35">
      <c r="B562" s="7" t="s">
        <v>313</v>
      </c>
      <c r="C562" s="16">
        <v>0.48907320263211618</v>
      </c>
      <c r="D562" s="16">
        <v>1.4153607892341338</v>
      </c>
      <c r="E562" s="16">
        <v>3.4948951041614831</v>
      </c>
      <c r="F562" s="16">
        <v>1.3378678831101725</v>
      </c>
    </row>
    <row r="563" spans="2:6" x14ac:dyDescent="0.35">
      <c r="B563" s="7" t="s">
        <v>314</v>
      </c>
      <c r="C563" s="16">
        <v>2.2303053519288421</v>
      </c>
      <c r="D563" s="16">
        <v>1.378038905010309</v>
      </c>
      <c r="E563" s="16">
        <v>2.0318315579337813</v>
      </c>
      <c r="F563" s="16">
        <v>-0.81405436801077569</v>
      </c>
    </row>
    <row r="564" spans="2:6" x14ac:dyDescent="0.35">
      <c r="B564" s="7" t="s">
        <v>315</v>
      </c>
      <c r="C564" s="16">
        <v>2.4492219075570358</v>
      </c>
      <c r="D564" s="16">
        <v>0.39272840128928405</v>
      </c>
      <c r="E564" s="16">
        <v>0.43859812856532809</v>
      </c>
      <c r="F564" s="16">
        <v>-1.7433867068408349</v>
      </c>
    </row>
    <row r="565" spans="2:6" x14ac:dyDescent="0.35">
      <c r="B565" s="7" t="s">
        <v>316</v>
      </c>
      <c r="C565" s="16">
        <v>2.2448088488837943</v>
      </c>
      <c r="D565" s="16">
        <v>0.65634628800403561</v>
      </c>
      <c r="E565" s="16">
        <v>0.67937616042730042</v>
      </c>
      <c r="F565" s="16">
        <v>-1.4161799213568977</v>
      </c>
    </row>
    <row r="566" spans="2:6" x14ac:dyDescent="0.35">
      <c r="B566" s="7" t="s">
        <v>317</v>
      </c>
      <c r="C566" s="16">
        <v>1.5878477639812925</v>
      </c>
      <c r="D566" s="16">
        <v>0.74029438341906051</v>
      </c>
      <c r="E566" s="16">
        <v>1.3097272829345179</v>
      </c>
      <c r="F566" s="16">
        <v>0.67874573090030255</v>
      </c>
    </row>
    <row r="567" spans="2:6" x14ac:dyDescent="0.35">
      <c r="B567" s="7" t="s">
        <v>318</v>
      </c>
      <c r="C567" s="16">
        <v>1.6672829450014264</v>
      </c>
      <c r="D567" s="16">
        <v>0.96956153312064453</v>
      </c>
      <c r="E567" s="16">
        <v>0.76821542476492832</v>
      </c>
      <c r="F567" s="16">
        <v>0.50933080311667278</v>
      </c>
    </row>
    <row r="568" spans="2:6" x14ac:dyDescent="0.35">
      <c r="B568" s="7" t="s">
        <v>319</v>
      </c>
      <c r="C568" s="16">
        <v>-0.73290508647669106</v>
      </c>
      <c r="D568" s="16">
        <v>3.0046757410933171</v>
      </c>
      <c r="E568" s="16">
        <v>0.21741648345943465</v>
      </c>
      <c r="F568" s="16">
        <v>-0.27027396281753746</v>
      </c>
    </row>
    <row r="569" spans="2:6" x14ac:dyDescent="0.35">
      <c r="B569" s="7" t="s">
        <v>320</v>
      </c>
      <c r="C569" s="16">
        <v>-4.1987324254203031</v>
      </c>
      <c r="D569" s="16">
        <v>1.137019303679397</v>
      </c>
      <c r="E569" s="16">
        <v>-1.4210093630265952</v>
      </c>
      <c r="F569" s="16">
        <v>-3.0374900591150227</v>
      </c>
    </row>
    <row r="570" spans="2:6" x14ac:dyDescent="0.35">
      <c r="B570" s="7" t="s">
        <v>321</v>
      </c>
      <c r="C570" s="16">
        <v>-4.2848403223126317</v>
      </c>
      <c r="D570" s="16">
        <v>1.2232423244508077</v>
      </c>
      <c r="E570" s="16">
        <v>-1.403390378253156</v>
      </c>
      <c r="F570" s="16">
        <v>-3.0524202209363049</v>
      </c>
    </row>
    <row r="571" spans="2:6" x14ac:dyDescent="0.35">
      <c r="B571" s="7" t="s">
        <v>322</v>
      </c>
      <c r="C571" s="16">
        <v>1.493678663225301</v>
      </c>
      <c r="D571" s="16">
        <v>-0.35822047850281413</v>
      </c>
      <c r="E571" s="16">
        <v>-1.8809359058869204</v>
      </c>
      <c r="F571" s="16">
        <v>-0.14048326699592115</v>
      </c>
    </row>
    <row r="572" spans="2:6" x14ac:dyDescent="0.35">
      <c r="B572" s="7" t="s">
        <v>323</v>
      </c>
      <c r="C572" s="16">
        <v>0.76487146875185674</v>
      </c>
      <c r="D572" s="16">
        <v>0.16295191533810668</v>
      </c>
      <c r="E572" s="16">
        <v>-2.0205195522002648</v>
      </c>
      <c r="F572" s="16">
        <v>-1.1664435385386454E-2</v>
      </c>
    </row>
    <row r="573" spans="2:6" x14ac:dyDescent="0.35">
      <c r="B573" s="7" t="s">
        <v>324</v>
      </c>
      <c r="C573" s="16">
        <v>-2.4799558431851429</v>
      </c>
      <c r="D573" s="16">
        <v>2.2476161216558315</v>
      </c>
      <c r="E573" s="16">
        <v>-2.4463028457254867</v>
      </c>
      <c r="F573" s="16">
        <v>-1.5781688946203334</v>
      </c>
    </row>
    <row r="574" spans="2:6" x14ac:dyDescent="0.35">
      <c r="B574" s="7" t="s">
        <v>325</v>
      </c>
      <c r="C574" s="16">
        <v>1.9300484100754909</v>
      </c>
      <c r="D574" s="16">
        <v>-1.1173998084205072</v>
      </c>
      <c r="E574" s="16">
        <v>-1.9834799302075197</v>
      </c>
      <c r="F574" s="16">
        <v>-0.99377186899228609</v>
      </c>
    </row>
    <row r="575" spans="2:6" x14ac:dyDescent="0.35">
      <c r="B575" s="7" t="s">
        <v>326</v>
      </c>
      <c r="C575" s="16">
        <v>0.40857700448257744</v>
      </c>
      <c r="D575" s="16">
        <v>-0.96071694388482143</v>
      </c>
      <c r="E575" s="16">
        <v>-1.0616253918784648</v>
      </c>
      <c r="F575" s="16">
        <v>0.22080278306630877</v>
      </c>
    </row>
    <row r="576" spans="2:6" x14ac:dyDescent="0.35">
      <c r="B576" s="7" t="s">
        <v>327</v>
      </c>
      <c r="C576" s="16">
        <v>3.2201391990866712</v>
      </c>
      <c r="D576" s="16">
        <v>-2.2003654973881894</v>
      </c>
      <c r="E576" s="16">
        <v>-2.2328384817628382</v>
      </c>
      <c r="F576" s="16">
        <v>-1.4351237418819482</v>
      </c>
    </row>
    <row r="577" spans="2:6" x14ac:dyDescent="0.35">
      <c r="B577" s="7" t="s">
        <v>328</v>
      </c>
      <c r="C577" s="16">
        <v>2.0094475645148901</v>
      </c>
      <c r="D577" s="16">
        <v>-1.4073983955735572</v>
      </c>
      <c r="E577" s="16">
        <v>-1.8222029254564613</v>
      </c>
      <c r="F577" s="16">
        <v>-0.97328289715399585</v>
      </c>
    </row>
    <row r="578" spans="2:6" x14ac:dyDescent="0.35">
      <c r="B578" s="7" t="s">
        <v>329</v>
      </c>
      <c r="C578" s="16">
        <v>1.7819232922263055</v>
      </c>
      <c r="D578" s="16">
        <v>-1.2087025482958167</v>
      </c>
      <c r="E578" s="16">
        <v>-1.7781383210145829</v>
      </c>
      <c r="F578" s="16">
        <v>-0.87512832443815414</v>
      </c>
    </row>
    <row r="579" spans="2:6" x14ac:dyDescent="0.35">
      <c r="B579" s="7" t="s">
        <v>330</v>
      </c>
      <c r="C579" s="16">
        <v>0.27915370905082726</v>
      </c>
      <c r="D579" s="16">
        <v>-0.86310580634001555</v>
      </c>
      <c r="E579" s="16">
        <v>-0.98450391348602961</v>
      </c>
      <c r="F579" s="16">
        <v>0.62268709816241408</v>
      </c>
    </row>
    <row r="580" spans="2:6" x14ac:dyDescent="0.35">
      <c r="B580" s="7" t="s">
        <v>331</v>
      </c>
      <c r="C580" s="16">
        <v>6.9253634413513107E-2</v>
      </c>
      <c r="D580" s="16">
        <v>-0.21327553305903449</v>
      </c>
      <c r="E580" s="16">
        <v>-1.1686040381167422</v>
      </c>
      <c r="F580" s="16">
        <v>-9.257809808913145E-2</v>
      </c>
    </row>
    <row r="581" spans="2:6" x14ac:dyDescent="0.35">
      <c r="B581" s="7" t="s">
        <v>332</v>
      </c>
      <c r="C581" s="16">
        <v>-1.7897269864397105</v>
      </c>
      <c r="D581" s="16">
        <v>-0.17366518207007386</v>
      </c>
      <c r="E581" s="16">
        <v>-0.90130913271460178</v>
      </c>
      <c r="F581" s="16">
        <v>0.76410416824067928</v>
      </c>
    </row>
    <row r="582" spans="2:6" x14ac:dyDescent="0.35">
      <c r="B582" s="7" t="s">
        <v>333</v>
      </c>
      <c r="C582" s="16">
        <v>-2.6220707616957819</v>
      </c>
      <c r="D582" s="16">
        <v>0.50856230706479844</v>
      </c>
      <c r="E582" s="16">
        <v>-1.3155543959719169</v>
      </c>
      <c r="F582" s="16">
        <v>-0.77564435203468107</v>
      </c>
    </row>
    <row r="583" spans="2:6" x14ac:dyDescent="0.35">
      <c r="B583" s="7" t="s">
        <v>334</v>
      </c>
      <c r="C583" s="16">
        <v>-1.6176215293889722</v>
      </c>
      <c r="D583" s="16">
        <v>0.97395539820505972</v>
      </c>
      <c r="E583" s="16">
        <v>-1.9892433397848339</v>
      </c>
      <c r="F583" s="16">
        <v>-1.8546910685735958</v>
      </c>
    </row>
    <row r="584" spans="2:6" x14ac:dyDescent="0.35">
      <c r="B584" s="7" t="s">
        <v>335</v>
      </c>
      <c r="C584" s="16">
        <v>-2.0188695852020393</v>
      </c>
      <c r="D584" s="16">
        <v>2.0110594221097982</v>
      </c>
      <c r="E584" s="16">
        <v>-2.4890950750697631</v>
      </c>
      <c r="F584" s="16">
        <v>-2.4947538661495674</v>
      </c>
    </row>
    <row r="585" spans="2:6" x14ac:dyDescent="0.35">
      <c r="B585" s="7" t="s">
        <v>336</v>
      </c>
      <c r="C585" s="16">
        <v>-2.1285377843014439</v>
      </c>
      <c r="D585" s="16">
        <v>2.1543641999467096</v>
      </c>
      <c r="E585" s="16">
        <v>-2.518844386360656</v>
      </c>
      <c r="F585" s="16">
        <v>-2.5211377488134237</v>
      </c>
    </row>
    <row r="586" spans="2:6" x14ac:dyDescent="0.35">
      <c r="B586" s="7" t="s">
        <v>337</v>
      </c>
      <c r="C586" s="16">
        <v>-2.3903856553653924</v>
      </c>
      <c r="D586" s="16">
        <v>2.5926197039286887</v>
      </c>
      <c r="E586" s="16">
        <v>-2.8420659003003781</v>
      </c>
      <c r="F586" s="16">
        <v>-2.8686894448638935</v>
      </c>
    </row>
    <row r="587" spans="2:6" x14ac:dyDescent="0.35">
      <c r="B587" s="7" t="s">
        <v>338</v>
      </c>
      <c r="C587" s="16">
        <v>-1.9919207207758949</v>
      </c>
      <c r="D587" s="16">
        <v>0.45635773410572916</v>
      </c>
      <c r="E587" s="16">
        <v>0.34000597437361146</v>
      </c>
      <c r="F587" s="16">
        <v>-0.36839969989082805</v>
      </c>
    </row>
    <row r="588" spans="2:6" x14ac:dyDescent="0.35">
      <c r="B588" s="7" t="s">
        <v>339</v>
      </c>
      <c r="C588" s="16">
        <v>-8.186579483105795E-2</v>
      </c>
      <c r="D588" s="16">
        <v>-0.2372894224817679</v>
      </c>
      <c r="E588" s="16">
        <v>0.55518023193093369</v>
      </c>
      <c r="F588" s="16">
        <v>-0.25500788418262921</v>
      </c>
    </row>
    <row r="589" spans="2:6" x14ac:dyDescent="0.35">
      <c r="B589" s="7" t="s">
        <v>340</v>
      </c>
      <c r="C589" s="16">
        <v>2.4969397814860437</v>
      </c>
      <c r="D589" s="16">
        <v>-3.7616840696400825E-2</v>
      </c>
      <c r="E589" s="16">
        <v>-0.64018073910720541</v>
      </c>
      <c r="F589" s="16">
        <v>-2.1928826653053992</v>
      </c>
    </row>
    <row r="590" spans="2:6" x14ac:dyDescent="0.35">
      <c r="B590" s="7" t="s">
        <v>341</v>
      </c>
      <c r="C590" s="16">
        <v>2.4126569332593788</v>
      </c>
      <c r="D590" s="16">
        <v>6.9453659649929916E-2</v>
      </c>
      <c r="E590" s="16">
        <v>-0.60661465087972266</v>
      </c>
      <c r="F590" s="16">
        <v>-2.0819799348287722</v>
      </c>
    </row>
    <row r="591" spans="2:6" x14ac:dyDescent="0.35">
      <c r="B591" s="7" t="s">
        <v>342</v>
      </c>
      <c r="C591" s="16">
        <v>-0.4929280370926471</v>
      </c>
      <c r="D591" s="16">
        <v>0.42316425563669446</v>
      </c>
      <c r="E591" s="16">
        <v>0.50642693698606822</v>
      </c>
      <c r="F591" s="16">
        <v>-8.667481351202054E-2</v>
      </c>
    </row>
    <row r="592" spans="2:6" x14ac:dyDescent="0.35">
      <c r="B592" s="7" t="s">
        <v>343</v>
      </c>
      <c r="C592" s="16">
        <v>-4.1328519800815808</v>
      </c>
      <c r="D592" s="16">
        <v>1.4375619764335967</v>
      </c>
      <c r="E592" s="16">
        <v>-1.6981802568039455</v>
      </c>
      <c r="F592" s="16">
        <v>-2.9630241013801117</v>
      </c>
    </row>
    <row r="593" spans="2:6" x14ac:dyDescent="0.35">
      <c r="B593" s="7" t="s">
        <v>344</v>
      </c>
      <c r="C593" s="16">
        <v>-3.8730821143533176</v>
      </c>
      <c r="D593" s="16">
        <v>1.608847280622383</v>
      </c>
      <c r="E593" s="16">
        <v>-1.5588894664221662</v>
      </c>
      <c r="F593" s="16">
        <v>-2.5990454501401192</v>
      </c>
    </row>
    <row r="594" spans="2:6" x14ac:dyDescent="0.35">
      <c r="B594" s="7" t="s">
        <v>345</v>
      </c>
      <c r="C594" s="16">
        <v>2.7152055360474034</v>
      </c>
      <c r="D594" s="16">
        <v>-0.49721109037502731</v>
      </c>
      <c r="E594" s="16">
        <v>-0.59416015197299887</v>
      </c>
      <c r="F594" s="16">
        <v>-2.0719594867417066</v>
      </c>
    </row>
    <row r="595" spans="2:6" x14ac:dyDescent="0.35">
      <c r="B595" s="7" t="s">
        <v>346</v>
      </c>
      <c r="C595" s="16">
        <v>3.3323065966775531</v>
      </c>
      <c r="D595" s="16">
        <v>-0.40781350025846069</v>
      </c>
      <c r="E595" s="16">
        <v>-0.93954777816677493</v>
      </c>
      <c r="F595" s="16">
        <v>-1.5718005168555187</v>
      </c>
    </row>
    <row r="596" spans="2:6" x14ac:dyDescent="0.35">
      <c r="B596" s="7" t="s">
        <v>347</v>
      </c>
      <c r="C596" s="16">
        <v>1.5182596349193749</v>
      </c>
      <c r="D596" s="16">
        <v>0.91225216490389471</v>
      </c>
      <c r="E596" s="16">
        <v>-1.5414805498392146</v>
      </c>
      <c r="F596" s="16">
        <v>-2.1073030733545686</v>
      </c>
    </row>
    <row r="597" spans="2:6" x14ac:dyDescent="0.35">
      <c r="B597" s="7" t="s">
        <v>348</v>
      </c>
      <c r="C597" s="16">
        <v>0.52136220415901169</v>
      </c>
      <c r="D597" s="16">
        <v>1.1652836506486735</v>
      </c>
      <c r="E597" s="16">
        <v>-0.87145335905696197</v>
      </c>
      <c r="F597" s="16">
        <v>-1.3957507070088475</v>
      </c>
    </row>
    <row r="598" spans="2:6" x14ac:dyDescent="0.35">
      <c r="B598" s="7" t="s">
        <v>349</v>
      </c>
      <c r="C598" s="16">
        <v>3.2079118178272488</v>
      </c>
      <c r="D598" s="16">
        <v>-0.17490948460350961</v>
      </c>
      <c r="E598" s="16">
        <v>-0.45638306646753152</v>
      </c>
      <c r="F598" s="16">
        <v>-2.0374319841610258</v>
      </c>
    </row>
    <row r="599" spans="2:6" x14ac:dyDescent="0.35">
      <c r="B599" s="7" t="s">
        <v>350</v>
      </c>
      <c r="C599" s="16">
        <v>2.496293364202637</v>
      </c>
      <c r="D599" s="16">
        <v>-2.707400201430701E-2</v>
      </c>
      <c r="E599" s="16">
        <v>0.40355338025196574</v>
      </c>
      <c r="F599" s="16">
        <v>-0.64308109310314843</v>
      </c>
    </row>
    <row r="600" spans="2:6" x14ac:dyDescent="0.35">
      <c r="B600" s="7" t="s">
        <v>351</v>
      </c>
      <c r="C600" s="16">
        <v>2.450437478670398</v>
      </c>
      <c r="D600" s="16">
        <v>5.9191825077450605E-2</v>
      </c>
      <c r="E600" s="16">
        <v>0.42082224588942452</v>
      </c>
      <c r="F600" s="16">
        <v>-0.51933115128908824</v>
      </c>
    </row>
    <row r="601" spans="2:6" x14ac:dyDescent="0.35">
      <c r="B601" s="7" t="s">
        <v>352</v>
      </c>
      <c r="C601" s="16">
        <v>3.047635406846422</v>
      </c>
      <c r="D601" s="16">
        <v>-0.35370197508489959</v>
      </c>
      <c r="E601" s="16">
        <v>-0.7397632123262966</v>
      </c>
      <c r="F601" s="16">
        <v>-3.0427181781417629</v>
      </c>
    </row>
    <row r="602" spans="2:6" x14ac:dyDescent="0.35">
      <c r="B602" s="7" t="s">
        <v>353</v>
      </c>
      <c r="C602" s="16">
        <v>2.2342425577057745</v>
      </c>
      <c r="D602" s="16">
        <v>0.46832887985025007</v>
      </c>
      <c r="E602" s="16">
        <v>0.31001737261301182</v>
      </c>
      <c r="F602" s="16">
        <v>-0.50029129179327059</v>
      </c>
    </row>
    <row r="603" spans="2:6" x14ac:dyDescent="0.35">
      <c r="B603" s="7" t="s">
        <v>354</v>
      </c>
      <c r="C603" s="16">
        <v>3.9952720397809101</v>
      </c>
      <c r="D603" s="16">
        <v>0.67935504846851547</v>
      </c>
      <c r="E603" s="16">
        <v>1.2376753505552032</v>
      </c>
      <c r="F603" s="16">
        <v>-1.9615798355847485</v>
      </c>
    </row>
    <row r="604" spans="2:6" x14ac:dyDescent="0.35">
      <c r="B604" s="7" t="s">
        <v>355</v>
      </c>
      <c r="C604" s="16">
        <v>3.8366625294691605</v>
      </c>
      <c r="D604" s="16">
        <v>1.3857389347676792</v>
      </c>
      <c r="E604" s="16">
        <v>1.3552479159469313</v>
      </c>
      <c r="F604" s="16">
        <v>-1.2950088672245297</v>
      </c>
    </row>
    <row r="605" spans="2:6" x14ac:dyDescent="0.35">
      <c r="B605" s="7" t="s">
        <v>356</v>
      </c>
      <c r="C605" s="16">
        <v>1.6530542432791338</v>
      </c>
      <c r="D605" s="16">
        <v>1.406017319273912</v>
      </c>
      <c r="E605" s="16">
        <v>-1.0219960739259031</v>
      </c>
      <c r="F605" s="16">
        <v>-2.2098139333112532</v>
      </c>
    </row>
    <row r="606" spans="2:6" x14ac:dyDescent="0.35">
      <c r="B606" s="7" t="s">
        <v>357</v>
      </c>
      <c r="C606" s="16">
        <v>0.71683332053806015</v>
      </c>
      <c r="D606" s="16">
        <v>2.2244010395076632</v>
      </c>
      <c r="E606" s="16">
        <v>-0.89057443924222024</v>
      </c>
      <c r="F606" s="16">
        <v>-1.5026903346044158</v>
      </c>
    </row>
    <row r="607" spans="2:6" x14ac:dyDescent="0.35">
      <c r="B607" s="7" t="s">
        <v>358</v>
      </c>
      <c r="C607" s="16">
        <v>0.76220369062938675</v>
      </c>
      <c r="D607" s="16">
        <v>1.6215811908047768</v>
      </c>
      <c r="E607" s="16">
        <v>-1.6444647189785015</v>
      </c>
      <c r="F607" s="16">
        <v>-2.2177089138629724</v>
      </c>
    </row>
    <row r="608" spans="2:6" x14ac:dyDescent="0.35">
      <c r="B608" s="7" t="s">
        <v>359</v>
      </c>
      <c r="C608" s="16">
        <v>0.54673076491764483</v>
      </c>
      <c r="D608" s="16">
        <v>2.499541330033618</v>
      </c>
      <c r="E608" s="16">
        <v>-2.0852811507932056</v>
      </c>
      <c r="F608" s="16">
        <v>-2.7552309197286253</v>
      </c>
    </row>
    <row r="609" spans="2:6" x14ac:dyDescent="0.35">
      <c r="B609" s="7" t="s">
        <v>360</v>
      </c>
      <c r="C609" s="16">
        <v>-0.43014928572169575</v>
      </c>
      <c r="D609" s="16">
        <v>3.1415671630179403</v>
      </c>
      <c r="E609" s="16">
        <v>0.16924168002738257</v>
      </c>
      <c r="F609" s="16">
        <v>-0.62890963290607527</v>
      </c>
    </row>
    <row r="610" spans="2:6" x14ac:dyDescent="0.35">
      <c r="B610" s="7" t="s">
        <v>361</v>
      </c>
      <c r="C610" s="16">
        <v>-4.1261969181875999</v>
      </c>
      <c r="D610" s="16">
        <v>1.8399287644928648</v>
      </c>
      <c r="E610" s="16">
        <v>-1.6211467233809158</v>
      </c>
      <c r="F610" s="16">
        <v>-2.8082158826756927</v>
      </c>
    </row>
    <row r="611" spans="2:6" x14ac:dyDescent="0.35">
      <c r="B611" s="7" t="s">
        <v>362</v>
      </c>
      <c r="C611" s="16">
        <v>-4.1605674555340375</v>
      </c>
      <c r="D611" s="16">
        <v>1.9229018000477698</v>
      </c>
      <c r="E611" s="16">
        <v>-1.626356837791902</v>
      </c>
      <c r="F611" s="16">
        <v>-2.8222652477528687</v>
      </c>
    </row>
    <row r="612" spans="2:6" x14ac:dyDescent="0.35">
      <c r="B612" s="7" t="s">
        <v>363</v>
      </c>
      <c r="C612" s="16">
        <v>-4.3590732652949935</v>
      </c>
      <c r="D612" s="16">
        <v>2.1565672903434376</v>
      </c>
      <c r="E612" s="16">
        <v>-1.6760292471482479</v>
      </c>
      <c r="F612" s="16">
        <v>-3.0157117665107211</v>
      </c>
    </row>
    <row r="613" spans="2:6" x14ac:dyDescent="0.35">
      <c r="B613" s="7" t="s">
        <v>364</v>
      </c>
      <c r="C613" s="16">
        <v>-4.5295692313560627</v>
      </c>
      <c r="D613" s="16">
        <v>2.2881974616168579</v>
      </c>
      <c r="E613" s="16">
        <v>-1.8183126193246055</v>
      </c>
      <c r="F613" s="16">
        <v>-3.0952597916373645</v>
      </c>
    </row>
    <row r="614" spans="2:6" x14ac:dyDescent="0.35">
      <c r="B614" s="7" t="s">
        <v>365</v>
      </c>
      <c r="C614" s="16">
        <v>-2.2224978869214018</v>
      </c>
      <c r="D614" s="16">
        <v>0.62893811565271873</v>
      </c>
      <c r="E614" s="16">
        <v>-1.6214781034864145</v>
      </c>
      <c r="F614" s="16">
        <v>1.1810391403755029</v>
      </c>
    </row>
    <row r="615" spans="2:6" x14ac:dyDescent="0.35">
      <c r="B615" s="7" t="s">
        <v>366</v>
      </c>
      <c r="C615" s="16">
        <v>-1.9789288907742839</v>
      </c>
      <c r="D615" s="16">
        <v>1.0582607782419255</v>
      </c>
      <c r="E615" s="16">
        <v>-0.8864626776025708</v>
      </c>
      <c r="F615" s="16">
        <v>2.5587109969553792</v>
      </c>
    </row>
    <row r="616" spans="2:6" x14ac:dyDescent="0.35">
      <c r="B616" s="7" t="s">
        <v>367</v>
      </c>
      <c r="C616" s="16">
        <v>2.1779478989711172</v>
      </c>
      <c r="D616" s="16">
        <v>1.2801049000034537</v>
      </c>
      <c r="E616" s="16">
        <v>3.5267299008470006</v>
      </c>
      <c r="F616" s="16">
        <v>-1.2363714466896309E-2</v>
      </c>
    </row>
    <row r="617" spans="2:6" ht="15" thickBot="1" x14ac:dyDescent="0.4">
      <c r="B617" s="11" t="s">
        <v>368</v>
      </c>
      <c r="C617" s="17">
        <v>-3.0008378985039199</v>
      </c>
      <c r="D617" s="17">
        <v>-2.5188145504892892</v>
      </c>
      <c r="E617" s="17">
        <v>2.0451534396143889</v>
      </c>
      <c r="F617" s="17">
        <v>-0.11598520003242689</v>
      </c>
    </row>
    <row r="637" spans="2:7" x14ac:dyDescent="0.35">
      <c r="G637" t="s">
        <v>103</v>
      </c>
    </row>
    <row r="640" spans="2:7" x14ac:dyDescent="0.35">
      <c r="B640" s="6" t="s">
        <v>369</v>
      </c>
    </row>
    <row r="641" spans="2:6" ht="15" thickBot="1" x14ac:dyDescent="0.4"/>
    <row r="642" spans="2:6" ht="29" x14ac:dyDescent="0.35">
      <c r="B642" s="8" t="s">
        <v>134</v>
      </c>
      <c r="C642" s="9" t="s">
        <v>105</v>
      </c>
      <c r="D642" s="9" t="s">
        <v>106</v>
      </c>
      <c r="E642" s="9" t="s">
        <v>107</v>
      </c>
      <c r="F642" s="9" t="s">
        <v>108</v>
      </c>
    </row>
    <row r="643" spans="2:6" x14ac:dyDescent="0.35">
      <c r="B643" s="22" t="s">
        <v>135</v>
      </c>
      <c r="C643" s="23">
        <v>1.1562730236146627E-2</v>
      </c>
      <c r="D643" s="23">
        <v>8.814813976938804E-2</v>
      </c>
      <c r="E643" s="23">
        <v>0.14453517300656221</v>
      </c>
      <c r="F643" s="23">
        <v>6.9085078432296304E-2</v>
      </c>
    </row>
    <row r="644" spans="2:6" x14ac:dyDescent="0.35">
      <c r="B644" s="7" t="s">
        <v>136</v>
      </c>
      <c r="C644" s="16">
        <v>7.807687227736229E-3</v>
      </c>
      <c r="D644" s="16">
        <v>5.884839750272506E-2</v>
      </c>
      <c r="E644" s="16">
        <v>0.1321630711546273</v>
      </c>
      <c r="F644" s="16">
        <v>4.9901952762163228E-2</v>
      </c>
    </row>
    <row r="645" spans="2:6" x14ac:dyDescent="0.35">
      <c r="B645" s="7" t="s">
        <v>137</v>
      </c>
      <c r="C645" s="16">
        <v>-5.3496955735751639E-2</v>
      </c>
      <c r="D645" s="16">
        <v>0.13106747084511794</v>
      </c>
      <c r="E645" s="16">
        <v>0.137227044100763</v>
      </c>
      <c r="F645" s="16">
        <v>2.4347401413188228E-2</v>
      </c>
    </row>
    <row r="646" spans="2:6" x14ac:dyDescent="0.35">
      <c r="B646" s="7" t="s">
        <v>138</v>
      </c>
      <c r="C646" s="16">
        <v>-5.1406778092962869E-3</v>
      </c>
      <c r="D646" s="16">
        <v>5.294616857464611E-2</v>
      </c>
      <c r="E646" s="16">
        <v>8.4898591497341108E-2</v>
      </c>
      <c r="F646" s="16">
        <v>4.0844015332297E-2</v>
      </c>
    </row>
    <row r="647" spans="2:6" x14ac:dyDescent="0.35">
      <c r="B647" s="7" t="s">
        <v>139</v>
      </c>
      <c r="C647" s="16">
        <v>-1.1606282007440679E-2</v>
      </c>
      <c r="D647" s="16">
        <v>0.15896380012361722</v>
      </c>
      <c r="E647" s="16">
        <v>0.10624354977495425</v>
      </c>
      <c r="F647" s="16">
        <v>1.698330404614825E-2</v>
      </c>
    </row>
    <row r="648" spans="2:6" x14ac:dyDescent="0.35">
      <c r="B648" s="7" t="s">
        <v>140</v>
      </c>
      <c r="C648" s="16">
        <v>3.466204118275875E-2</v>
      </c>
      <c r="D648" s="16">
        <v>7.972056697899331E-2</v>
      </c>
      <c r="E648" s="16">
        <v>0.1554726494185541</v>
      </c>
      <c r="F648" s="16">
        <v>4.8240100304359844E-2</v>
      </c>
    </row>
    <row r="649" spans="2:6" x14ac:dyDescent="0.35">
      <c r="B649" s="7" t="s">
        <v>141</v>
      </c>
      <c r="C649" s="16">
        <v>6.4194381203061437E-2</v>
      </c>
      <c r="D649" s="16">
        <v>2.6147277248851158E-2</v>
      </c>
      <c r="E649" s="16">
        <v>0.1253178428325388</v>
      </c>
      <c r="F649" s="16">
        <v>-2.7419630383300666E-2</v>
      </c>
    </row>
    <row r="650" spans="2:6" x14ac:dyDescent="0.35">
      <c r="B650" s="7" t="s">
        <v>142</v>
      </c>
      <c r="C650" s="16">
        <v>8.7979355254992354E-5</v>
      </c>
      <c r="D650" s="16">
        <v>5.6003268444155659E-2</v>
      </c>
      <c r="E650" s="16">
        <v>7.8637524623085486E-2</v>
      </c>
      <c r="F650" s="16">
        <v>5.2390304785934934E-2</v>
      </c>
    </row>
    <row r="651" spans="2:6" x14ac:dyDescent="0.35">
      <c r="B651" s="7" t="s">
        <v>143</v>
      </c>
      <c r="C651" s="16">
        <v>3.7142536297446377E-2</v>
      </c>
      <c r="D651" s="16">
        <v>2.0437105675001371E-2</v>
      </c>
      <c r="E651" s="16">
        <v>0.10034372789916343</v>
      </c>
      <c r="F651" s="16">
        <v>-2.2538583108974754E-2</v>
      </c>
    </row>
    <row r="652" spans="2:6" x14ac:dyDescent="0.35">
      <c r="B652" s="7" t="s">
        <v>144</v>
      </c>
      <c r="C652" s="16">
        <v>3.8603217504979623E-2</v>
      </c>
      <c r="D652" s="16">
        <v>4.9555837193063432E-2</v>
      </c>
      <c r="E652" s="16">
        <v>9.8944784870488869E-2</v>
      </c>
      <c r="F652" s="16">
        <v>-1.8338795135675204E-3</v>
      </c>
    </row>
    <row r="653" spans="2:6" x14ac:dyDescent="0.35">
      <c r="B653" s="7" t="s">
        <v>145</v>
      </c>
      <c r="C653" s="16">
        <v>7.5531888527041E-2</v>
      </c>
      <c r="D653" s="16">
        <v>1.0287888429984399E-2</v>
      </c>
      <c r="E653" s="16">
        <v>0.11678375440983227</v>
      </c>
      <c r="F653" s="16">
        <v>-5.2221087836876387E-2</v>
      </c>
    </row>
    <row r="654" spans="2:6" x14ac:dyDescent="0.35">
      <c r="B654" s="7" t="s">
        <v>146</v>
      </c>
      <c r="C654" s="16">
        <v>3.5222435427732963E-2</v>
      </c>
      <c r="D654" s="16">
        <v>6.7880976143966071E-2</v>
      </c>
      <c r="E654" s="16">
        <v>0.14434944534175778</v>
      </c>
      <c r="F654" s="16">
        <v>9.474626250818409E-2</v>
      </c>
    </row>
    <row r="655" spans="2:6" x14ac:dyDescent="0.35">
      <c r="B655" s="7" t="s">
        <v>147</v>
      </c>
      <c r="C655" s="16">
        <v>5.5404513292372795E-2</v>
      </c>
      <c r="D655" s="16">
        <v>7.7419132047896924E-2</v>
      </c>
      <c r="E655" s="16">
        <v>0.14011619326929248</v>
      </c>
      <c r="F655" s="16">
        <v>7.0467302129181342E-2</v>
      </c>
    </row>
    <row r="656" spans="2:6" x14ac:dyDescent="0.35">
      <c r="B656" s="7" t="s">
        <v>148</v>
      </c>
      <c r="C656" s="16">
        <v>1.6572250791686248E-2</v>
      </c>
      <c r="D656" s="16">
        <v>4.6555596181757468E-2</v>
      </c>
      <c r="E656" s="16">
        <v>0.12716998271272817</v>
      </c>
      <c r="F656" s="16">
        <v>3.3126612998377748E-2</v>
      </c>
    </row>
    <row r="657" spans="2:6" x14ac:dyDescent="0.35">
      <c r="B657" s="7" t="s">
        <v>149</v>
      </c>
      <c r="C657" s="16">
        <v>-3.4112340560951471E-2</v>
      </c>
      <c r="D657" s="16">
        <v>0.10489449571993535</v>
      </c>
      <c r="E657" s="16">
        <v>0.10081729234731782</v>
      </c>
      <c r="F657" s="16">
        <v>1.4713398384236997E-2</v>
      </c>
    </row>
    <row r="658" spans="2:6" x14ac:dyDescent="0.35">
      <c r="B658" s="7" t="s">
        <v>150</v>
      </c>
      <c r="C658" s="16">
        <v>-2.0402045461792612E-2</v>
      </c>
      <c r="D658" s="16">
        <v>0.10456917243420956</v>
      </c>
      <c r="E658" s="16">
        <v>6.5193175532397465E-2</v>
      </c>
      <c r="F658" s="16">
        <v>3.4352864730433107E-2</v>
      </c>
    </row>
    <row r="659" spans="2:6" x14ac:dyDescent="0.35">
      <c r="B659" s="7" t="s">
        <v>151</v>
      </c>
      <c r="C659" s="16">
        <v>7.4081130599997255E-2</v>
      </c>
      <c r="D659" s="16">
        <v>8.8702977318936421E-3</v>
      </c>
      <c r="E659" s="16">
        <v>6.4703175975322366E-2</v>
      </c>
      <c r="F659" s="16">
        <v>-7.3535375748551401E-2</v>
      </c>
    </row>
    <row r="660" spans="2:6" x14ac:dyDescent="0.35">
      <c r="B660" s="7" t="s">
        <v>152</v>
      </c>
      <c r="C660" s="16">
        <v>6.9103429553724463E-2</v>
      </c>
      <c r="D660" s="16">
        <v>3.5423625354863458E-2</v>
      </c>
      <c r="E660" s="16">
        <v>7.1390275177325796E-2</v>
      </c>
      <c r="F660" s="16">
        <v>-4.3009814141323897E-2</v>
      </c>
    </row>
    <row r="661" spans="2:6" x14ac:dyDescent="0.35">
      <c r="B661" s="7" t="s">
        <v>153</v>
      </c>
      <c r="C661" s="16">
        <v>9.7353882740663256E-2</v>
      </c>
      <c r="D661" s="16">
        <v>6.2285798278125686E-2</v>
      </c>
      <c r="E661" s="16">
        <v>0.1201751987751022</v>
      </c>
      <c r="F661" s="16">
        <v>-4.4719075956215826E-2</v>
      </c>
    </row>
    <row r="662" spans="2:6" x14ac:dyDescent="0.35">
      <c r="B662" s="7" t="s">
        <v>154</v>
      </c>
      <c r="C662" s="16">
        <v>5.2986950585351848E-2</v>
      </c>
      <c r="D662" s="16">
        <v>4.6418817205357107E-2</v>
      </c>
      <c r="E662" s="16">
        <v>0.14750414418580993</v>
      </c>
      <c r="F662" s="16">
        <v>2.9787590538563627E-2</v>
      </c>
    </row>
    <row r="663" spans="2:6" x14ac:dyDescent="0.35">
      <c r="B663" s="7" t="s">
        <v>155</v>
      </c>
      <c r="C663" s="16">
        <v>8.36384353394483E-2</v>
      </c>
      <c r="D663" s="16">
        <v>-2.290646115266626E-3</v>
      </c>
      <c r="E663" s="16">
        <v>6.1749086055882509E-2</v>
      </c>
      <c r="F663" s="16">
        <v>-9.3482158663564685E-2</v>
      </c>
    </row>
    <row r="664" spans="2:6" x14ac:dyDescent="0.35">
      <c r="B664" s="7" t="s">
        <v>156</v>
      </c>
      <c r="C664" s="16">
        <v>7.5734725486874821E-2</v>
      </c>
      <c r="D664" s="16">
        <v>3.3851413507772869E-2</v>
      </c>
      <c r="E664" s="16">
        <v>8.0989619862580797E-2</v>
      </c>
      <c r="F664" s="16">
        <v>-5.8391707966263529E-2</v>
      </c>
    </row>
    <row r="665" spans="2:6" x14ac:dyDescent="0.35">
      <c r="B665" s="7" t="s">
        <v>157</v>
      </c>
      <c r="C665" s="16">
        <v>-3.4401995571185272E-3</v>
      </c>
      <c r="D665" s="16">
        <v>0.15529458843717917</v>
      </c>
      <c r="E665" s="16">
        <v>9.3738088991343324E-2</v>
      </c>
      <c r="F665" s="16">
        <v>1.3814333648485258E-2</v>
      </c>
    </row>
    <row r="666" spans="2:6" x14ac:dyDescent="0.35">
      <c r="B666" s="7" t="s">
        <v>158</v>
      </c>
      <c r="C666" s="16">
        <v>6.9555374962665575E-2</v>
      </c>
      <c r="D666" s="16">
        <v>8.9019900546651279E-2</v>
      </c>
      <c r="E666" s="16">
        <v>0.10754139667775475</v>
      </c>
      <c r="F666" s="16">
        <v>5.771508939437691E-2</v>
      </c>
    </row>
    <row r="667" spans="2:6" x14ac:dyDescent="0.35">
      <c r="B667" s="7" t="s">
        <v>159</v>
      </c>
      <c r="C667" s="16">
        <v>7.3128702693182154E-2</v>
      </c>
      <c r="D667" s="16">
        <v>7.4224329871404329E-2</v>
      </c>
      <c r="E667" s="16">
        <v>0.10484416241643345</v>
      </c>
      <c r="F667" s="16">
        <v>4.5911695941879875E-2</v>
      </c>
    </row>
    <row r="668" spans="2:6" x14ac:dyDescent="0.35">
      <c r="B668" s="7" t="s">
        <v>160</v>
      </c>
      <c r="C668" s="16">
        <v>-0.12274046791567135</v>
      </c>
      <c r="D668" s="16">
        <v>4.6246723954234792E-2</v>
      </c>
      <c r="E668" s="16">
        <v>-4.8780991968618514E-2</v>
      </c>
      <c r="F668" s="16">
        <v>-0.11456786112744294</v>
      </c>
    </row>
    <row r="669" spans="2:6" x14ac:dyDescent="0.35">
      <c r="B669" s="7" t="s">
        <v>161</v>
      </c>
      <c r="C669" s="16">
        <v>7.2316056376541843E-2</v>
      </c>
      <c r="D669" s="16">
        <v>1.1390903614243084E-2</v>
      </c>
      <c r="E669" s="16">
        <v>1.5471909672365232E-2</v>
      </c>
      <c r="F669" s="16">
        <v>-7.0658279665401336E-2</v>
      </c>
    </row>
    <row r="670" spans="2:6" x14ac:dyDescent="0.35">
      <c r="B670" s="7" t="s">
        <v>162</v>
      </c>
      <c r="C670" s="16">
        <v>-2.4727504176139882E-3</v>
      </c>
      <c r="D670" s="16">
        <v>6.0929124636122899E-2</v>
      </c>
      <c r="E670" s="16">
        <v>5.1502535338378883E-2</v>
      </c>
      <c r="F670" s="16">
        <v>7.6345480971697244E-2</v>
      </c>
    </row>
    <row r="671" spans="2:6" x14ac:dyDescent="0.35">
      <c r="B671" s="7" t="s">
        <v>163</v>
      </c>
      <c r="C671" s="16">
        <v>-5.2605721540663501E-2</v>
      </c>
      <c r="D671" s="16">
        <v>0.14126580615751</v>
      </c>
      <c r="E671" s="16">
        <v>1.1902982431636174E-2</v>
      </c>
      <c r="F671" s="16">
        <v>-6.8445946890823783E-2</v>
      </c>
    </row>
    <row r="672" spans="2:6" x14ac:dyDescent="0.35">
      <c r="B672" s="7" t="s">
        <v>164</v>
      </c>
      <c r="C672" s="16">
        <v>8.2673838783524273E-2</v>
      </c>
      <c r="D672" s="16">
        <v>1.063833741334487E-3</v>
      </c>
      <c r="E672" s="16">
        <v>1.1698512180750352E-3</v>
      </c>
      <c r="F672" s="16">
        <v>-7.9567191541682347E-2</v>
      </c>
    </row>
    <row r="673" spans="2:6" x14ac:dyDescent="0.35">
      <c r="B673" s="7" t="s">
        <v>165</v>
      </c>
      <c r="C673" s="16">
        <v>-0.1225916832703612</v>
      </c>
      <c r="D673" s="16">
        <v>4.790761865206996E-2</v>
      </c>
      <c r="E673" s="16">
        <v>-5.6508878342148822E-2</v>
      </c>
      <c r="F673" s="16">
        <v>-0.10669861313638886</v>
      </c>
    </row>
    <row r="674" spans="2:6" x14ac:dyDescent="0.35">
      <c r="B674" s="7" t="s">
        <v>166</v>
      </c>
      <c r="C674" s="16">
        <v>-5.398194943244846E-2</v>
      </c>
      <c r="D674" s="16">
        <v>4.8441647967934882E-2</v>
      </c>
      <c r="E674" s="16">
        <v>-1.5675385690053719E-2</v>
      </c>
      <c r="F674" s="16">
        <v>-1.1682582261273706E-2</v>
      </c>
    </row>
    <row r="675" spans="2:6" x14ac:dyDescent="0.35">
      <c r="B675" s="7" t="s">
        <v>167</v>
      </c>
      <c r="C675" s="16">
        <v>7.3809017015247488E-2</v>
      </c>
      <c r="D675" s="16">
        <v>2.2364879445562973E-2</v>
      </c>
      <c r="E675" s="16">
        <v>9.7682309407664345E-3</v>
      </c>
      <c r="F675" s="16">
        <v>-3.9249760954304838E-2</v>
      </c>
    </row>
    <row r="676" spans="2:6" x14ac:dyDescent="0.35">
      <c r="B676" s="7" t="s">
        <v>168</v>
      </c>
      <c r="C676" s="16">
        <v>-0.10592090591936305</v>
      </c>
      <c r="D676" s="16">
        <v>5.3837248497064012E-2</v>
      </c>
      <c r="E676" s="16">
        <v>-5.6552931497102762E-2</v>
      </c>
      <c r="F676" s="16">
        <v>-0.1071271685238631</v>
      </c>
    </row>
    <row r="677" spans="2:6" x14ac:dyDescent="0.35">
      <c r="B677" s="7" t="s">
        <v>169</v>
      </c>
      <c r="C677" s="16">
        <v>5.9191234075517789E-2</v>
      </c>
      <c r="D677" s="16">
        <v>1.8740077760395546E-2</v>
      </c>
      <c r="E677" s="16">
        <v>2.3997773411022168E-2</v>
      </c>
      <c r="F677" s="16">
        <v>3.5128845454269354E-3</v>
      </c>
    </row>
    <row r="678" spans="2:6" x14ac:dyDescent="0.35">
      <c r="B678" s="7" t="s">
        <v>170</v>
      </c>
      <c r="C678" s="16">
        <v>-0.11310567368178376</v>
      </c>
      <c r="D678" s="16">
        <v>4.3461964928061127E-2</v>
      </c>
      <c r="E678" s="16">
        <v>-4.7833671093895296E-2</v>
      </c>
      <c r="F678" s="16">
        <v>-0.10629202845882688</v>
      </c>
    </row>
    <row r="679" spans="2:6" x14ac:dyDescent="0.35">
      <c r="B679" s="7" t="s">
        <v>171</v>
      </c>
      <c r="C679" s="16">
        <v>0.1335959942573425</v>
      </c>
      <c r="D679" s="16">
        <v>-3.2825867389332582E-2</v>
      </c>
      <c r="E679" s="16">
        <v>-2.8191431827975368E-2</v>
      </c>
      <c r="F679" s="16">
        <v>-0.11803382774322185</v>
      </c>
    </row>
    <row r="680" spans="2:6" x14ac:dyDescent="0.35">
      <c r="B680" s="7" t="s">
        <v>172</v>
      </c>
      <c r="C680" s="16">
        <v>9.7158278992604458E-2</v>
      </c>
      <c r="D680" s="16">
        <v>-2.2450412799871207E-2</v>
      </c>
      <c r="E680" s="16">
        <v>-2.8112042060190509E-2</v>
      </c>
      <c r="F680" s="16">
        <v>-0.11353381046099821</v>
      </c>
    </row>
    <row r="681" spans="2:6" x14ac:dyDescent="0.35">
      <c r="B681" s="7" t="s">
        <v>173</v>
      </c>
      <c r="C681" s="16">
        <v>-0.12260983954402568</v>
      </c>
      <c r="D681" s="16">
        <v>1.3201787639370091E-2</v>
      </c>
      <c r="E681" s="16">
        <v>-3.1549502422288697E-2</v>
      </c>
      <c r="F681" s="16">
        <v>-6.9768540018464165E-2</v>
      </c>
    </row>
    <row r="682" spans="2:6" x14ac:dyDescent="0.35">
      <c r="B682" s="7" t="s">
        <v>174</v>
      </c>
      <c r="C682" s="16">
        <v>-5.5107140167343541E-2</v>
      </c>
      <c r="D682" s="16">
        <v>3.3235608716241448E-2</v>
      </c>
      <c r="E682" s="16">
        <v>-2.1137270394615517E-2</v>
      </c>
      <c r="F682" s="16">
        <v>-6.5818430651580898E-2</v>
      </c>
    </row>
    <row r="683" spans="2:6" x14ac:dyDescent="0.35">
      <c r="B683" s="7" t="s">
        <v>175</v>
      </c>
      <c r="C683" s="16">
        <v>2.0853257058003324E-2</v>
      </c>
      <c r="D683" s="16">
        <v>2.3539636484397702E-2</v>
      </c>
      <c r="E683" s="16">
        <v>3.3281828385718734E-2</v>
      </c>
      <c r="F683" s="16">
        <v>6.2751464021224806E-2</v>
      </c>
    </row>
    <row r="684" spans="2:6" x14ac:dyDescent="0.35">
      <c r="B684" s="7" t="s">
        <v>176</v>
      </c>
      <c r="C684" s="16">
        <v>0.11108602770164965</v>
      </c>
      <c r="D684" s="16">
        <v>-1.8348413006931602E-2</v>
      </c>
      <c r="E684" s="16">
        <v>-1.2681660928902215E-2</v>
      </c>
      <c r="F684" s="16">
        <v>-0.10227379016285386</v>
      </c>
    </row>
    <row r="685" spans="2:6" x14ac:dyDescent="0.35">
      <c r="B685" s="7" t="s">
        <v>177</v>
      </c>
      <c r="C685" s="16">
        <v>9.8467346714302684E-2</v>
      </c>
      <c r="D685" s="16">
        <v>6.8105423147707695E-3</v>
      </c>
      <c r="E685" s="16">
        <v>3.876771650719308E-2</v>
      </c>
      <c r="F685" s="16">
        <v>-8.3805170725518921E-2</v>
      </c>
    </row>
    <row r="686" spans="2:6" x14ac:dyDescent="0.35">
      <c r="B686" s="7" t="s">
        <v>178</v>
      </c>
      <c r="C686" s="16">
        <v>-6.5370198809695829E-2</v>
      </c>
      <c r="D686" s="16">
        <v>-1.4667936367583569E-2</v>
      </c>
      <c r="E686" s="16">
        <v>1.4870748352533141E-3</v>
      </c>
      <c r="F686" s="16">
        <v>-7.6363298189210421E-2</v>
      </c>
    </row>
    <row r="687" spans="2:6" x14ac:dyDescent="0.35">
      <c r="B687" s="7" t="s">
        <v>179</v>
      </c>
      <c r="C687" s="16">
        <v>6.7195948212433916E-3</v>
      </c>
      <c r="D687" s="16">
        <v>7.0065548897446763E-3</v>
      </c>
      <c r="E687" s="16">
        <v>2.5946836763565975E-2</v>
      </c>
      <c r="F687" s="16">
        <v>4.4409017816213633E-2</v>
      </c>
    </row>
    <row r="688" spans="2:6" x14ac:dyDescent="0.35">
      <c r="B688" s="7" t="s">
        <v>180</v>
      </c>
      <c r="C688" s="16">
        <v>-8.6559017610885622E-2</v>
      </c>
      <c r="D688" s="16">
        <v>-5.596482750116203E-2</v>
      </c>
      <c r="E688" s="16">
        <v>0.10051080661401346</v>
      </c>
      <c r="F688" s="16">
        <v>1.9900837544983153E-2</v>
      </c>
    </row>
    <row r="689" spans="2:6" x14ac:dyDescent="0.35">
      <c r="B689" s="7" t="s">
        <v>181</v>
      </c>
      <c r="C689" s="16">
        <v>-3.4434795348137197E-2</v>
      </c>
      <c r="D689" s="16">
        <v>-1.1104085276445866E-2</v>
      </c>
      <c r="E689" s="16">
        <v>2.4508550730325856E-2</v>
      </c>
      <c r="F689" s="16">
        <v>4.2559758639438916E-3</v>
      </c>
    </row>
    <row r="690" spans="2:6" x14ac:dyDescent="0.35">
      <c r="B690" s="7" t="s">
        <v>182</v>
      </c>
      <c r="C690" s="16">
        <v>-9.2022791871146804E-3</v>
      </c>
      <c r="D690" s="16">
        <v>-0.10158398073545991</v>
      </c>
      <c r="E690" s="16">
        <v>-2.7329242499288729E-2</v>
      </c>
      <c r="F690" s="16">
        <v>-0.10370836452887236</v>
      </c>
    </row>
    <row r="691" spans="2:6" x14ac:dyDescent="0.35">
      <c r="B691" s="7" t="s">
        <v>183</v>
      </c>
      <c r="C691" s="16">
        <v>8.9343332938953704E-2</v>
      </c>
      <c r="D691" s="16">
        <v>1.6464646561733999E-3</v>
      </c>
      <c r="E691" s="16">
        <v>-2.1598312664295894E-2</v>
      </c>
      <c r="F691" s="16">
        <v>-5.6278891214136359E-2</v>
      </c>
    </row>
    <row r="692" spans="2:6" x14ac:dyDescent="0.35">
      <c r="B692" s="7" t="s">
        <v>184</v>
      </c>
      <c r="C692" s="16">
        <v>8.9578946573920765E-2</v>
      </c>
      <c r="D692" s="16">
        <v>1.6141226402254321E-3</v>
      </c>
      <c r="E692" s="16">
        <v>4.2496014541649495E-2</v>
      </c>
      <c r="F692" s="16">
        <v>-7.0505768234652419E-2</v>
      </c>
    </row>
    <row r="693" spans="2:6" x14ac:dyDescent="0.35">
      <c r="B693" s="7" t="s">
        <v>185</v>
      </c>
      <c r="C693" s="16">
        <v>-4.1027767565096372E-2</v>
      </c>
      <c r="D693" s="16">
        <v>-2.6231240901963212E-2</v>
      </c>
      <c r="E693" s="16">
        <v>2.8798700386615052E-2</v>
      </c>
      <c r="F693" s="16">
        <v>-6.6642993818723185E-4</v>
      </c>
    </row>
    <row r="694" spans="2:6" x14ac:dyDescent="0.35">
      <c r="B694" s="7" t="s">
        <v>186</v>
      </c>
      <c r="C694" s="16">
        <v>-5.9013134542285531E-2</v>
      </c>
      <c r="D694" s="16">
        <v>-7.9234033299070375E-2</v>
      </c>
      <c r="E694" s="16">
        <v>4.7619726622553163E-3</v>
      </c>
      <c r="F694" s="16">
        <v>-3.5816777563527594E-2</v>
      </c>
    </row>
    <row r="695" spans="2:6" x14ac:dyDescent="0.35">
      <c r="B695" s="7" t="s">
        <v>187</v>
      </c>
      <c r="C695" s="16">
        <v>9.393429807441947E-2</v>
      </c>
      <c r="D695" s="16">
        <v>-2.373961443937737E-2</v>
      </c>
      <c r="E695" s="16">
        <v>-2.7090171128528535E-2</v>
      </c>
      <c r="F695" s="16">
        <v>-4.6328829017376227E-2</v>
      </c>
    </row>
    <row r="696" spans="2:6" x14ac:dyDescent="0.35">
      <c r="B696" s="7" t="s">
        <v>188</v>
      </c>
      <c r="C696" s="16">
        <v>-4.7106497042075188E-2</v>
      </c>
      <c r="D696" s="16">
        <v>-9.9540284291462708E-3</v>
      </c>
      <c r="E696" s="16">
        <v>2.920080455464456E-2</v>
      </c>
      <c r="F696" s="16">
        <v>1.2615781743918978E-2</v>
      </c>
    </row>
    <row r="697" spans="2:6" x14ac:dyDescent="0.35">
      <c r="B697" s="7" t="s">
        <v>189</v>
      </c>
      <c r="C697" s="16">
        <v>0.10147541951643473</v>
      </c>
      <c r="D697" s="16">
        <v>-6.4544149974664788E-2</v>
      </c>
      <c r="E697" s="16">
        <v>-3.6961484121021543E-2</v>
      </c>
      <c r="F697" s="16">
        <v>-0.113237883578795</v>
      </c>
    </row>
    <row r="698" spans="2:6" x14ac:dyDescent="0.35">
      <c r="B698" s="7" t="s">
        <v>190</v>
      </c>
      <c r="C698" s="16">
        <v>-7.4970584816558217E-2</v>
      </c>
      <c r="D698" s="16">
        <v>-0.11395323186113931</v>
      </c>
      <c r="E698" s="16">
        <v>1.7185070958555308E-2</v>
      </c>
      <c r="F698" s="16">
        <v>-4.113850540641429E-2</v>
      </c>
    </row>
    <row r="699" spans="2:6" x14ac:dyDescent="0.35">
      <c r="B699" s="7" t="s">
        <v>191</v>
      </c>
      <c r="C699" s="16">
        <v>-5.5158314482094475E-2</v>
      </c>
      <c r="D699" s="16">
        <v>-6.9331832375830044E-2</v>
      </c>
      <c r="E699" s="16">
        <v>4.3761687247903421E-2</v>
      </c>
      <c r="F699" s="16">
        <v>3.8011771530615406E-2</v>
      </c>
    </row>
    <row r="700" spans="2:6" x14ac:dyDescent="0.35">
      <c r="B700" s="7" t="s">
        <v>192</v>
      </c>
      <c r="C700" s="16">
        <v>-6.9856048536516377E-2</v>
      </c>
      <c r="D700" s="16">
        <v>-6.8727283792677951E-2</v>
      </c>
      <c r="E700" s="16">
        <v>4.212419414179331E-2</v>
      </c>
      <c r="F700" s="16">
        <v>1.7030643574391567E-2</v>
      </c>
    </row>
    <row r="701" spans="2:6" x14ac:dyDescent="0.35">
      <c r="B701" s="7" t="s">
        <v>193</v>
      </c>
      <c r="C701" s="16">
        <v>-4.3539921923035449E-2</v>
      </c>
      <c r="D701" s="16">
        <v>-7.3103050650330029E-2</v>
      </c>
      <c r="E701" s="16">
        <v>6.0695952715441023E-2</v>
      </c>
      <c r="F701" s="16">
        <v>2.6312113007705903E-2</v>
      </c>
    </row>
    <row r="702" spans="2:6" x14ac:dyDescent="0.35">
      <c r="B702" s="7" t="s">
        <v>194</v>
      </c>
      <c r="C702" s="16">
        <v>3.3031053923405267E-2</v>
      </c>
      <c r="D702" s="16">
        <v>-1.4783834091093019E-2</v>
      </c>
      <c r="E702" s="16">
        <v>-1.5314512384336383E-2</v>
      </c>
      <c r="F702" s="16">
        <v>-6.5857434745098031E-2</v>
      </c>
    </row>
    <row r="703" spans="2:6" x14ac:dyDescent="0.35">
      <c r="B703" s="7" t="s">
        <v>195</v>
      </c>
      <c r="C703" s="16">
        <v>-7.038945681293729E-2</v>
      </c>
      <c r="D703" s="16">
        <v>-8.5402897686708321E-2</v>
      </c>
      <c r="E703" s="16">
        <v>-1.1235324214514309E-2</v>
      </c>
      <c r="F703" s="16">
        <v>-4.1361057799923176E-2</v>
      </c>
    </row>
    <row r="704" spans="2:6" x14ac:dyDescent="0.35">
      <c r="B704" s="7" t="s">
        <v>196</v>
      </c>
      <c r="C704" s="16">
        <v>4.5590547344513135E-2</v>
      </c>
      <c r="D704" s="16">
        <v>-3.6155879456014381E-2</v>
      </c>
      <c r="E704" s="16">
        <v>-2.5436857379286835E-2</v>
      </c>
      <c r="F704" s="16">
        <v>-7.8926970088361068E-2</v>
      </c>
    </row>
    <row r="705" spans="2:6" x14ac:dyDescent="0.35">
      <c r="B705" s="7" t="s">
        <v>197</v>
      </c>
      <c r="C705" s="16">
        <v>-4.1515054763010074E-2</v>
      </c>
      <c r="D705" s="16">
        <v>-9.4944578460942841E-2</v>
      </c>
      <c r="E705" s="16">
        <v>7.0835463656051603E-2</v>
      </c>
      <c r="F705" s="16">
        <v>4.8583566915148613E-3</v>
      </c>
    </row>
    <row r="706" spans="2:6" x14ac:dyDescent="0.35">
      <c r="B706" s="7" t="s">
        <v>198</v>
      </c>
      <c r="C706" s="16">
        <v>-4.8851834276103873E-2</v>
      </c>
      <c r="D706" s="16">
        <v>-9.1881925829936803E-2</v>
      </c>
      <c r="E706" s="16">
        <v>-3.283595828563145E-3</v>
      </c>
      <c r="F706" s="16">
        <v>3.4444750119025642E-3</v>
      </c>
    </row>
    <row r="707" spans="2:6" x14ac:dyDescent="0.35">
      <c r="B707" s="7" t="s">
        <v>199</v>
      </c>
      <c r="C707" s="16">
        <v>-4.7478151977592399E-2</v>
      </c>
      <c r="D707" s="16">
        <v>-8.6104598477360308E-2</v>
      </c>
      <c r="E707" s="16">
        <v>2.3184448814945333E-2</v>
      </c>
      <c r="F707" s="16">
        <v>-2.1715695314568576E-2</v>
      </c>
    </row>
    <row r="708" spans="2:6" x14ac:dyDescent="0.35">
      <c r="B708" s="7" t="s">
        <v>200</v>
      </c>
      <c r="C708" s="16">
        <v>9.6116235989705992E-2</v>
      </c>
      <c r="D708" s="16">
        <v>-8.2001832941023228E-2</v>
      </c>
      <c r="E708" s="16">
        <v>-5.1150535415474145E-2</v>
      </c>
      <c r="F708" s="16">
        <v>-2.0346163268273678E-2</v>
      </c>
    </row>
    <row r="709" spans="2:6" x14ac:dyDescent="0.35">
      <c r="B709" s="7" t="s">
        <v>201</v>
      </c>
      <c r="C709" s="16">
        <v>-0.10418714125056351</v>
      </c>
      <c r="D709" s="16">
        <v>3.1165591971391515E-2</v>
      </c>
      <c r="E709" s="16">
        <v>-7.4404604425661394E-2</v>
      </c>
      <c r="F709" s="16">
        <v>-7.9971303475866895E-2</v>
      </c>
    </row>
    <row r="710" spans="2:6" x14ac:dyDescent="0.35">
      <c r="B710" s="7" t="s">
        <v>202</v>
      </c>
      <c r="C710" s="16">
        <v>-6.9895964515537645E-2</v>
      </c>
      <c r="D710" s="16">
        <v>-7.215165754023882E-2</v>
      </c>
      <c r="E710" s="16">
        <v>1.5003639963902094E-2</v>
      </c>
      <c r="F710" s="16">
        <v>-2.5908647104525916E-2</v>
      </c>
    </row>
    <row r="711" spans="2:6" x14ac:dyDescent="0.35">
      <c r="B711" s="7" t="s">
        <v>203</v>
      </c>
      <c r="C711" s="16">
        <v>-4.7798337221316198E-2</v>
      </c>
      <c r="D711" s="16">
        <v>-9.0029948013596914E-2</v>
      </c>
      <c r="E711" s="16">
        <v>-7.10071545225088E-4</v>
      </c>
      <c r="F711" s="16">
        <v>-8.1294726733770403E-3</v>
      </c>
    </row>
    <row r="712" spans="2:6" x14ac:dyDescent="0.35">
      <c r="B712" s="7" t="s">
        <v>204</v>
      </c>
      <c r="C712" s="16">
        <v>-6.1878794330649557E-2</v>
      </c>
      <c r="D712" s="16">
        <v>-0.11269787643220887</v>
      </c>
      <c r="E712" s="16">
        <v>2.4030372244919308E-2</v>
      </c>
      <c r="F712" s="16">
        <v>-2.6168683263211357E-2</v>
      </c>
    </row>
    <row r="713" spans="2:6" x14ac:dyDescent="0.35">
      <c r="B713" s="7" t="s">
        <v>205</v>
      </c>
      <c r="C713" s="16">
        <v>-6.3181967839598466E-2</v>
      </c>
      <c r="D713" s="16">
        <v>-9.6769774433546452E-2</v>
      </c>
      <c r="E713" s="16">
        <v>7.397551576505898E-2</v>
      </c>
      <c r="F713" s="16">
        <v>1.073395198083343E-2</v>
      </c>
    </row>
    <row r="714" spans="2:6" x14ac:dyDescent="0.35">
      <c r="B714" s="7" t="s">
        <v>206</v>
      </c>
      <c r="C714" s="16">
        <v>4.901821189544734E-2</v>
      </c>
      <c r="D714" s="16">
        <v>-3.3016668344217091E-2</v>
      </c>
      <c r="E714" s="16">
        <v>-4.0301503680496755E-3</v>
      </c>
      <c r="F714" s="16">
        <v>8.3578142134791616E-2</v>
      </c>
    </row>
    <row r="715" spans="2:6" x14ac:dyDescent="0.35">
      <c r="B715" s="7" t="s">
        <v>207</v>
      </c>
      <c r="C715" s="16">
        <v>-6.3144622483930074E-2</v>
      </c>
      <c r="D715" s="16">
        <v>-5.649485236489081E-2</v>
      </c>
      <c r="E715" s="16">
        <v>5.6759460016714738E-2</v>
      </c>
      <c r="F715" s="16">
        <v>1.2940013597402489E-2</v>
      </c>
    </row>
    <row r="716" spans="2:6" x14ac:dyDescent="0.35">
      <c r="B716" s="7" t="s">
        <v>208</v>
      </c>
      <c r="C716" s="16">
        <v>1.7140060205211773E-2</v>
      </c>
      <c r="D716" s="16">
        <v>-4.6293310815900886E-2</v>
      </c>
      <c r="E716" s="16">
        <v>-1.8589622131975982E-2</v>
      </c>
      <c r="F716" s="16">
        <v>9.4401485371024427E-2</v>
      </c>
    </row>
    <row r="717" spans="2:6" x14ac:dyDescent="0.35">
      <c r="B717" s="7" t="s">
        <v>209</v>
      </c>
      <c r="C717" s="16">
        <v>8.3978330171348703E-2</v>
      </c>
      <c r="D717" s="16">
        <v>-0.1055633976760489</v>
      </c>
      <c r="E717" s="16">
        <v>-8.087124415837052E-2</v>
      </c>
      <c r="F717" s="16">
        <v>-5.4259295118177578E-2</v>
      </c>
    </row>
    <row r="718" spans="2:6" x14ac:dyDescent="0.35">
      <c r="B718" s="7" t="s">
        <v>210</v>
      </c>
      <c r="C718" s="16">
        <v>-5.2846004267190737E-2</v>
      </c>
      <c r="D718" s="16">
        <v>-0.1031427268819935</v>
      </c>
      <c r="E718" s="16">
        <v>2.0146773652008083E-2</v>
      </c>
      <c r="F718" s="16">
        <v>-2.7328615818579892E-2</v>
      </c>
    </row>
    <row r="719" spans="2:6" x14ac:dyDescent="0.35">
      <c r="B719" s="7" t="s">
        <v>211</v>
      </c>
      <c r="C719" s="16">
        <v>-6.2088632402912111E-2</v>
      </c>
      <c r="D719" s="16">
        <v>-0.13936457972423527</v>
      </c>
      <c r="E719" s="16">
        <v>6.7806007555188577E-2</v>
      </c>
      <c r="F719" s="16">
        <v>-1.7752208038990257E-2</v>
      </c>
    </row>
    <row r="720" spans="2:6" x14ac:dyDescent="0.35">
      <c r="B720" s="7" t="s">
        <v>212</v>
      </c>
      <c r="C720" s="16">
        <v>4.9515294767540963E-2</v>
      </c>
      <c r="D720" s="16">
        <v>-6.5462352707252841E-2</v>
      </c>
      <c r="E720" s="16">
        <v>-6.7258339952115706E-2</v>
      </c>
      <c r="F720" s="16">
        <v>-4.1391729128210715E-2</v>
      </c>
    </row>
    <row r="721" spans="2:6" x14ac:dyDescent="0.35">
      <c r="B721" s="7" t="s">
        <v>213</v>
      </c>
      <c r="C721" s="16">
        <v>6.4345512933206256E-2</v>
      </c>
      <c r="D721" s="16">
        <v>-8.0154726113415287E-2</v>
      </c>
      <c r="E721" s="16">
        <v>-7.6592450332139433E-2</v>
      </c>
      <c r="F721" s="16">
        <v>-4.3870057103282248E-2</v>
      </c>
    </row>
    <row r="722" spans="2:6" x14ac:dyDescent="0.35">
      <c r="B722" s="7" t="s">
        <v>214</v>
      </c>
      <c r="C722" s="16">
        <v>-2.5951473855272994E-2</v>
      </c>
      <c r="D722" s="16">
        <v>-2.627303060542107E-2</v>
      </c>
      <c r="E722" s="16">
        <v>-2.4620267201981062E-2</v>
      </c>
      <c r="F722" s="16">
        <v>5.2096222537941557E-2</v>
      </c>
    </row>
    <row r="723" spans="2:6" x14ac:dyDescent="0.35">
      <c r="B723" s="7" t="s">
        <v>215</v>
      </c>
      <c r="C723" s="16">
        <v>-6.9223828539900001E-2</v>
      </c>
      <c r="D723" s="16">
        <v>-0.13276422364493171</v>
      </c>
      <c r="E723" s="16">
        <v>6.3037604147186732E-2</v>
      </c>
      <c r="F723" s="16">
        <v>-1.536791886110153E-2</v>
      </c>
    </row>
    <row r="724" spans="2:6" x14ac:dyDescent="0.35">
      <c r="B724" s="7" t="s">
        <v>216</v>
      </c>
      <c r="C724" s="16">
        <v>7.4536183338193979E-2</v>
      </c>
      <c r="D724" s="16">
        <v>-9.106541297581601E-2</v>
      </c>
      <c r="E724" s="16">
        <v>-8.3476496552528534E-2</v>
      </c>
      <c r="F724" s="16">
        <v>-4.9179112569208448E-2</v>
      </c>
    </row>
    <row r="725" spans="2:6" x14ac:dyDescent="0.35">
      <c r="B725" s="7" t="s">
        <v>217</v>
      </c>
      <c r="C725" s="16">
        <v>-1.8594947409251186E-2</v>
      </c>
      <c r="D725" s="16">
        <v>-6.0806741612977567E-3</v>
      </c>
      <c r="E725" s="16">
        <v>2.2337545711243093E-2</v>
      </c>
      <c r="F725" s="16">
        <v>9.9101662619844127E-2</v>
      </c>
    </row>
    <row r="726" spans="2:6" x14ac:dyDescent="0.35">
      <c r="B726" s="7" t="s">
        <v>218</v>
      </c>
      <c r="C726" s="16">
        <v>-1.788386654177699E-2</v>
      </c>
      <c r="D726" s="16">
        <v>-3.1615369914187778E-2</v>
      </c>
      <c r="E726" s="16">
        <v>-5.421228368040569E-2</v>
      </c>
      <c r="F726" s="16">
        <v>0.13391531554279987</v>
      </c>
    </row>
    <row r="727" spans="2:6" x14ac:dyDescent="0.35">
      <c r="B727" s="7" t="s">
        <v>219</v>
      </c>
      <c r="C727" s="16">
        <v>7.402606628849423E-2</v>
      </c>
      <c r="D727" s="16">
        <v>-7.6897504101785169E-2</v>
      </c>
      <c r="E727" s="16">
        <v>-8.1355938480539597E-2</v>
      </c>
      <c r="F727" s="16">
        <v>-6.8082995667132565E-2</v>
      </c>
    </row>
    <row r="728" spans="2:6" x14ac:dyDescent="0.35">
      <c r="B728" s="7" t="s">
        <v>220</v>
      </c>
      <c r="C728" s="16">
        <v>-4.6581441730196932E-2</v>
      </c>
      <c r="D728" s="16">
        <v>-0.11855098989438159</v>
      </c>
      <c r="E728" s="16">
        <v>5.8266297579888653E-2</v>
      </c>
      <c r="F728" s="16">
        <v>-7.1020872196180364E-3</v>
      </c>
    </row>
    <row r="729" spans="2:6" x14ac:dyDescent="0.35">
      <c r="B729" s="7" t="s">
        <v>221</v>
      </c>
      <c r="C729" s="16">
        <v>-7.3327256773564095E-2</v>
      </c>
      <c r="D729" s="16">
        <v>-8.8391622683783228E-2</v>
      </c>
      <c r="E729" s="16">
        <v>3.7350027974010734E-2</v>
      </c>
      <c r="F729" s="16">
        <v>-2.7569307200032419E-2</v>
      </c>
    </row>
    <row r="730" spans="2:6" x14ac:dyDescent="0.35">
      <c r="B730" s="7" t="s">
        <v>222</v>
      </c>
      <c r="C730" s="16">
        <v>-7.8020977240181796E-2</v>
      </c>
      <c r="D730" s="16">
        <v>-0.15816077061022343</v>
      </c>
      <c r="E730" s="16">
        <v>5.8871094150344333E-2</v>
      </c>
      <c r="F730" s="16">
        <v>-4.3791557581600402E-2</v>
      </c>
    </row>
    <row r="731" spans="2:6" x14ac:dyDescent="0.35">
      <c r="B731" s="7" t="s">
        <v>223</v>
      </c>
      <c r="C731" s="16">
        <v>-5.776046293036953E-2</v>
      </c>
      <c r="D731" s="16">
        <v>-0.11644982885580085</v>
      </c>
      <c r="E731" s="16">
        <v>6.8271116677084451E-2</v>
      </c>
      <c r="F731" s="16">
        <v>-5.6014943031160638E-3</v>
      </c>
    </row>
    <row r="732" spans="2:6" x14ac:dyDescent="0.35">
      <c r="B732" s="7" t="s">
        <v>224</v>
      </c>
      <c r="C732" s="16">
        <v>-4.2086071804048344E-2</v>
      </c>
      <c r="D732" s="16">
        <v>-8.7656593683521133E-2</v>
      </c>
      <c r="E732" s="16">
        <v>6.6640684563685923E-2</v>
      </c>
      <c r="F732" s="16">
        <v>4.2479225679653804E-4</v>
      </c>
    </row>
    <row r="733" spans="2:6" x14ac:dyDescent="0.35">
      <c r="B733" s="7" t="s">
        <v>225</v>
      </c>
      <c r="C733" s="16">
        <v>0.10955073236330083</v>
      </c>
      <c r="D733" s="16">
        <v>-2.4205605603863135E-2</v>
      </c>
      <c r="E733" s="16">
        <v>-7.0456493744297868E-2</v>
      </c>
      <c r="F733" s="16">
        <v>-3.7996994263754065E-3</v>
      </c>
    </row>
    <row r="734" spans="2:6" x14ac:dyDescent="0.35">
      <c r="B734" s="7" t="s">
        <v>226</v>
      </c>
      <c r="C734" s="16">
        <v>-0.10045579099858472</v>
      </c>
      <c r="D734" s="16">
        <v>-0.14173166024409817</v>
      </c>
      <c r="E734" s="16">
        <v>3.4402009151109511E-2</v>
      </c>
      <c r="F734" s="16">
        <v>-5.5208602727324724E-2</v>
      </c>
    </row>
    <row r="735" spans="2:6" x14ac:dyDescent="0.35">
      <c r="B735" s="7" t="s">
        <v>227</v>
      </c>
      <c r="C735" s="16">
        <v>6.8174987951827831E-2</v>
      </c>
      <c r="D735" s="16">
        <v>-5.4434979768874146E-2</v>
      </c>
      <c r="E735" s="16">
        <v>-7.2448216799014351E-2</v>
      </c>
      <c r="F735" s="16">
        <v>-3.392525289585558E-2</v>
      </c>
    </row>
    <row r="736" spans="2:6" x14ac:dyDescent="0.35">
      <c r="B736" s="7" t="s">
        <v>228</v>
      </c>
      <c r="C736" s="16">
        <v>-7.2627592242932915E-2</v>
      </c>
      <c r="D736" s="16">
        <v>-0.10316527260815676</v>
      </c>
      <c r="E736" s="16">
        <v>6.760004666486201E-2</v>
      </c>
      <c r="F736" s="16">
        <v>-5.0140530508907266E-3</v>
      </c>
    </row>
    <row r="737" spans="2:6" x14ac:dyDescent="0.35">
      <c r="B737" s="7" t="s">
        <v>229</v>
      </c>
      <c r="C737" s="16">
        <v>-4.3322959847163486E-2</v>
      </c>
      <c r="D737" s="16">
        <v>-0.12892880340619708</v>
      </c>
      <c r="E737" s="16">
        <v>0.10646129160392769</v>
      </c>
      <c r="F737" s="16">
        <v>2.0577865482945771E-2</v>
      </c>
    </row>
    <row r="738" spans="2:6" x14ac:dyDescent="0.35">
      <c r="B738" s="7" t="s">
        <v>230</v>
      </c>
      <c r="C738" s="16">
        <v>1.619019422906772E-4</v>
      </c>
      <c r="D738" s="16">
        <v>-6.7825469987307777E-2</v>
      </c>
      <c r="E738" s="16">
        <v>-7.2262578994965826E-2</v>
      </c>
      <c r="F738" s="16">
        <v>8.2979511876355244E-2</v>
      </c>
    </row>
    <row r="739" spans="2:6" x14ac:dyDescent="0.35">
      <c r="B739" s="7" t="s">
        <v>231</v>
      </c>
      <c r="C739" s="16">
        <v>5.62338326936428E-3</v>
      </c>
      <c r="D739" s="16">
        <v>-3.8403771788780093E-2</v>
      </c>
      <c r="E739" s="16">
        <v>-8.0738016701097454E-2</v>
      </c>
      <c r="F739" s="16">
        <v>0.11013466195466969</v>
      </c>
    </row>
    <row r="740" spans="2:6" x14ac:dyDescent="0.35">
      <c r="B740" s="7" t="s">
        <v>232</v>
      </c>
      <c r="C740" s="16">
        <v>2.8771106961291818E-2</v>
      </c>
      <c r="D740" s="16">
        <v>8.8505815758642132E-4</v>
      </c>
      <c r="E740" s="16">
        <v>-5.9450052294149923E-2</v>
      </c>
      <c r="F740" s="16">
        <v>7.4038090403281562E-2</v>
      </c>
    </row>
    <row r="741" spans="2:6" x14ac:dyDescent="0.35">
      <c r="B741" s="7" t="s">
        <v>233</v>
      </c>
      <c r="C741" s="16">
        <v>-7.6510802894740368E-2</v>
      </c>
      <c r="D741" s="16">
        <v>-0.1207181644903592</v>
      </c>
      <c r="E741" s="16">
        <v>6.7679964682736488E-2</v>
      </c>
      <c r="F741" s="16">
        <v>-1.1414726952142162E-2</v>
      </c>
    </row>
    <row r="742" spans="2:6" x14ac:dyDescent="0.35">
      <c r="B742" s="7" t="s">
        <v>234</v>
      </c>
      <c r="C742" s="16">
        <v>2.9851104715563526E-3</v>
      </c>
      <c r="D742" s="16">
        <v>9.4144796415623067E-2</v>
      </c>
      <c r="E742" s="16">
        <v>-0.11225051132050322</v>
      </c>
      <c r="F742" s="16">
        <v>9.3987959331626056E-2</v>
      </c>
    </row>
    <row r="743" spans="2:6" x14ac:dyDescent="0.35">
      <c r="B743" s="7" t="s">
        <v>235</v>
      </c>
      <c r="C743" s="16">
        <v>3.0408572520532119E-2</v>
      </c>
      <c r="D743" s="16">
        <v>-6.0039468591790289E-2</v>
      </c>
      <c r="E743" s="16">
        <v>-5.5682256235349559E-2</v>
      </c>
      <c r="F743" s="16">
        <v>4.7873469418479794E-2</v>
      </c>
    </row>
    <row r="744" spans="2:6" x14ac:dyDescent="0.35">
      <c r="B744" s="7" t="s">
        <v>236</v>
      </c>
      <c r="C744" s="16">
        <v>-3.7406281027599201E-3</v>
      </c>
      <c r="D744" s="16">
        <v>-9.2648414093215101E-3</v>
      </c>
      <c r="E744" s="16">
        <v>2.2595696764371311E-2</v>
      </c>
      <c r="F744" s="16">
        <v>0.11196697569326471</v>
      </c>
    </row>
    <row r="745" spans="2:6" x14ac:dyDescent="0.35">
      <c r="B745" s="7" t="s">
        <v>237</v>
      </c>
      <c r="C745" s="16">
        <v>-0.1164155814040954</v>
      </c>
      <c r="D745" s="16">
        <v>-0.14227972241561462</v>
      </c>
      <c r="E745" s="16">
        <v>8.8996927223328748E-2</v>
      </c>
      <c r="F745" s="16">
        <v>1.2570913747330893E-3</v>
      </c>
    </row>
    <row r="746" spans="2:6" x14ac:dyDescent="0.35">
      <c r="B746" s="7" t="s">
        <v>238</v>
      </c>
      <c r="C746" s="16">
        <v>8.9004398237492885E-2</v>
      </c>
      <c r="D746" s="16">
        <v>-8.0878473033031088E-3</v>
      </c>
      <c r="E746" s="16">
        <v>-7.0933070229531173E-2</v>
      </c>
      <c r="F746" s="16">
        <v>-6.8357415733233586E-3</v>
      </c>
    </row>
    <row r="747" spans="2:6" x14ac:dyDescent="0.35">
      <c r="B747" s="7" t="s">
        <v>239</v>
      </c>
      <c r="C747" s="16">
        <v>4.4071551766320993E-2</v>
      </c>
      <c r="D747" s="16">
        <v>-4.6174808190893077E-2</v>
      </c>
      <c r="E747" s="16">
        <v>-6.416203600414562E-2</v>
      </c>
      <c r="F747" s="16">
        <v>5.6461177963689199E-2</v>
      </c>
    </row>
    <row r="748" spans="2:6" x14ac:dyDescent="0.35">
      <c r="B748" s="7" t="s">
        <v>240</v>
      </c>
      <c r="C748" s="16">
        <v>5.1547702169240255E-2</v>
      </c>
      <c r="D748" s="16">
        <v>8.1627515764177878E-3</v>
      </c>
      <c r="E748" s="16">
        <v>-4.0266608207608745E-2</v>
      </c>
      <c r="F748" s="16">
        <v>0.11064597898067896</v>
      </c>
    </row>
    <row r="749" spans="2:6" x14ac:dyDescent="0.35">
      <c r="B749" s="7" t="s">
        <v>241</v>
      </c>
      <c r="C749" s="16">
        <v>-7.1808900253838279E-2</v>
      </c>
      <c r="D749" s="16">
        <v>-0.11239756208782618</v>
      </c>
      <c r="E749" s="16">
        <v>4.7826607933561693E-2</v>
      </c>
      <c r="F749" s="16">
        <v>-3.7355146187841054E-2</v>
      </c>
    </row>
    <row r="750" spans="2:6" x14ac:dyDescent="0.35">
      <c r="B750" s="7" t="s">
        <v>242</v>
      </c>
      <c r="C750" s="16">
        <v>1.3832734556230131E-2</v>
      </c>
      <c r="D750" s="16">
        <v>-2.8715888300621099E-2</v>
      </c>
      <c r="E750" s="16">
        <v>-8.8067660413355411E-2</v>
      </c>
      <c r="F750" s="16">
        <v>0.12962079657971953</v>
      </c>
    </row>
    <row r="751" spans="2:6" x14ac:dyDescent="0.35">
      <c r="B751" s="7" t="s">
        <v>243</v>
      </c>
      <c r="C751" s="16">
        <v>-9.9609439178000459E-5</v>
      </c>
      <c r="D751" s="16">
        <v>-1.6398397018050594E-2</v>
      </c>
      <c r="E751" s="16">
        <v>-2.6205144581766517E-2</v>
      </c>
      <c r="F751" s="16">
        <v>9.32754484314674E-2</v>
      </c>
    </row>
    <row r="752" spans="2:6" x14ac:dyDescent="0.35">
      <c r="B752" s="7" t="s">
        <v>244</v>
      </c>
      <c r="C752" s="16">
        <v>-4.1308371780157775E-2</v>
      </c>
      <c r="D752" s="16">
        <v>2.8298877222019642E-2</v>
      </c>
      <c r="E752" s="16">
        <v>-5.1249277647819537E-2</v>
      </c>
      <c r="F752" s="16">
        <v>0.10869007548151237</v>
      </c>
    </row>
    <row r="753" spans="2:6" x14ac:dyDescent="0.35">
      <c r="B753" s="7" t="s">
        <v>245</v>
      </c>
      <c r="C753" s="16">
        <v>5.4962700537282971E-3</v>
      </c>
      <c r="D753" s="16">
        <v>-2.7950741351906873E-2</v>
      </c>
      <c r="E753" s="16">
        <v>-2.5596329840448451E-2</v>
      </c>
      <c r="F753" s="16">
        <v>9.1187796633419499E-2</v>
      </c>
    </row>
    <row r="754" spans="2:6" x14ac:dyDescent="0.35">
      <c r="B754" s="7" t="s">
        <v>246</v>
      </c>
      <c r="C754" s="16">
        <v>9.2989334835738194E-2</v>
      </c>
      <c r="D754" s="16">
        <v>-1.1487670601517628E-2</v>
      </c>
      <c r="E754" s="16">
        <v>-6.3416053816832643E-2</v>
      </c>
      <c r="F754" s="16">
        <v>1.6416861880212113E-2</v>
      </c>
    </row>
    <row r="755" spans="2:6" x14ac:dyDescent="0.35">
      <c r="B755" s="7" t="s">
        <v>247</v>
      </c>
      <c r="C755" s="16">
        <v>3.6641638079149011E-2</v>
      </c>
      <c r="D755" s="16">
        <v>-6.5779805448269767E-3</v>
      </c>
      <c r="E755" s="16">
        <v>-7.8283971580677611E-2</v>
      </c>
      <c r="F755" s="16">
        <v>0.13468606335157871</v>
      </c>
    </row>
    <row r="756" spans="2:6" x14ac:dyDescent="0.35">
      <c r="B756" s="7" t="s">
        <v>248</v>
      </c>
      <c r="C756" s="16">
        <v>-5.4500352830098665E-2</v>
      </c>
      <c r="D756" s="16">
        <v>4.7041139344255904E-2</v>
      </c>
      <c r="E756" s="16">
        <v>-3.5665888682331365E-2</v>
      </c>
      <c r="F756" s="16">
        <v>5.9792711198350605E-2</v>
      </c>
    </row>
    <row r="757" spans="2:6" x14ac:dyDescent="0.35">
      <c r="B757" s="7" t="s">
        <v>249</v>
      </c>
      <c r="C757" s="16">
        <v>-5.3320293947898667E-2</v>
      </c>
      <c r="D757" s="16">
        <v>5.1935996698450435E-2</v>
      </c>
      <c r="E757" s="16">
        <v>-4.1158596083750984E-2</v>
      </c>
      <c r="F757" s="16">
        <v>5.7324688278689591E-2</v>
      </c>
    </row>
    <row r="758" spans="2:6" x14ac:dyDescent="0.35">
      <c r="B758" s="7" t="s">
        <v>250</v>
      </c>
      <c r="C758" s="16">
        <v>2.4339829234525781E-2</v>
      </c>
      <c r="D758" s="16">
        <v>8.2120843490589662E-7</v>
      </c>
      <c r="E758" s="16">
        <v>-7.3219700324049786E-2</v>
      </c>
      <c r="F758" s="16">
        <v>0.15116367264039801</v>
      </c>
    </row>
    <row r="759" spans="2:6" x14ac:dyDescent="0.35">
      <c r="B759" s="7" t="s">
        <v>251</v>
      </c>
      <c r="C759" s="16">
        <v>-5.6476333466997812E-2</v>
      </c>
      <c r="D759" s="16">
        <v>4.9029331767822516E-2</v>
      </c>
      <c r="E759" s="16">
        <v>-3.1219522182375073E-2</v>
      </c>
      <c r="F759" s="16">
        <v>8.3278529662440454E-2</v>
      </c>
    </row>
    <row r="760" spans="2:6" x14ac:dyDescent="0.35">
      <c r="B760" s="7" t="s">
        <v>252</v>
      </c>
      <c r="C760" s="16">
        <v>-1.0283013846553335E-4</v>
      </c>
      <c r="D760" s="16">
        <v>1.4699893709205072E-2</v>
      </c>
      <c r="E760" s="16">
        <v>-6.3166792308631814E-2</v>
      </c>
      <c r="F760" s="16">
        <v>0.15710805370489245</v>
      </c>
    </row>
    <row r="761" spans="2:6" x14ac:dyDescent="0.35">
      <c r="B761" s="7" t="s">
        <v>253</v>
      </c>
      <c r="C761" s="16">
        <v>2.5912460013176902E-2</v>
      </c>
      <c r="D761" s="16">
        <v>8.779960807832431E-3</v>
      </c>
      <c r="E761" s="16">
        <v>-8.2160772911864258E-2</v>
      </c>
      <c r="F761" s="16">
        <v>0.14631838472911277</v>
      </c>
    </row>
    <row r="762" spans="2:6" x14ac:dyDescent="0.35">
      <c r="B762" s="7" t="s">
        <v>254</v>
      </c>
      <c r="C762" s="16">
        <v>1.3349710337847995E-2</v>
      </c>
      <c r="D762" s="16">
        <v>1.9125603219409645E-2</v>
      </c>
      <c r="E762" s="16">
        <v>-6.8771531637488142E-2</v>
      </c>
      <c r="F762" s="16">
        <v>0.15594672235363863</v>
      </c>
    </row>
    <row r="763" spans="2:6" x14ac:dyDescent="0.35">
      <c r="B763" s="7" t="s">
        <v>255</v>
      </c>
      <c r="C763" s="16">
        <v>-2.0803618526855732E-2</v>
      </c>
      <c r="D763" s="16">
        <v>7.8843852485920907E-2</v>
      </c>
      <c r="E763" s="16">
        <v>-7.9795392746425803E-2</v>
      </c>
      <c r="F763" s="16">
        <v>0.13004372333538686</v>
      </c>
    </row>
    <row r="764" spans="2:6" x14ac:dyDescent="0.35">
      <c r="B764" s="7" t="s">
        <v>256</v>
      </c>
      <c r="C764" s="16">
        <v>-2.1345173291549974E-3</v>
      </c>
      <c r="D764" s="16">
        <v>-6.420541070286899E-2</v>
      </c>
      <c r="E764" s="16">
        <v>1.2628196292670951E-4</v>
      </c>
      <c r="F764" s="16">
        <v>6.3295498085347138E-2</v>
      </c>
    </row>
    <row r="765" spans="2:6" x14ac:dyDescent="0.35">
      <c r="B765" s="7" t="s">
        <v>257</v>
      </c>
      <c r="C765" s="16">
        <v>-9.1602593212381248E-2</v>
      </c>
      <c r="D765" s="16">
        <v>3.3716353554868288E-2</v>
      </c>
      <c r="E765" s="16">
        <v>-3.2146076232467319E-2</v>
      </c>
      <c r="F765" s="16">
        <v>9.2957713553762419E-3</v>
      </c>
    </row>
    <row r="766" spans="2:6" x14ac:dyDescent="0.35">
      <c r="B766" s="7" t="s">
        <v>258</v>
      </c>
      <c r="C766" s="16">
        <v>-5.8585858943749597E-2</v>
      </c>
      <c r="D766" s="16">
        <v>7.0626994782792232E-2</v>
      </c>
      <c r="E766" s="16">
        <v>-2.5814946627702267E-2</v>
      </c>
      <c r="F766" s="16">
        <v>3.6534759347369196E-2</v>
      </c>
    </row>
    <row r="767" spans="2:6" x14ac:dyDescent="0.35">
      <c r="B767" s="7" t="s">
        <v>259</v>
      </c>
      <c r="C767" s="16">
        <v>-4.8964721442084372E-2</v>
      </c>
      <c r="D767" s="16">
        <v>8.25723389473072E-2</v>
      </c>
      <c r="E767" s="16">
        <v>-3.1996750493124726E-2</v>
      </c>
      <c r="F767" s="16">
        <v>5.0569852845543425E-2</v>
      </c>
    </row>
    <row r="768" spans="2:6" x14ac:dyDescent="0.35">
      <c r="B768" s="7" t="s">
        <v>260</v>
      </c>
      <c r="C768" s="16">
        <v>-1.4881671950544149E-2</v>
      </c>
      <c r="D768" s="16">
        <v>5.646756269755962E-2</v>
      </c>
      <c r="E768" s="16">
        <v>-0.1104437499724587</v>
      </c>
      <c r="F768" s="16">
        <v>2.56585906418739E-2</v>
      </c>
    </row>
    <row r="769" spans="2:6" x14ac:dyDescent="0.35">
      <c r="B769" s="7" t="s">
        <v>261</v>
      </c>
      <c r="C769" s="16">
        <v>-0.1139859090457512</v>
      </c>
      <c r="D769" s="16">
        <v>6.8046384230818699E-2</v>
      </c>
      <c r="E769" s="16">
        <v>-8.7153918435788069E-3</v>
      </c>
      <c r="F769" s="16">
        <v>1.4851071018679031E-2</v>
      </c>
    </row>
    <row r="770" spans="2:6" x14ac:dyDescent="0.35">
      <c r="B770" s="7" t="s">
        <v>262</v>
      </c>
      <c r="C770" s="16">
        <v>-5.2155046928531762E-2</v>
      </c>
      <c r="D770" s="16">
        <v>7.5722089003125048E-2</v>
      </c>
      <c r="E770" s="16">
        <v>-2.0152752025167434E-2</v>
      </c>
      <c r="F770" s="16">
        <v>4.0300175415409735E-2</v>
      </c>
    </row>
    <row r="771" spans="2:6" x14ac:dyDescent="0.35">
      <c r="B771" s="7" t="s">
        <v>263</v>
      </c>
      <c r="C771" s="16">
        <v>-5.9876787821989685E-2</v>
      </c>
      <c r="D771" s="16">
        <v>6.7557366236597083E-2</v>
      </c>
      <c r="E771" s="16">
        <v>-2.0639013274897484E-2</v>
      </c>
      <c r="F771" s="16">
        <v>2.8198335335075642E-2</v>
      </c>
    </row>
    <row r="772" spans="2:6" x14ac:dyDescent="0.35">
      <c r="B772" s="7" t="s">
        <v>264</v>
      </c>
      <c r="C772" s="16">
        <v>-9.0755534183890041E-2</v>
      </c>
      <c r="D772" s="16">
        <v>6.7456729938182844E-2</v>
      </c>
      <c r="E772" s="16">
        <v>-1.0951577644482666E-2</v>
      </c>
      <c r="F772" s="16">
        <v>4.4079098771436745E-2</v>
      </c>
    </row>
    <row r="773" spans="2:6" x14ac:dyDescent="0.35">
      <c r="B773" s="7" t="s">
        <v>265</v>
      </c>
      <c r="C773" s="16">
        <v>-9.5314043647010637E-5</v>
      </c>
      <c r="D773" s="16">
        <v>-1.5381260546305694E-2</v>
      </c>
      <c r="E773" s="16">
        <v>-4.2206047088953966E-2</v>
      </c>
      <c r="F773" s="16">
        <v>9.8527100214701624E-2</v>
      </c>
    </row>
    <row r="774" spans="2:6" x14ac:dyDescent="0.35">
      <c r="B774" s="7" t="s">
        <v>266</v>
      </c>
      <c r="C774" s="16">
        <v>-0.11768497758128893</v>
      </c>
      <c r="D774" s="16">
        <v>0.10755611712814431</v>
      </c>
      <c r="E774" s="16">
        <v>1.7634939098186586E-2</v>
      </c>
      <c r="F774" s="16">
        <v>-4.6489660116158394E-3</v>
      </c>
    </row>
    <row r="775" spans="2:6" x14ac:dyDescent="0.35">
      <c r="B775" s="7" t="s">
        <v>267</v>
      </c>
      <c r="C775" s="16">
        <v>3.3334477619583924E-3</v>
      </c>
      <c r="D775" s="16">
        <v>-4.2242414292405217E-3</v>
      </c>
      <c r="E775" s="16">
        <v>-6.801054980679315E-2</v>
      </c>
      <c r="F775" s="16">
        <v>0.12657807672697363</v>
      </c>
    </row>
    <row r="776" spans="2:6" x14ac:dyDescent="0.35">
      <c r="B776" s="7" t="s">
        <v>268</v>
      </c>
      <c r="C776" s="16">
        <v>-3.9967340793102789E-2</v>
      </c>
      <c r="D776" s="16">
        <v>7.1708759355174748E-2</v>
      </c>
      <c r="E776" s="16">
        <v>-0.16639168859606476</v>
      </c>
      <c r="F776" s="16">
        <v>4.8326064629518391E-2</v>
      </c>
    </row>
    <row r="777" spans="2:6" x14ac:dyDescent="0.35">
      <c r="B777" s="7" t="s">
        <v>269</v>
      </c>
      <c r="C777" s="16">
        <v>-6.5406014782018226E-2</v>
      </c>
      <c r="D777" s="16">
        <v>7.4805575882805231E-2</v>
      </c>
      <c r="E777" s="16">
        <v>-2.1004117373658916E-2</v>
      </c>
      <c r="F777" s="16">
        <v>3.4152174718443562E-2</v>
      </c>
    </row>
    <row r="778" spans="2:6" x14ac:dyDescent="0.35">
      <c r="B778" s="7" t="s">
        <v>270</v>
      </c>
      <c r="C778" s="16">
        <v>-3.4442575353097041E-2</v>
      </c>
      <c r="D778" s="16">
        <v>4.5386628102530489E-2</v>
      </c>
      <c r="E778" s="16">
        <v>-7.3806985599257885E-2</v>
      </c>
      <c r="F778" s="16">
        <v>8.6566708551385985E-2</v>
      </c>
    </row>
    <row r="779" spans="2:6" x14ac:dyDescent="0.35">
      <c r="B779" s="7" t="s">
        <v>271</v>
      </c>
      <c r="C779" s="16">
        <v>1.7519447335932329E-3</v>
      </c>
      <c r="D779" s="16">
        <v>-2.5440325311118462E-3</v>
      </c>
      <c r="E779" s="16">
        <v>-8.3387134514713829E-2</v>
      </c>
      <c r="F779" s="16">
        <v>0.12670616361541623</v>
      </c>
    </row>
    <row r="780" spans="2:6" x14ac:dyDescent="0.35">
      <c r="B780" s="7" t="s">
        <v>272</v>
      </c>
      <c r="C780" s="16">
        <v>-2.5019616413336318E-2</v>
      </c>
      <c r="D780" s="16">
        <v>2.1195066965157602E-2</v>
      </c>
      <c r="E780" s="16">
        <v>-7.4363136794708462E-2</v>
      </c>
      <c r="F780" s="16">
        <v>8.1959844687192765E-2</v>
      </c>
    </row>
    <row r="781" spans="2:6" x14ac:dyDescent="0.35">
      <c r="B781" s="7" t="s">
        <v>273</v>
      </c>
      <c r="C781" s="16">
        <v>2.8753025257869647E-2</v>
      </c>
      <c r="D781" s="16">
        <v>-5.3927314005489578E-2</v>
      </c>
      <c r="E781" s="16">
        <v>-6.7675616872227937E-2</v>
      </c>
      <c r="F781" s="16">
        <v>5.4919273526598603E-2</v>
      </c>
    </row>
    <row r="782" spans="2:6" x14ac:dyDescent="0.35">
      <c r="B782" s="7" t="s">
        <v>274</v>
      </c>
      <c r="C782" s="16">
        <v>2.7117029232478808E-2</v>
      </c>
      <c r="D782" s="16">
        <v>-4.9088700580576759E-2</v>
      </c>
      <c r="E782" s="16">
        <v>-6.7132486085777154E-2</v>
      </c>
      <c r="F782" s="16">
        <v>6.0581165271834256E-2</v>
      </c>
    </row>
    <row r="783" spans="2:6" x14ac:dyDescent="0.35">
      <c r="B783" s="7" t="s">
        <v>275</v>
      </c>
      <c r="C783" s="16">
        <v>1.3882071509486065E-2</v>
      </c>
      <c r="D783" s="16">
        <v>-3.6039309135633892E-2</v>
      </c>
      <c r="E783" s="16">
        <v>-6.3509451179621479E-2</v>
      </c>
      <c r="F783" s="16">
        <v>7.4672405077683662E-2</v>
      </c>
    </row>
    <row r="784" spans="2:6" x14ac:dyDescent="0.35">
      <c r="B784" s="7" t="s">
        <v>276</v>
      </c>
      <c r="C784" s="16">
        <v>5.514995566421016E-3</v>
      </c>
      <c r="D784" s="16">
        <v>-2.0980722581357632E-2</v>
      </c>
      <c r="E784" s="16">
        <v>-6.2121429781082878E-2</v>
      </c>
      <c r="F784" s="16">
        <v>7.9706377187786753E-2</v>
      </c>
    </row>
    <row r="785" spans="2:6" x14ac:dyDescent="0.35">
      <c r="B785" s="7" t="s">
        <v>277</v>
      </c>
      <c r="C785" s="16">
        <v>2.3830858553127811E-2</v>
      </c>
      <c r="D785" s="16">
        <v>1.893808930925079E-2</v>
      </c>
      <c r="E785" s="16">
        <v>-8.5815549241350736E-2</v>
      </c>
      <c r="F785" s="16">
        <v>0.14335795094346721</v>
      </c>
    </row>
    <row r="786" spans="2:6" x14ac:dyDescent="0.35">
      <c r="B786" s="7" t="s">
        <v>278</v>
      </c>
      <c r="C786" s="16">
        <v>6.0008209823348951E-2</v>
      </c>
      <c r="D786" s="16">
        <v>-2.2067743591822763E-3</v>
      </c>
      <c r="E786" s="16">
        <v>-4.9047880776385049E-2</v>
      </c>
      <c r="F786" s="16">
        <v>6.4305597062047859E-2</v>
      </c>
    </row>
    <row r="787" spans="2:6" x14ac:dyDescent="0.35">
      <c r="B787" s="7" t="s">
        <v>279</v>
      </c>
      <c r="C787" s="16">
        <v>5.5477466224361047E-2</v>
      </c>
      <c r="D787" s="16">
        <v>8.6337377986477008E-3</v>
      </c>
      <c r="E787" s="16">
        <v>-4.9697502673768608E-2</v>
      </c>
      <c r="F787" s="16">
        <v>7.5438036177926146E-2</v>
      </c>
    </row>
    <row r="788" spans="2:6" x14ac:dyDescent="0.35">
      <c r="B788" s="7" t="s">
        <v>280</v>
      </c>
      <c r="C788" s="16">
        <v>9.0762472326126428E-2</v>
      </c>
      <c r="D788" s="16">
        <v>-3.9567526422371713E-4</v>
      </c>
      <c r="E788" s="16">
        <v>-6.3579164078253869E-2</v>
      </c>
      <c r="F788" s="16">
        <v>2.4655629441459812E-2</v>
      </c>
    </row>
    <row r="789" spans="2:6" x14ac:dyDescent="0.35">
      <c r="B789" s="7" t="s">
        <v>281</v>
      </c>
      <c r="C789" s="16">
        <v>9.9857323622499924E-2</v>
      </c>
      <c r="D789" s="16">
        <v>-6.6531085686107249E-3</v>
      </c>
      <c r="E789" s="16">
        <v>-7.1735381441724394E-2</v>
      </c>
      <c r="F789" s="16">
        <v>1.4511125456497565E-2</v>
      </c>
    </row>
    <row r="790" spans="2:6" x14ac:dyDescent="0.35">
      <c r="B790" s="7" t="s">
        <v>282</v>
      </c>
      <c r="C790" s="16">
        <v>0.10797007831428659</v>
      </c>
      <c r="D790" s="16">
        <v>-4.7783068241665075E-2</v>
      </c>
      <c r="E790" s="16">
        <v>-6.1854280979672896E-2</v>
      </c>
      <c r="F790" s="16">
        <v>-4.128214024907996E-2</v>
      </c>
    </row>
    <row r="791" spans="2:6" x14ac:dyDescent="0.35">
      <c r="B791" s="7" t="s">
        <v>283</v>
      </c>
      <c r="C791" s="16">
        <v>0.10854068983702228</v>
      </c>
      <c r="D791" s="16">
        <v>-3.717674600523594E-2</v>
      </c>
      <c r="E791" s="16">
        <v>-6.7688602996638175E-2</v>
      </c>
      <c r="F791" s="16">
        <v>-3.5380048592904542E-2</v>
      </c>
    </row>
    <row r="792" spans="2:6" x14ac:dyDescent="0.35">
      <c r="B792" s="7" t="s">
        <v>284</v>
      </c>
      <c r="C792" s="16">
        <v>9.320180260000771E-2</v>
      </c>
      <c r="D792" s="16">
        <v>-3.2139115535101792E-2</v>
      </c>
      <c r="E792" s="16">
        <v>-4.062982352682501E-2</v>
      </c>
      <c r="F792" s="16">
        <v>-2.5935277481032456E-3</v>
      </c>
    </row>
    <row r="793" spans="2:6" x14ac:dyDescent="0.35">
      <c r="B793" s="7" t="s">
        <v>285</v>
      </c>
      <c r="C793" s="16">
        <v>8.561344807517754E-2</v>
      </c>
      <c r="D793" s="16">
        <v>-2.4832044413271359E-2</v>
      </c>
      <c r="E793" s="16">
        <v>-4.2332515582932065E-2</v>
      </c>
      <c r="F793" s="16">
        <v>5.3202592866607662E-3</v>
      </c>
    </row>
    <row r="794" spans="2:6" x14ac:dyDescent="0.35">
      <c r="B794" s="7" t="s">
        <v>286</v>
      </c>
      <c r="C794" s="16">
        <v>8.0052319661782445E-2</v>
      </c>
      <c r="D794" s="16">
        <v>-1.3185675763744359E-2</v>
      </c>
      <c r="E794" s="16">
        <v>-4.4093125043142403E-2</v>
      </c>
      <c r="F794" s="16">
        <v>1.6609190900397978E-2</v>
      </c>
    </row>
    <row r="795" spans="2:6" x14ac:dyDescent="0.35">
      <c r="B795" s="7" t="s">
        <v>287</v>
      </c>
      <c r="C795" s="16">
        <v>7.2616075992866652E-2</v>
      </c>
      <c r="D795" s="16">
        <v>-5.1160840562725053E-2</v>
      </c>
      <c r="E795" s="16">
        <v>-9.5495689471422254E-3</v>
      </c>
      <c r="F795" s="16">
        <v>2.6479740076889177E-2</v>
      </c>
    </row>
    <row r="796" spans="2:6" x14ac:dyDescent="0.35">
      <c r="B796" s="7" t="s">
        <v>288</v>
      </c>
      <c r="C796" s="16">
        <v>7.1558073094385E-2</v>
      </c>
      <c r="D796" s="16">
        <v>-3.7985881452191401E-2</v>
      </c>
      <c r="E796" s="16">
        <v>-7.569879102321357E-3</v>
      </c>
      <c r="F796" s="16">
        <v>3.841509603494575E-2</v>
      </c>
    </row>
    <row r="797" spans="2:6" x14ac:dyDescent="0.35">
      <c r="B797" s="7" t="s">
        <v>289</v>
      </c>
      <c r="C797" s="16">
        <v>4.9258595109769175E-2</v>
      </c>
      <c r="D797" s="16">
        <v>-1.5937472943620273E-2</v>
      </c>
      <c r="E797" s="16">
        <v>-1.1699682429136167E-2</v>
      </c>
      <c r="F797" s="16">
        <v>6.7998901360247027E-2</v>
      </c>
    </row>
    <row r="798" spans="2:6" x14ac:dyDescent="0.35">
      <c r="B798" s="7" t="s">
        <v>290</v>
      </c>
      <c r="C798" s="16">
        <v>4.5822768595067655E-2</v>
      </c>
      <c r="D798" s="16">
        <v>-9.6820917693704878E-3</v>
      </c>
      <c r="E798" s="16">
        <v>-1.3708928348503301E-2</v>
      </c>
      <c r="F798" s="16">
        <v>7.3331589372957598E-2</v>
      </c>
    </row>
    <row r="799" spans="2:6" x14ac:dyDescent="0.35">
      <c r="B799" s="7" t="s">
        <v>291</v>
      </c>
      <c r="C799" s="16">
        <v>-5.7615863739741242E-3</v>
      </c>
      <c r="D799" s="16">
        <v>6.9045630382163891E-3</v>
      </c>
      <c r="E799" s="16">
        <v>1.3686563868015493E-2</v>
      </c>
      <c r="F799" s="16">
        <v>0.10628388301535741</v>
      </c>
    </row>
    <row r="800" spans="2:6" x14ac:dyDescent="0.35">
      <c r="B800" s="7" t="s">
        <v>292</v>
      </c>
      <c r="C800" s="16">
        <v>-8.8305149553483103E-3</v>
      </c>
      <c r="D800" s="16">
        <v>1.63859794599709E-2</v>
      </c>
      <c r="E800" s="16">
        <v>7.173007655926877E-4</v>
      </c>
      <c r="F800" s="16">
        <v>9.8343060546346575E-2</v>
      </c>
    </row>
    <row r="801" spans="2:6" x14ac:dyDescent="0.35">
      <c r="B801" s="7" t="s">
        <v>293</v>
      </c>
      <c r="C801" s="16">
        <v>-1.1605729323104736E-2</v>
      </c>
      <c r="D801" s="16">
        <v>4.1627893121774902E-2</v>
      </c>
      <c r="E801" s="16">
        <v>-8.1560220530667971E-2</v>
      </c>
      <c r="F801" s="16">
        <v>5.2210505443016829E-2</v>
      </c>
    </row>
    <row r="802" spans="2:6" x14ac:dyDescent="0.35">
      <c r="B802" s="7" t="s">
        <v>294</v>
      </c>
      <c r="C802" s="16">
        <v>3.9845772915311165E-3</v>
      </c>
      <c r="D802" s="16">
        <v>-4.2818089024442521E-2</v>
      </c>
      <c r="E802" s="16">
        <v>-4.8743534021006632E-3</v>
      </c>
      <c r="F802" s="16">
        <v>8.1172496249121859E-2</v>
      </c>
    </row>
    <row r="803" spans="2:6" x14ac:dyDescent="0.35">
      <c r="B803" s="7" t="s">
        <v>295</v>
      </c>
      <c r="C803" s="16">
        <v>-3.6406692448112871E-2</v>
      </c>
      <c r="D803" s="16">
        <v>-1.8305252151898668E-2</v>
      </c>
      <c r="E803" s="16">
        <v>7.6604086653725686E-2</v>
      </c>
      <c r="F803" s="16">
        <v>5.8879429192637014E-2</v>
      </c>
    </row>
    <row r="804" spans="2:6" x14ac:dyDescent="0.35">
      <c r="B804" s="7" t="s">
        <v>296</v>
      </c>
      <c r="C804" s="16">
        <v>-7.3635450206308989E-2</v>
      </c>
      <c r="D804" s="16">
        <v>-7.8150333622236307E-2</v>
      </c>
      <c r="E804" s="16">
        <v>4.1509351136176841E-2</v>
      </c>
      <c r="F804" s="16">
        <v>-1.5536644442669244E-2</v>
      </c>
    </row>
    <row r="805" spans="2:6" x14ac:dyDescent="0.35">
      <c r="B805" s="7" t="s">
        <v>297</v>
      </c>
      <c r="C805" s="16">
        <v>-6.7287448303380321E-2</v>
      </c>
      <c r="D805" s="16">
        <v>-9.7917329630816563E-2</v>
      </c>
      <c r="E805" s="16">
        <v>6.9952739762458457E-2</v>
      </c>
      <c r="F805" s="16">
        <v>-1.1410271424799852E-3</v>
      </c>
    </row>
    <row r="806" spans="2:6" x14ac:dyDescent="0.35">
      <c r="B806" s="7" t="s">
        <v>298</v>
      </c>
      <c r="C806" s="16">
        <v>-6.2685117137067231E-2</v>
      </c>
      <c r="D806" s="16">
        <v>-8.5392930293677255E-2</v>
      </c>
      <c r="E806" s="16">
        <v>7.117564413986821E-2</v>
      </c>
      <c r="F806" s="16">
        <v>1.0519074331558801E-2</v>
      </c>
    </row>
    <row r="807" spans="2:6" x14ac:dyDescent="0.35">
      <c r="B807" s="7" t="s">
        <v>299</v>
      </c>
      <c r="C807" s="16">
        <v>-6.4382757708172422E-2</v>
      </c>
      <c r="D807" s="16">
        <v>-6.6457876597258617E-2</v>
      </c>
      <c r="E807" s="16">
        <v>5.4585133733437784E-2</v>
      </c>
      <c r="F807" s="16">
        <v>1.0409178663074991E-2</v>
      </c>
    </row>
    <row r="808" spans="2:6" x14ac:dyDescent="0.35">
      <c r="B808" s="7" t="s">
        <v>300</v>
      </c>
      <c r="C808" s="16">
        <v>-5.0258094915538114E-2</v>
      </c>
      <c r="D808" s="16">
        <v>-6.5973707688706335E-2</v>
      </c>
      <c r="E808" s="16">
        <v>7.0299214907346419E-2</v>
      </c>
      <c r="F808" s="16">
        <v>3.7484776944305381E-2</v>
      </c>
    </row>
    <row r="809" spans="2:6" x14ac:dyDescent="0.35">
      <c r="B809" s="7" t="s">
        <v>301</v>
      </c>
      <c r="C809" s="16">
        <v>-5.5563787485042523E-2</v>
      </c>
      <c r="D809" s="16">
        <v>-8.04017245978184E-2</v>
      </c>
      <c r="E809" s="16">
        <v>2.535495365150307E-2</v>
      </c>
      <c r="F809" s="16">
        <v>-7.8802032266122399E-3</v>
      </c>
    </row>
    <row r="810" spans="2:6" x14ac:dyDescent="0.35">
      <c r="B810" s="7" t="s">
        <v>302</v>
      </c>
      <c r="C810" s="16">
        <v>-4.9815232834666122E-2</v>
      </c>
      <c r="D810" s="16">
        <v>-7.2591053446878412E-2</v>
      </c>
      <c r="E810" s="16">
        <v>2.3330255419802982E-2</v>
      </c>
      <c r="F810" s="16">
        <v>-7.2178675617136827E-3</v>
      </c>
    </row>
    <row r="811" spans="2:6" x14ac:dyDescent="0.35">
      <c r="B811" s="7" t="s">
        <v>303</v>
      </c>
      <c r="C811" s="16">
        <v>-7.1233487895317485E-2</v>
      </c>
      <c r="D811" s="16">
        <v>-9.9935098332442962E-2</v>
      </c>
      <c r="E811" s="16">
        <v>7.2233626073360008E-2</v>
      </c>
      <c r="F811" s="16">
        <v>-5.4305390133042701E-4</v>
      </c>
    </row>
    <row r="812" spans="2:6" x14ac:dyDescent="0.35">
      <c r="B812" s="7" t="s">
        <v>304</v>
      </c>
      <c r="C812" s="16">
        <v>-8.777968980285962E-2</v>
      </c>
      <c r="D812" s="16">
        <v>-3.8500789943881022E-2</v>
      </c>
      <c r="E812" s="16">
        <v>9.7987175383272368E-2</v>
      </c>
      <c r="F812" s="16">
        <v>2.3308704420253564E-2</v>
      </c>
    </row>
    <row r="813" spans="2:6" x14ac:dyDescent="0.35">
      <c r="B813" s="7" t="s">
        <v>305</v>
      </c>
      <c r="C813" s="16">
        <v>-7.1325390034543329E-2</v>
      </c>
      <c r="D813" s="16">
        <v>7.3151779162520395E-3</v>
      </c>
      <c r="E813" s="16">
        <v>6.5077492293449737E-2</v>
      </c>
      <c r="F813" s="16">
        <v>-8.5828097734243752E-3</v>
      </c>
    </row>
    <row r="814" spans="2:6" x14ac:dyDescent="0.35">
      <c r="B814" s="7" t="s">
        <v>306</v>
      </c>
      <c r="C814" s="16">
        <v>-6.4267010670990971E-2</v>
      </c>
      <c r="D814" s="16">
        <v>-5.090980261764696E-3</v>
      </c>
      <c r="E814" s="16">
        <v>-1.8745306917597479E-3</v>
      </c>
      <c r="F814" s="16">
        <v>-7.3005241895452266E-2</v>
      </c>
    </row>
    <row r="815" spans="2:6" x14ac:dyDescent="0.35">
      <c r="B815" s="7" t="s">
        <v>307</v>
      </c>
      <c r="C815" s="16">
        <v>2.1890767042010407E-3</v>
      </c>
      <c r="D815" s="16">
        <v>0.15437760678345039</v>
      </c>
      <c r="E815" s="16">
        <v>9.8591083413183817E-2</v>
      </c>
      <c r="F815" s="16">
        <v>3.1337870845707647E-2</v>
      </c>
    </row>
    <row r="816" spans="2:6" x14ac:dyDescent="0.35">
      <c r="B816" s="7" t="s">
        <v>308</v>
      </c>
      <c r="C816" s="16">
        <v>7.1182817143477378E-2</v>
      </c>
      <c r="D816" s="16">
        <v>4.3896527641963723E-2</v>
      </c>
      <c r="E816" s="16">
        <v>8.7874541111996676E-2</v>
      </c>
      <c r="F816" s="16">
        <v>-3.4504010320690698E-2</v>
      </c>
    </row>
    <row r="817" spans="2:6" x14ac:dyDescent="0.35">
      <c r="B817" s="7" t="s">
        <v>309</v>
      </c>
      <c r="C817" s="16">
        <v>5.9054716420373507E-2</v>
      </c>
      <c r="D817" s="16">
        <v>3.3701892095777439E-2</v>
      </c>
      <c r="E817" s="16">
        <v>0.12879676883821115</v>
      </c>
      <c r="F817" s="16">
        <v>-1.7738616361707434E-2</v>
      </c>
    </row>
    <row r="818" spans="2:6" x14ac:dyDescent="0.35">
      <c r="B818" s="7" t="s">
        <v>310</v>
      </c>
      <c r="C818" s="16">
        <v>8.9900670561834914E-2</v>
      </c>
      <c r="D818" s="16">
        <v>3.074149182235672E-2</v>
      </c>
      <c r="E818" s="16">
        <v>8.5923198754982222E-2</v>
      </c>
      <c r="F818" s="16">
        <v>-7.0849423195335756E-2</v>
      </c>
    </row>
    <row r="819" spans="2:6" x14ac:dyDescent="0.35">
      <c r="B819" s="7" t="s">
        <v>311</v>
      </c>
      <c r="C819" s="16">
        <v>8.3199127295485828E-2</v>
      </c>
      <c r="D819" s="16">
        <v>3.4352289864837966E-2</v>
      </c>
      <c r="E819" s="16">
        <v>8.3936084932285576E-2</v>
      </c>
      <c r="F819" s="16">
        <v>-5.5532460429831836E-2</v>
      </c>
    </row>
    <row r="820" spans="2:6" x14ac:dyDescent="0.35">
      <c r="B820" s="7" t="s">
        <v>312</v>
      </c>
      <c r="C820" s="16">
        <v>8.2891824649388629E-2</v>
      </c>
      <c r="D820" s="16">
        <v>4.3558286101466899E-2</v>
      </c>
      <c r="E820" s="16">
        <v>8.7621040617600732E-2</v>
      </c>
      <c r="F820" s="16">
        <v>-5.019078462607228E-2</v>
      </c>
    </row>
    <row r="821" spans="2:6" x14ac:dyDescent="0.35">
      <c r="B821" s="7" t="s">
        <v>313</v>
      </c>
      <c r="C821" s="16">
        <v>1.3566560436843894E-2</v>
      </c>
      <c r="D821" s="16">
        <v>6.0964570073415186E-2</v>
      </c>
      <c r="E821" s="16">
        <v>0.12815522902796159</v>
      </c>
      <c r="F821" s="16">
        <v>4.7234033636413597E-2</v>
      </c>
    </row>
    <row r="822" spans="2:6" x14ac:dyDescent="0.35">
      <c r="B822" s="7" t="s">
        <v>314</v>
      </c>
      <c r="C822" s="16">
        <v>6.1867164642669975E-2</v>
      </c>
      <c r="D822" s="16">
        <v>5.9356985178212279E-2</v>
      </c>
      <c r="E822" s="16">
        <v>7.4505766523060804E-2</v>
      </c>
      <c r="F822" s="16">
        <v>-2.8740559427364604E-2</v>
      </c>
    </row>
    <row r="823" spans="2:6" x14ac:dyDescent="0.35">
      <c r="B823" s="7" t="s">
        <v>315</v>
      </c>
      <c r="C823" s="16">
        <v>6.7939762091419581E-2</v>
      </c>
      <c r="D823" s="16">
        <v>1.6916194317617358E-2</v>
      </c>
      <c r="E823" s="16">
        <v>1.6083070290320169E-2</v>
      </c>
      <c r="F823" s="16">
        <v>-6.1551060005089531E-2</v>
      </c>
    </row>
    <row r="824" spans="2:6" x14ac:dyDescent="0.35">
      <c r="B824" s="7" t="s">
        <v>316</v>
      </c>
      <c r="C824" s="16">
        <v>6.226948185597464E-2</v>
      </c>
      <c r="D824" s="16">
        <v>2.8271144411948765E-2</v>
      </c>
      <c r="E824" s="16">
        <v>2.4912223354579672E-2</v>
      </c>
      <c r="F824" s="16">
        <v>-4.9998875737326282E-2</v>
      </c>
    </row>
    <row r="825" spans="2:6" x14ac:dyDescent="0.35">
      <c r="B825" s="7" t="s">
        <v>317</v>
      </c>
      <c r="C825" s="16">
        <v>4.4045824916650343E-2</v>
      </c>
      <c r="D825" s="16">
        <v>3.188708430825489E-2</v>
      </c>
      <c r="E825" s="16">
        <v>4.8026734681902342E-2</v>
      </c>
      <c r="F825" s="16">
        <v>2.3963426500221107E-2</v>
      </c>
    </row>
    <row r="826" spans="2:6" x14ac:dyDescent="0.35">
      <c r="B826" s="7" t="s">
        <v>318</v>
      </c>
      <c r="C826" s="16">
        <v>4.6249303206447191E-2</v>
      </c>
      <c r="D826" s="16">
        <v>4.1762427273688868E-2</v>
      </c>
      <c r="E826" s="16">
        <v>2.8169893736247949E-2</v>
      </c>
      <c r="F826" s="16">
        <v>1.7982155480514916E-2</v>
      </c>
    </row>
    <row r="827" spans="2:6" x14ac:dyDescent="0.35">
      <c r="B827" s="7" t="s">
        <v>319</v>
      </c>
      <c r="C827" s="16">
        <v>-2.0330292268406117E-2</v>
      </c>
      <c r="D827" s="16">
        <v>0.12942195810362539</v>
      </c>
      <c r="E827" s="16">
        <v>7.97250229313619E-3</v>
      </c>
      <c r="F827" s="16">
        <v>-9.5421450891642941E-3</v>
      </c>
    </row>
    <row r="828" spans="2:6" x14ac:dyDescent="0.35">
      <c r="B828" s="7" t="s">
        <v>320</v>
      </c>
      <c r="C828" s="16">
        <v>-0.11647000265203269</v>
      </c>
      <c r="D828" s="16">
        <v>4.8975422762345254E-2</v>
      </c>
      <c r="E828" s="16">
        <v>-5.2107366585253785E-2</v>
      </c>
      <c r="F828" s="16">
        <v>-0.10723996699059411</v>
      </c>
    </row>
    <row r="829" spans="2:6" x14ac:dyDescent="0.35">
      <c r="B829" s="7" t="s">
        <v>321</v>
      </c>
      <c r="C829" s="16">
        <v>-0.1188585775749528</v>
      </c>
      <c r="D829" s="16">
        <v>5.2689351699577273E-2</v>
      </c>
      <c r="E829" s="16">
        <v>-5.1461291392269702E-2</v>
      </c>
      <c r="F829" s="16">
        <v>-0.10776708313903181</v>
      </c>
    </row>
    <row r="830" spans="2:6" x14ac:dyDescent="0.35">
      <c r="B830" s="7" t="s">
        <v>322</v>
      </c>
      <c r="C830" s="16">
        <v>4.1433637641179473E-2</v>
      </c>
      <c r="D830" s="16">
        <v>-1.5429816644301913E-2</v>
      </c>
      <c r="E830" s="16">
        <v>-6.8972534116639617E-2</v>
      </c>
      <c r="F830" s="16">
        <v>-4.9598255869725332E-3</v>
      </c>
    </row>
    <row r="831" spans="2:6" x14ac:dyDescent="0.35">
      <c r="B831" s="7" t="s">
        <v>323</v>
      </c>
      <c r="C831" s="16">
        <v>2.1217018130198023E-2</v>
      </c>
      <c r="D831" s="16">
        <v>7.01891244747763E-3</v>
      </c>
      <c r="E831" s="16">
        <v>-7.4090963605566024E-2</v>
      </c>
      <c r="F831" s="16">
        <v>-4.1181819243787449E-4</v>
      </c>
    </row>
    <row r="832" spans="2:6" x14ac:dyDescent="0.35">
      <c r="B832" s="7" t="s">
        <v>324</v>
      </c>
      <c r="C832" s="16">
        <v>-6.8792300715324564E-2</v>
      </c>
      <c r="D832" s="16">
        <v>9.6812736080508638E-2</v>
      </c>
      <c r="E832" s="16">
        <v>-8.9704123334746658E-2</v>
      </c>
      <c r="F832" s="16">
        <v>-5.5717970057810193E-2</v>
      </c>
    </row>
    <row r="833" spans="2:6" x14ac:dyDescent="0.35">
      <c r="B833" s="7" t="s">
        <v>325</v>
      </c>
      <c r="C833" s="16">
        <v>5.353823979806039E-2</v>
      </c>
      <c r="D833" s="16">
        <v>-4.8130342057401576E-2</v>
      </c>
      <c r="E833" s="16">
        <v>-7.2732747951557639E-2</v>
      </c>
      <c r="F833" s="16">
        <v>-3.5085567476050836E-2</v>
      </c>
    </row>
    <row r="834" spans="2:6" x14ac:dyDescent="0.35">
      <c r="B834" s="7" t="s">
        <v>326</v>
      </c>
      <c r="C834" s="16">
        <v>1.1333650248236954E-2</v>
      </c>
      <c r="D834" s="16">
        <v>-4.1381459689777148E-2</v>
      </c>
      <c r="E834" s="16">
        <v>-3.8929021095964127E-2</v>
      </c>
      <c r="F834" s="16">
        <v>7.795542604791649E-3</v>
      </c>
    </row>
    <row r="835" spans="2:6" x14ac:dyDescent="0.35">
      <c r="B835" s="7" t="s">
        <v>327</v>
      </c>
      <c r="C835" s="16">
        <v>8.9324487263556851E-2</v>
      </c>
      <c r="D835" s="16">
        <v>-9.4777485410793533E-2</v>
      </c>
      <c r="E835" s="16">
        <v>-8.1876542352311149E-2</v>
      </c>
      <c r="F835" s="16">
        <v>-5.0667695930395176E-2</v>
      </c>
    </row>
    <row r="836" spans="2:6" x14ac:dyDescent="0.35">
      <c r="B836" s="7" t="s">
        <v>328</v>
      </c>
      <c r="C836" s="16">
        <v>5.5740718734831475E-2</v>
      </c>
      <c r="D836" s="16">
        <v>-6.0621601757516727E-2</v>
      </c>
      <c r="E836" s="16">
        <v>-6.6818838988680643E-2</v>
      </c>
      <c r="F836" s="16">
        <v>-3.4362195013640337E-2</v>
      </c>
    </row>
    <row r="837" spans="2:6" x14ac:dyDescent="0.35">
      <c r="B837" s="7" t="s">
        <v>329</v>
      </c>
      <c r="C837" s="16">
        <v>4.9429349037535139E-2</v>
      </c>
      <c r="D837" s="16">
        <v>-5.206307237278289E-2</v>
      </c>
      <c r="E837" s="16">
        <v>-6.5203022403069466E-2</v>
      </c>
      <c r="F837" s="16">
        <v>-3.0896803215423378E-2</v>
      </c>
    </row>
    <row r="838" spans="2:6" x14ac:dyDescent="0.35">
      <c r="B838" s="7" t="s">
        <v>330</v>
      </c>
      <c r="C838" s="16">
        <v>7.7435354147912822E-3</v>
      </c>
      <c r="D838" s="16">
        <v>-3.7177004486509763E-2</v>
      </c>
      <c r="E838" s="16">
        <v>-3.6101033293243268E-2</v>
      </c>
      <c r="F838" s="16">
        <v>2.1984250994342903E-2</v>
      </c>
    </row>
    <row r="839" spans="2:6" x14ac:dyDescent="0.35">
      <c r="B839" s="7" t="s">
        <v>331</v>
      </c>
      <c r="C839" s="16">
        <v>1.9210490611335756E-3</v>
      </c>
      <c r="D839" s="16">
        <v>-9.1865277595814532E-3</v>
      </c>
      <c r="E839" s="16">
        <v>-4.2851849249931594E-2</v>
      </c>
      <c r="F839" s="16">
        <v>-3.2685118271705551E-3</v>
      </c>
    </row>
    <row r="840" spans="2:6" x14ac:dyDescent="0.35">
      <c r="B840" s="7" t="s">
        <v>332</v>
      </c>
      <c r="C840" s="16">
        <v>-4.9645818246248752E-2</v>
      </c>
      <c r="D840" s="16">
        <v>-7.4803705473234054E-3</v>
      </c>
      <c r="E840" s="16">
        <v>-3.3050341966056371E-2</v>
      </c>
      <c r="F840" s="16">
        <v>2.6977044923524748E-2</v>
      </c>
    </row>
    <row r="841" spans="2:6" x14ac:dyDescent="0.35">
      <c r="B841" s="7" t="s">
        <v>333</v>
      </c>
      <c r="C841" s="16">
        <v>-7.2734472604063252E-2</v>
      </c>
      <c r="D841" s="16">
        <v>2.1905568277418741E-2</v>
      </c>
      <c r="E841" s="16">
        <v>-4.8240410624562385E-2</v>
      </c>
      <c r="F841" s="16">
        <v>-2.7384476357059945E-2</v>
      </c>
    </row>
    <row r="842" spans="2:6" x14ac:dyDescent="0.35">
      <c r="B842" s="7" t="s">
        <v>334</v>
      </c>
      <c r="C842" s="16">
        <v>-4.4871729066912149E-2</v>
      </c>
      <c r="D842" s="16">
        <v>4.1951686505588962E-2</v>
      </c>
      <c r="E842" s="16">
        <v>-7.2944087935262206E-2</v>
      </c>
      <c r="F842" s="16">
        <v>-6.548071108075694E-2</v>
      </c>
    </row>
    <row r="843" spans="2:6" x14ac:dyDescent="0.35">
      <c r="B843" s="7" t="s">
        <v>335</v>
      </c>
      <c r="C843" s="16">
        <v>-5.6002079227292459E-2</v>
      </c>
      <c r="D843" s="16">
        <v>8.6623406550181858E-2</v>
      </c>
      <c r="E843" s="16">
        <v>-9.1273282862797372E-2</v>
      </c>
      <c r="F843" s="16">
        <v>-8.8078419039660669E-2</v>
      </c>
    </row>
    <row r="844" spans="2:6" x14ac:dyDescent="0.35">
      <c r="B844" s="7" t="s">
        <v>336</v>
      </c>
      <c r="C844" s="16">
        <v>-5.9044201026390603E-2</v>
      </c>
      <c r="D844" s="16">
        <v>9.2796047644062241E-2</v>
      </c>
      <c r="E844" s="16">
        <v>-9.2364168193624266E-2</v>
      </c>
      <c r="F844" s="16">
        <v>-8.9009914007838448E-2</v>
      </c>
    </row>
    <row r="845" spans="2:6" x14ac:dyDescent="0.35">
      <c r="B845" s="7" t="s">
        <v>337</v>
      </c>
      <c r="C845" s="16">
        <v>-6.6307684179688783E-2</v>
      </c>
      <c r="D845" s="16">
        <v>0.11167325449181353</v>
      </c>
      <c r="E845" s="16">
        <v>-0.10421646301540202</v>
      </c>
      <c r="F845" s="16">
        <v>-0.10128038458934102</v>
      </c>
    </row>
    <row r="846" spans="2:6" x14ac:dyDescent="0.35">
      <c r="B846" s="7" t="s">
        <v>338</v>
      </c>
      <c r="C846" s="16">
        <v>-5.5254535922989588E-2</v>
      </c>
      <c r="D846" s="16">
        <v>1.9656933603825696E-2</v>
      </c>
      <c r="E846" s="16">
        <v>1.2467768621965507E-2</v>
      </c>
      <c r="F846" s="16">
        <v>-1.3006518831915996E-2</v>
      </c>
    </row>
    <row r="847" spans="2:6" x14ac:dyDescent="0.35">
      <c r="B847" s="7" t="s">
        <v>339</v>
      </c>
      <c r="C847" s="16">
        <v>-2.2709018758511664E-3</v>
      </c>
      <c r="D847" s="16">
        <v>-1.0220890485738123E-2</v>
      </c>
      <c r="E847" s="16">
        <v>2.0358050142960216E-2</v>
      </c>
      <c r="F847" s="16">
        <v>-9.0031692449568049E-3</v>
      </c>
    </row>
    <row r="848" spans="2:6" x14ac:dyDescent="0.35">
      <c r="B848" s="7" t="s">
        <v>340</v>
      </c>
      <c r="C848" s="16">
        <v>6.9263423696863419E-2</v>
      </c>
      <c r="D848" s="16">
        <v>-1.6202897084757798E-3</v>
      </c>
      <c r="E848" s="16">
        <v>-2.3474956127262019E-2</v>
      </c>
      <c r="F848" s="16">
        <v>-7.7420719101912922E-2</v>
      </c>
    </row>
    <row r="849" spans="2:6" x14ac:dyDescent="0.35">
      <c r="B849" s="7" t="s">
        <v>341</v>
      </c>
      <c r="C849" s="16">
        <v>6.6925474391723333E-2</v>
      </c>
      <c r="D849" s="16">
        <v>2.9916135396646512E-3</v>
      </c>
      <c r="E849" s="16">
        <v>-2.2244112397719555E-2</v>
      </c>
      <c r="F849" s="16">
        <v>-7.3505247800273385E-2</v>
      </c>
    </row>
    <row r="850" spans="2:6" x14ac:dyDescent="0.35">
      <c r="B850" s="7" t="s">
        <v>342</v>
      </c>
      <c r="C850" s="16">
        <v>-1.3673490942137106E-2</v>
      </c>
      <c r="D850" s="16">
        <v>1.822717367300207E-2</v>
      </c>
      <c r="E850" s="16">
        <v>1.8570302730430633E-2</v>
      </c>
      <c r="F850" s="16">
        <v>-3.0600936822993575E-3</v>
      </c>
    </row>
    <row r="851" spans="2:6" x14ac:dyDescent="0.35">
      <c r="B851" s="7" t="s">
        <v>343</v>
      </c>
      <c r="C851" s="16">
        <v>-0.11464252357838108</v>
      </c>
      <c r="D851" s="16">
        <v>6.1920853335626407E-2</v>
      </c>
      <c r="E851" s="16">
        <v>-6.2271019087906949E-2</v>
      </c>
      <c r="F851" s="16">
        <v>-0.10461091251008613</v>
      </c>
    </row>
    <row r="852" spans="2:6" x14ac:dyDescent="0.35">
      <c r="B852" s="7" t="s">
        <v>344</v>
      </c>
      <c r="C852" s="16">
        <v>-0.10743668289010232</v>
      </c>
      <c r="D852" s="16">
        <v>6.9298714167431663E-2</v>
      </c>
      <c r="E852" s="16">
        <v>-5.7163328410264821E-2</v>
      </c>
      <c r="F852" s="16">
        <v>-9.1760480810029757E-2</v>
      </c>
    </row>
    <row r="853" spans="2:6" x14ac:dyDescent="0.35">
      <c r="B853" s="7" t="s">
        <v>345</v>
      </c>
      <c r="C853" s="16">
        <v>7.5317968363415908E-2</v>
      </c>
      <c r="D853" s="16">
        <v>-2.1416631427842364E-2</v>
      </c>
      <c r="E853" s="16">
        <v>-2.1787415097157044E-2</v>
      </c>
      <c r="F853" s="16">
        <v>-7.3151471326548576E-2</v>
      </c>
    </row>
    <row r="854" spans="2:6" x14ac:dyDescent="0.35">
      <c r="B854" s="7" t="s">
        <v>346</v>
      </c>
      <c r="C854" s="16">
        <v>9.2435935141442008E-2</v>
      </c>
      <c r="D854" s="16">
        <v>-1.7565962617096965E-2</v>
      </c>
      <c r="E854" s="16">
        <v>-3.4452524927086337E-2</v>
      </c>
      <c r="F854" s="16">
        <v>-5.549313158657538E-2</v>
      </c>
    </row>
    <row r="855" spans="2:6" x14ac:dyDescent="0.35">
      <c r="B855" s="7" t="s">
        <v>347</v>
      </c>
      <c r="C855" s="16">
        <v>4.2115497199808463E-2</v>
      </c>
      <c r="D855" s="16">
        <v>3.929391110375615E-2</v>
      </c>
      <c r="E855" s="16">
        <v>-5.6524956263083563E-2</v>
      </c>
      <c r="F855" s="16">
        <v>-7.4399292714578666E-2</v>
      </c>
    </row>
    <row r="856" spans="2:6" x14ac:dyDescent="0.35">
      <c r="B856" s="7" t="s">
        <v>348</v>
      </c>
      <c r="C856" s="16">
        <v>1.4462235538858177E-2</v>
      </c>
      <c r="D856" s="16">
        <v>5.0192867653071793E-2</v>
      </c>
      <c r="E856" s="16">
        <v>-3.1955552738664149E-2</v>
      </c>
      <c r="F856" s="16">
        <v>-4.9277613040266795E-2</v>
      </c>
    </row>
    <row r="857" spans="2:6" x14ac:dyDescent="0.35">
      <c r="B857" s="7" t="s">
        <v>349</v>
      </c>
      <c r="C857" s="16">
        <v>8.8985307962896887E-2</v>
      </c>
      <c r="D857" s="16">
        <v>-7.5339670363382093E-3</v>
      </c>
      <c r="E857" s="16">
        <v>-1.6735230862290125E-2</v>
      </c>
      <c r="F857" s="16">
        <v>-7.1932462156161808E-2</v>
      </c>
    </row>
    <row r="858" spans="2:6" x14ac:dyDescent="0.35">
      <c r="B858" s="7" t="s">
        <v>350</v>
      </c>
      <c r="C858" s="16">
        <v>6.9245492517858803E-2</v>
      </c>
      <c r="D858" s="16">
        <v>-1.1661725445016289E-3</v>
      </c>
      <c r="E858" s="16">
        <v>1.4798005184652636E-2</v>
      </c>
      <c r="F858" s="16">
        <v>-2.2704270254220876E-2</v>
      </c>
    </row>
    <row r="859" spans="2:6" x14ac:dyDescent="0.35">
      <c r="B859" s="7" t="s">
        <v>351</v>
      </c>
      <c r="C859" s="16">
        <v>6.7973481213395512E-2</v>
      </c>
      <c r="D859" s="16">
        <v>2.5496002115900245E-3</v>
      </c>
      <c r="E859" s="16">
        <v>1.5431241766828285E-2</v>
      </c>
      <c r="F859" s="16">
        <v>-1.8335222317618156E-2</v>
      </c>
    </row>
    <row r="860" spans="2:6" x14ac:dyDescent="0.35">
      <c r="B860" s="7" t="s">
        <v>352</v>
      </c>
      <c r="C860" s="16">
        <v>8.453934853500443E-2</v>
      </c>
      <c r="D860" s="16">
        <v>-1.5235188800755762E-2</v>
      </c>
      <c r="E860" s="16">
        <v>-2.7126572064852632E-2</v>
      </c>
      <c r="F860" s="16">
        <v>-0.10742454810886577</v>
      </c>
    </row>
    <row r="861" spans="2:6" x14ac:dyDescent="0.35">
      <c r="B861" s="7" t="s">
        <v>353</v>
      </c>
      <c r="C861" s="16">
        <v>6.1976380072666093E-2</v>
      </c>
      <c r="D861" s="16">
        <v>2.0172572979419687E-2</v>
      </c>
      <c r="E861" s="16">
        <v>1.1368108685882802E-2</v>
      </c>
      <c r="F861" s="16">
        <v>-1.7663011425039326E-2</v>
      </c>
    </row>
    <row r="862" spans="2:6" x14ac:dyDescent="0.35">
      <c r="B862" s="7" t="s">
        <v>354</v>
      </c>
      <c r="C862" s="16">
        <v>0.11082614892333705</v>
      </c>
      <c r="D862" s="16">
        <v>2.9262212696663809E-2</v>
      </c>
      <c r="E862" s="16">
        <v>4.538464339710719E-2</v>
      </c>
      <c r="F862" s="16">
        <v>-6.9254467578014747E-2</v>
      </c>
    </row>
    <row r="863" spans="2:6" x14ac:dyDescent="0.35">
      <c r="B863" s="7" t="s">
        <v>355</v>
      </c>
      <c r="C863" s="16">
        <v>0.10642642819457498</v>
      </c>
      <c r="D863" s="16">
        <v>5.9688652557499076E-2</v>
      </c>
      <c r="E863" s="16">
        <v>4.9695942762641943E-2</v>
      </c>
      <c r="F863" s="16">
        <v>-4.5720876602357401E-2</v>
      </c>
    </row>
    <row r="864" spans="2:6" x14ac:dyDescent="0.35">
      <c r="B864" s="7" t="s">
        <v>356</v>
      </c>
      <c r="C864" s="16">
        <v>4.5854608627364901E-2</v>
      </c>
      <c r="D864" s="16">
        <v>6.056211394106252E-2</v>
      </c>
      <c r="E864" s="16">
        <v>-3.7475843198754827E-2</v>
      </c>
      <c r="F864" s="16">
        <v>-7.8018485213643241E-2</v>
      </c>
    </row>
    <row r="865" spans="2:6" x14ac:dyDescent="0.35">
      <c r="B865" s="7" t="s">
        <v>357</v>
      </c>
      <c r="C865" s="16">
        <v>1.9884472332331527E-2</v>
      </c>
      <c r="D865" s="16">
        <v>9.5812780794798116E-2</v>
      </c>
      <c r="E865" s="16">
        <v>-3.2656708663912362E-2</v>
      </c>
      <c r="F865" s="16">
        <v>-5.3053165193572095E-2</v>
      </c>
    </row>
    <row r="866" spans="2:6" x14ac:dyDescent="0.35">
      <c r="B866" s="7" t="s">
        <v>358</v>
      </c>
      <c r="C866" s="16">
        <v>2.1143015766266007E-2</v>
      </c>
      <c r="D866" s="16">
        <v>6.9847208491654961E-2</v>
      </c>
      <c r="E866" s="16">
        <v>-6.0301309884279349E-2</v>
      </c>
      <c r="F866" s="16">
        <v>-7.829722109006762E-2</v>
      </c>
    </row>
    <row r="867" spans="2:6" x14ac:dyDescent="0.35">
      <c r="B867" s="7" t="s">
        <v>359</v>
      </c>
      <c r="C867" s="16">
        <v>1.5165942286386984E-2</v>
      </c>
      <c r="D867" s="16">
        <v>0.10766404137046084</v>
      </c>
      <c r="E867" s="16">
        <v>-7.6465723720687287E-2</v>
      </c>
      <c r="F867" s="16">
        <v>-9.7274679795741587E-2</v>
      </c>
    </row>
    <row r="868" spans="2:6" x14ac:dyDescent="0.35">
      <c r="B868" s="7" t="s">
        <v>360</v>
      </c>
      <c r="C868" s="16">
        <v>-1.19320507650022E-2</v>
      </c>
      <c r="D868" s="16">
        <v>0.13531835338873779</v>
      </c>
      <c r="E868" s="16">
        <v>6.2059677382477595E-3</v>
      </c>
      <c r="F868" s="16">
        <v>-2.220394041143435E-2</v>
      </c>
    </row>
    <row r="869" spans="2:6" x14ac:dyDescent="0.35">
      <c r="B869" s="7" t="s">
        <v>361</v>
      </c>
      <c r="C869" s="16">
        <v>-0.11445791665469415</v>
      </c>
      <c r="D869" s="16">
        <v>7.9252206890452342E-2</v>
      </c>
      <c r="E869" s="16">
        <v>-5.9446256162431363E-2</v>
      </c>
      <c r="F869" s="16">
        <v>-9.9145337992758653E-2</v>
      </c>
    </row>
    <row r="870" spans="2:6" x14ac:dyDescent="0.35">
      <c r="B870" s="7" t="s">
        <v>362</v>
      </c>
      <c r="C870" s="16">
        <v>-0.11541133215496639</v>
      </c>
      <c r="D870" s="16">
        <v>8.2826147527191432E-2</v>
      </c>
      <c r="E870" s="16">
        <v>-5.963730721996003E-2</v>
      </c>
      <c r="F870" s="16">
        <v>-9.9641357211848414E-2</v>
      </c>
    </row>
    <row r="871" spans="2:6" x14ac:dyDescent="0.35">
      <c r="B871" s="7" t="s">
        <v>363</v>
      </c>
      <c r="C871" s="16">
        <v>-0.12091774929394092</v>
      </c>
      <c r="D871" s="16">
        <v>9.289094250047697E-2</v>
      </c>
      <c r="E871" s="16">
        <v>-6.1458757880912124E-2</v>
      </c>
      <c r="F871" s="16">
        <v>-0.10647107447257967</v>
      </c>
    </row>
    <row r="872" spans="2:6" x14ac:dyDescent="0.35">
      <c r="B872" s="7" t="s">
        <v>364</v>
      </c>
      <c r="C872" s="16">
        <v>-0.12564719227989299</v>
      </c>
      <c r="D872" s="16">
        <v>9.8560717204859136E-2</v>
      </c>
      <c r="E872" s="16">
        <v>-6.6676184328538432E-2</v>
      </c>
      <c r="F872" s="16">
        <v>-0.10927955365200902</v>
      </c>
    </row>
    <row r="873" spans="2:6" x14ac:dyDescent="0.35">
      <c r="B873" s="7" t="s">
        <v>365</v>
      </c>
      <c r="C873" s="16">
        <v>-6.1650590834675729E-2</v>
      </c>
      <c r="D873" s="16">
        <v>2.7090577975033229E-2</v>
      </c>
      <c r="E873" s="16">
        <v>-5.9458407626795752E-2</v>
      </c>
      <c r="F873" s="16">
        <v>4.1697123599926972E-2</v>
      </c>
    </row>
    <row r="874" spans="2:6" x14ac:dyDescent="0.35">
      <c r="B874" s="7" t="s">
        <v>366</v>
      </c>
      <c r="C874" s="16">
        <v>-5.4894151330348889E-2</v>
      </c>
      <c r="D874" s="16">
        <v>4.5583015907899531E-2</v>
      </c>
      <c r="E874" s="16">
        <v>-3.2505933393429935E-2</v>
      </c>
      <c r="F874" s="16">
        <v>9.0336454609471456E-2</v>
      </c>
    </row>
    <row r="875" spans="2:6" x14ac:dyDescent="0.35">
      <c r="B875" s="7" t="s">
        <v>367</v>
      </c>
      <c r="C875" s="16">
        <v>6.0414804247442014E-2</v>
      </c>
      <c r="D875" s="16">
        <v>5.5138622937132162E-2</v>
      </c>
      <c r="E875" s="16">
        <v>0.12932258757198001</v>
      </c>
      <c r="F875" s="16">
        <v>-4.3650655821319444E-4</v>
      </c>
    </row>
    <row r="876" spans="2:6" ht="15" thickBot="1" x14ac:dyDescent="0.4">
      <c r="B876" s="11" t="s">
        <v>368</v>
      </c>
      <c r="C876" s="17">
        <v>-8.32412172495334E-2</v>
      </c>
      <c r="D876" s="17">
        <v>-0.10849420680103346</v>
      </c>
      <c r="E876" s="17">
        <v>7.4994270111002195E-2</v>
      </c>
      <c r="F876" s="17">
        <v>-4.0949101991460731E-3</v>
      </c>
    </row>
    <row r="896" spans="7:7" x14ac:dyDescent="0.35">
      <c r="G896" t="s">
        <v>103</v>
      </c>
    </row>
    <row r="899" spans="2:6" x14ac:dyDescent="0.35">
      <c r="B899" s="6" t="s">
        <v>370</v>
      </c>
    </row>
    <row r="900" spans="2:6" ht="15" thickBot="1" x14ac:dyDescent="0.4"/>
    <row r="901" spans="2:6" ht="29" x14ac:dyDescent="0.35">
      <c r="B901" s="8" t="s">
        <v>134</v>
      </c>
      <c r="C901" s="9" t="s">
        <v>371</v>
      </c>
      <c r="D901" s="9" t="s">
        <v>372</v>
      </c>
      <c r="E901" s="9" t="s">
        <v>373</v>
      </c>
      <c r="F901" s="9" t="s">
        <v>374</v>
      </c>
    </row>
    <row r="902" spans="2:6" x14ac:dyDescent="0.35">
      <c r="B902" s="22" t="s">
        <v>135</v>
      </c>
      <c r="C902" s="23">
        <v>3.7093071253943619</v>
      </c>
      <c r="D902" s="23">
        <v>3.7677289204214897</v>
      </c>
      <c r="E902" s="23">
        <v>3.4887467732570467</v>
      </c>
      <c r="F902" s="23">
        <v>-0.79142029161775274</v>
      </c>
    </row>
    <row r="903" spans="2:6" x14ac:dyDescent="0.35">
      <c r="B903" s="7" t="s">
        <v>136</v>
      </c>
      <c r="C903" s="16">
        <v>-0.8688362144759213</v>
      </c>
      <c r="D903" s="16">
        <v>-1.3163448580434665</v>
      </c>
      <c r="E903" s="16">
        <v>-5.4371617987722001</v>
      </c>
      <c r="F903" s="16">
        <v>-15.80132586123724</v>
      </c>
    </row>
    <row r="904" spans="2:6" x14ac:dyDescent="0.35">
      <c r="B904" s="7" t="s">
        <v>137</v>
      </c>
      <c r="C904" s="16">
        <v>-0.16297222872806069</v>
      </c>
      <c r="D904" s="16">
        <v>2.0204445043952184</v>
      </c>
      <c r="E904" s="16">
        <v>-2.0723127860221617</v>
      </c>
      <c r="F904" s="16">
        <v>-10.162022780680411</v>
      </c>
    </row>
    <row r="905" spans="2:6" x14ac:dyDescent="0.35">
      <c r="B905" s="7" t="s">
        <v>138</v>
      </c>
      <c r="C905" s="16">
        <v>4.3545122691406846</v>
      </c>
      <c r="D905" s="16">
        <v>5.1951426995084669</v>
      </c>
      <c r="E905" s="16">
        <v>8.0383349394008956</v>
      </c>
      <c r="F905" s="16">
        <v>10.00207450478254</v>
      </c>
    </row>
    <row r="906" spans="2:6" x14ac:dyDescent="0.35">
      <c r="B906" s="7" t="s">
        <v>139</v>
      </c>
      <c r="C906" s="16">
        <v>5.7116748713339751</v>
      </c>
      <c r="D906" s="16">
        <v>7.0149364624241271</v>
      </c>
      <c r="E906" s="16">
        <v>6.7380656873174409</v>
      </c>
      <c r="F906" s="16">
        <v>6.7123199676300951</v>
      </c>
    </row>
    <row r="907" spans="2:6" x14ac:dyDescent="0.35">
      <c r="B907" s="7" t="s">
        <v>140</v>
      </c>
      <c r="C907" s="16">
        <v>4.631264919007525</v>
      </c>
      <c r="D907" s="16">
        <v>3.8698387951425404</v>
      </c>
      <c r="E907" s="16">
        <v>4.0922706085921856</v>
      </c>
      <c r="F907" s="16">
        <v>-0.25794299614917698</v>
      </c>
    </row>
    <row r="908" spans="2:6" x14ac:dyDescent="0.35">
      <c r="B908" s="7" t="s">
        <v>141</v>
      </c>
      <c r="C908" s="16">
        <v>3.660173830333326</v>
      </c>
      <c r="D908" s="16">
        <v>1.5402591050341972</v>
      </c>
      <c r="E908" s="16">
        <v>1.891492248070223</v>
      </c>
      <c r="F908" s="16">
        <v>-2.6669920941134952</v>
      </c>
    </row>
    <row r="909" spans="2:6" x14ac:dyDescent="0.35">
      <c r="B909" s="7" t="s">
        <v>142</v>
      </c>
      <c r="C909" s="16">
        <v>5.9808769251533977</v>
      </c>
      <c r="D909" s="16">
        <v>6.8405667101880798</v>
      </c>
      <c r="E909" s="16">
        <v>11.229498361318651</v>
      </c>
      <c r="F909" s="16">
        <v>15.877588214053553</v>
      </c>
    </row>
    <row r="910" spans="2:6" x14ac:dyDescent="0.35">
      <c r="B910" s="7" t="s">
        <v>143</v>
      </c>
      <c r="C910" s="16">
        <v>4.257046621673072</v>
      </c>
      <c r="D910" s="16">
        <v>3.33927404245087</v>
      </c>
      <c r="E910" s="16">
        <v>5.8065081981002296</v>
      </c>
      <c r="F910" s="16">
        <v>5.3654505337836289</v>
      </c>
    </row>
    <row r="911" spans="2:6" x14ac:dyDescent="0.35">
      <c r="B911" s="7" t="s">
        <v>144</v>
      </c>
      <c r="C911" s="16">
        <v>-2.0727844558583697</v>
      </c>
      <c r="D911" s="16">
        <v>-3.9645049659884943</v>
      </c>
      <c r="E911" s="16">
        <v>-10.367301820202282</v>
      </c>
      <c r="F911" s="16">
        <v>-22.834398606524353</v>
      </c>
    </row>
    <row r="912" spans="2:6" x14ac:dyDescent="0.35">
      <c r="B912" s="7" t="s">
        <v>145</v>
      </c>
      <c r="C912" s="16">
        <v>3.6942783322592931</v>
      </c>
      <c r="D912" s="16">
        <v>1.1115736517563786</v>
      </c>
      <c r="E912" s="16">
        <v>1.7688844942143465</v>
      </c>
      <c r="F912" s="16">
        <v>-2.4745320512401232</v>
      </c>
    </row>
    <row r="913" spans="2:6" x14ac:dyDescent="0.35">
      <c r="B913" s="7" t="s">
        <v>146</v>
      </c>
      <c r="C913" s="16">
        <v>8.5298327798602305</v>
      </c>
      <c r="D913" s="16">
        <v>8.3080333996621398</v>
      </c>
      <c r="E913" s="16">
        <v>13.64491262531849</v>
      </c>
      <c r="F913" s="16">
        <v>16.967083561018814</v>
      </c>
    </row>
    <row r="914" spans="2:6" x14ac:dyDescent="0.35">
      <c r="B914" s="7" t="s">
        <v>147</v>
      </c>
      <c r="C914" s="16">
        <v>5.224088185552656</v>
      </c>
      <c r="D914" s="16">
        <v>3.6925327446010989</v>
      </c>
      <c r="E914" s="16">
        <v>3.8411940590876812</v>
      </c>
      <c r="F914" s="16">
        <v>3.515257923896855E-2</v>
      </c>
    </row>
    <row r="915" spans="2:6" x14ac:dyDescent="0.35">
      <c r="B915" s="7" t="s">
        <v>148</v>
      </c>
      <c r="C915" s="16">
        <v>3.5235647874984366</v>
      </c>
      <c r="D915" s="16">
        <v>3.3485146246431063</v>
      </c>
      <c r="E915" s="16">
        <v>4.5962204198300238</v>
      </c>
      <c r="F915" s="16">
        <v>1.9717132465403584</v>
      </c>
    </row>
    <row r="916" spans="2:6" x14ac:dyDescent="0.35">
      <c r="B916" s="7" t="s">
        <v>149</v>
      </c>
      <c r="C916" s="16">
        <v>-4.1527375829341286</v>
      </c>
      <c r="D916" s="16">
        <v>-3.3449147865485025</v>
      </c>
      <c r="E916" s="16">
        <v>-11.715474402677192</v>
      </c>
      <c r="F916" s="16">
        <v>-25.279807278843297</v>
      </c>
    </row>
    <row r="917" spans="2:6" x14ac:dyDescent="0.35">
      <c r="B917" s="7" t="s">
        <v>150</v>
      </c>
      <c r="C917" s="16">
        <v>4.3304535514369613</v>
      </c>
      <c r="D917" s="16">
        <v>5.7971973180951801</v>
      </c>
      <c r="E917" s="16">
        <v>6.8294622782177372</v>
      </c>
      <c r="F917" s="16">
        <v>8.8285293884376408</v>
      </c>
    </row>
    <row r="918" spans="2:6" x14ac:dyDescent="0.35">
      <c r="B918" s="7" t="s">
        <v>151</v>
      </c>
      <c r="C918" s="16">
        <v>3.5395094673143768</v>
      </c>
      <c r="D918" s="16">
        <v>0.99431339309510458</v>
      </c>
      <c r="E918" s="16">
        <v>1.5979216774457832</v>
      </c>
      <c r="F918" s="16">
        <v>-0.2911367849892213</v>
      </c>
    </row>
    <row r="919" spans="2:6" x14ac:dyDescent="0.35">
      <c r="B919" s="7" t="s">
        <v>152</v>
      </c>
      <c r="C919" s="16">
        <v>3.2775027224130979</v>
      </c>
      <c r="D919" s="16">
        <v>0.89983487950825392</v>
      </c>
      <c r="E919" s="16">
        <v>0.15695009664062748</v>
      </c>
      <c r="F919" s="16">
        <v>-3.1281931843921309</v>
      </c>
    </row>
    <row r="920" spans="2:6" x14ac:dyDescent="0.35">
      <c r="B920" s="7" t="s">
        <v>153</v>
      </c>
      <c r="C920" s="16">
        <v>8.0826740841195548</v>
      </c>
      <c r="D920" s="16">
        <v>5.2331839125765143</v>
      </c>
      <c r="E920" s="16">
        <v>7.6759581572231523</v>
      </c>
      <c r="F920" s="16">
        <v>7.6874606126482883</v>
      </c>
    </row>
    <row r="921" spans="2:6" x14ac:dyDescent="0.35">
      <c r="B921" s="7" t="s">
        <v>154</v>
      </c>
      <c r="C921" s="16">
        <v>5.224088185552656</v>
      </c>
      <c r="D921" s="16">
        <v>3.7922658736591481</v>
      </c>
      <c r="E921" s="16">
        <v>5.5020708498312247</v>
      </c>
      <c r="F921" s="16">
        <v>2.5857084602391134</v>
      </c>
    </row>
    <row r="922" spans="2:6" x14ac:dyDescent="0.35">
      <c r="B922" s="7" t="s">
        <v>155</v>
      </c>
      <c r="C922" s="16">
        <v>3.7905912978903444</v>
      </c>
      <c r="D922" s="16">
        <v>0.8873649470795133</v>
      </c>
      <c r="E922" s="16">
        <v>1.9063370311623831</v>
      </c>
      <c r="F922" s="16">
        <v>0.38866542285988737</v>
      </c>
    </row>
    <row r="923" spans="2:6" x14ac:dyDescent="0.35">
      <c r="B923" s="7" t="s">
        <v>156</v>
      </c>
      <c r="C923" s="16">
        <v>6.2332812377744586</v>
      </c>
      <c r="D923" s="16">
        <v>4.0087052421440257</v>
      </c>
      <c r="E923" s="16">
        <v>6.5321242042249938</v>
      </c>
      <c r="F923" s="16">
        <v>7.5560146227577256</v>
      </c>
    </row>
    <row r="924" spans="2:6" x14ac:dyDescent="0.35">
      <c r="B924" s="7" t="s">
        <v>157</v>
      </c>
      <c r="C924" s="16">
        <v>4.4690019052416163</v>
      </c>
      <c r="D924" s="16">
        <v>5.2560077008898736</v>
      </c>
      <c r="E924" s="16">
        <v>3.3456491134590203</v>
      </c>
      <c r="F924" s="16">
        <v>1.3795022596938893</v>
      </c>
    </row>
    <row r="925" spans="2:6" x14ac:dyDescent="0.35">
      <c r="B925" s="7" t="s">
        <v>158</v>
      </c>
      <c r="C925" s="16">
        <v>7.4322541508676698</v>
      </c>
      <c r="D925" s="16">
        <v>5.6356661818706932</v>
      </c>
      <c r="E925" s="16">
        <v>7.2337417678542293</v>
      </c>
      <c r="F925" s="16">
        <v>7.516743504146798</v>
      </c>
    </row>
    <row r="926" spans="2:6" x14ac:dyDescent="0.35">
      <c r="B926" s="7" t="s">
        <v>159</v>
      </c>
      <c r="C926" s="16">
        <v>2.4159756880815215</v>
      </c>
      <c r="D926" s="16">
        <v>-0.2521076013180914</v>
      </c>
      <c r="E926" s="16">
        <v>-4.0036408906534282</v>
      </c>
      <c r="F926" s="16">
        <v>-11.993970073482977</v>
      </c>
    </row>
    <row r="927" spans="2:6" x14ac:dyDescent="0.35">
      <c r="B927" s="7" t="s">
        <v>160</v>
      </c>
      <c r="C927" s="16">
        <v>-5.8214594712777492</v>
      </c>
      <c r="D927" s="16">
        <v>-1.5982830047113146</v>
      </c>
      <c r="E927" s="16">
        <v>-5.4156289772601598</v>
      </c>
      <c r="F927" s="16">
        <v>-7.1398233517384924</v>
      </c>
    </row>
    <row r="928" spans="2:6" x14ac:dyDescent="0.35">
      <c r="B928" s="7" t="s">
        <v>161</v>
      </c>
      <c r="C928" s="16">
        <v>3.3759423094807097</v>
      </c>
      <c r="D928" s="16">
        <v>0.87995151198818811</v>
      </c>
      <c r="E928" s="16">
        <v>1.2475198558097442</v>
      </c>
      <c r="F928" s="16">
        <v>1.4428584478141424</v>
      </c>
    </row>
    <row r="929" spans="2:6" x14ac:dyDescent="0.35">
      <c r="B929" s="7" t="s">
        <v>162</v>
      </c>
      <c r="C929" s="16">
        <v>4.06820465251855</v>
      </c>
      <c r="D929" s="16">
        <v>4.7574459819849899</v>
      </c>
      <c r="E929" s="16">
        <v>6.7755508026530045</v>
      </c>
      <c r="F929" s="16">
        <v>9.3868114565586076</v>
      </c>
    </row>
    <row r="930" spans="2:6" x14ac:dyDescent="0.35">
      <c r="B930" s="7" t="s">
        <v>163</v>
      </c>
      <c r="C930" s="16">
        <v>-1.1486618536092281</v>
      </c>
      <c r="D930" s="16">
        <v>0.85570732777632297</v>
      </c>
      <c r="E930" s="16">
        <v>-4.9129396282088447</v>
      </c>
      <c r="F930" s="16">
        <v>-9.1535107445251143</v>
      </c>
    </row>
    <row r="931" spans="2:6" x14ac:dyDescent="0.35">
      <c r="B931" s="7" t="s">
        <v>164</v>
      </c>
      <c r="C931" s="16">
        <v>5.3518281694567236</v>
      </c>
      <c r="D931" s="16">
        <v>2.7137541189543914</v>
      </c>
      <c r="E931" s="16">
        <v>5.4502951280013434</v>
      </c>
      <c r="F931" s="16">
        <v>9.4695754336041027</v>
      </c>
    </row>
    <row r="932" spans="2:6" x14ac:dyDescent="0.35">
      <c r="B932" s="7" t="s">
        <v>165</v>
      </c>
      <c r="C932" s="16">
        <v>-6.1476202600371641</v>
      </c>
      <c r="D932" s="16">
        <v>-1.9776618944034363</v>
      </c>
      <c r="E932" s="16">
        <v>-6.2627246552156164</v>
      </c>
      <c r="F932" s="16">
        <v>-8.2519548756343966</v>
      </c>
    </row>
    <row r="933" spans="2:6" x14ac:dyDescent="0.35">
      <c r="B933" s="7" t="s">
        <v>166</v>
      </c>
      <c r="C933" s="16">
        <v>-2.9476861636124299</v>
      </c>
      <c r="D933" s="16">
        <v>-1.1462256900432819</v>
      </c>
      <c r="E933" s="16">
        <v>-4.6026627575904415</v>
      </c>
      <c r="F933" s="16">
        <v>-7.2968517538170881</v>
      </c>
    </row>
    <row r="934" spans="2:6" x14ac:dyDescent="0.35">
      <c r="B934" s="7" t="s">
        <v>167</v>
      </c>
      <c r="C934" s="16">
        <v>5.6320935610529181</v>
      </c>
      <c r="D934" s="16">
        <v>3.4001805468192763</v>
      </c>
      <c r="E934" s="16">
        <v>5.8392438993459113</v>
      </c>
      <c r="F934" s="16">
        <v>9.7395281182095115</v>
      </c>
    </row>
    <row r="935" spans="2:6" x14ac:dyDescent="0.35">
      <c r="B935" s="7" t="s">
        <v>168</v>
      </c>
      <c r="C935" s="16">
        <v>1.9447879489224076</v>
      </c>
      <c r="D935" s="16">
        <v>6.5951285914821716</v>
      </c>
      <c r="E935" s="16">
        <v>10.833956776269718</v>
      </c>
      <c r="F935" s="16">
        <v>21.629545080647191</v>
      </c>
    </row>
    <row r="936" spans="2:6" x14ac:dyDescent="0.35">
      <c r="B936" s="7" t="s">
        <v>169</v>
      </c>
      <c r="C936" s="16">
        <v>-0.41862911427753818</v>
      </c>
      <c r="D936" s="16">
        <v>-2.9209074203082515</v>
      </c>
      <c r="E936" s="16">
        <v>-6.8020441182906017</v>
      </c>
      <c r="F936" s="16">
        <v>-13.031489581561051</v>
      </c>
    </row>
    <row r="937" spans="2:6" x14ac:dyDescent="0.35">
      <c r="B937" s="7" t="s">
        <v>170</v>
      </c>
      <c r="C937" s="16">
        <v>0.11133116884134575</v>
      </c>
      <c r="D937" s="16">
        <v>4.793415987916128</v>
      </c>
      <c r="E937" s="16">
        <v>7.670381204270754</v>
      </c>
      <c r="F937" s="16">
        <v>15.685087360647042</v>
      </c>
    </row>
    <row r="938" spans="2:6" x14ac:dyDescent="0.35">
      <c r="B938" s="7" t="s">
        <v>171</v>
      </c>
      <c r="C938" s="16">
        <v>6.0431702442813666</v>
      </c>
      <c r="D938" s="16">
        <v>1.4041675933783522</v>
      </c>
      <c r="E938" s="16">
        <v>4.3906631875096203</v>
      </c>
      <c r="F938" s="16">
        <v>9.0170569122920057</v>
      </c>
    </row>
    <row r="939" spans="2:6" x14ac:dyDescent="0.35">
      <c r="B939" s="7" t="s">
        <v>172</v>
      </c>
      <c r="C939" s="16">
        <v>1.9928130237579735</v>
      </c>
      <c r="D939" s="16">
        <v>-1.727658530129657</v>
      </c>
      <c r="E939" s="16">
        <v>-2.4452790857937958</v>
      </c>
      <c r="F939" s="16">
        <v>-2.9337153141504699</v>
      </c>
    </row>
    <row r="940" spans="2:6" x14ac:dyDescent="0.35">
      <c r="B940" s="7" t="s">
        <v>173</v>
      </c>
      <c r="C940" s="16">
        <v>-10.779594394006848</v>
      </c>
      <c r="D940" s="16">
        <v>-7.277496734282229</v>
      </c>
      <c r="E940" s="16">
        <v>-15.371561214321083</v>
      </c>
      <c r="F940" s="16">
        <v>-25.36079260141393</v>
      </c>
    </row>
    <row r="941" spans="2:6" x14ac:dyDescent="0.35">
      <c r="B941" s="7" t="s">
        <v>174</v>
      </c>
      <c r="C941" s="16">
        <v>-6.1476202600371641</v>
      </c>
      <c r="D941" s="16">
        <v>-4.761641241524635</v>
      </c>
      <c r="E941" s="16">
        <v>-11.215016634248313</v>
      </c>
      <c r="F941" s="16">
        <v>-18.592765209985281</v>
      </c>
    </row>
    <row r="942" spans="2:6" x14ac:dyDescent="0.35">
      <c r="B942" s="7" t="s">
        <v>175</v>
      </c>
      <c r="C942" s="16">
        <v>0.12438337871989477</v>
      </c>
      <c r="D942" s="16">
        <v>-0.71793391975969878</v>
      </c>
      <c r="E942" s="16">
        <v>-2.5628074247932378</v>
      </c>
      <c r="F942" s="16">
        <v>-6.0651740625923383</v>
      </c>
    </row>
    <row r="943" spans="2:6" x14ac:dyDescent="0.35">
      <c r="B943" s="7" t="s">
        <v>176</v>
      </c>
      <c r="C943" s="16">
        <v>-1.3155496070672303</v>
      </c>
      <c r="D943" s="16">
        <v>-6.0881416258245364</v>
      </c>
      <c r="E943" s="16">
        <v>-11.476316323893286</v>
      </c>
      <c r="F943" s="16">
        <v>-19.45242940294866</v>
      </c>
    </row>
    <row r="944" spans="2:6" x14ac:dyDescent="0.35">
      <c r="B944" s="7" t="s">
        <v>177</v>
      </c>
      <c r="C944" s="16">
        <v>5.2063226517002938</v>
      </c>
      <c r="D944" s="16">
        <v>1.8957065497489314</v>
      </c>
      <c r="E944" s="16">
        <v>3.5218270281141564</v>
      </c>
      <c r="F944" s="16">
        <v>4.307314644127378</v>
      </c>
    </row>
    <row r="945" spans="2:6" x14ac:dyDescent="0.35">
      <c r="B945" s="7" t="s">
        <v>178</v>
      </c>
      <c r="C945" s="16">
        <v>-1.883551508261756</v>
      </c>
      <c r="D945" s="16">
        <v>0.5413193004117629</v>
      </c>
      <c r="E945" s="16">
        <v>1.7873755432275251</v>
      </c>
      <c r="F945" s="16">
        <v>3.0528725119503086</v>
      </c>
    </row>
    <row r="946" spans="2:6" x14ac:dyDescent="0.35">
      <c r="B946" s="7" t="s">
        <v>179</v>
      </c>
      <c r="C946" s="16">
        <v>5.1906873385708492</v>
      </c>
      <c r="D946" s="16">
        <v>5.6627380299709609</v>
      </c>
      <c r="E946" s="16">
        <v>11.147785998398117</v>
      </c>
      <c r="F946" s="16">
        <v>18.246042118046251</v>
      </c>
    </row>
    <row r="947" spans="2:6" x14ac:dyDescent="0.35">
      <c r="B947" s="7" t="s">
        <v>180</v>
      </c>
      <c r="C947" s="16">
        <v>-6.3564792470774814</v>
      </c>
      <c r="D947" s="16">
        <v>-3.7031456080774179</v>
      </c>
      <c r="E947" s="16">
        <v>-4.8722463506300127</v>
      </c>
      <c r="F947" s="16">
        <v>-13.305478407807307</v>
      </c>
    </row>
    <row r="948" spans="2:6" x14ac:dyDescent="0.35">
      <c r="B948" s="7" t="s">
        <v>181</v>
      </c>
      <c r="C948" s="16">
        <v>-4.9425688407154658</v>
      </c>
      <c r="D948" s="16">
        <v>-4.2354530848948624</v>
      </c>
      <c r="E948" s="16">
        <v>-8.0620920201122086</v>
      </c>
      <c r="F948" s="16">
        <v>-15.257984538626458</v>
      </c>
    </row>
    <row r="949" spans="2:6" x14ac:dyDescent="0.35">
      <c r="B949" s="7" t="s">
        <v>182</v>
      </c>
      <c r="C949" s="16">
        <v>-9.0879400548834095</v>
      </c>
      <c r="D949" s="16">
        <v>-10.020126294067706</v>
      </c>
      <c r="E949" s="16">
        <v>-15.529146980460117</v>
      </c>
      <c r="F949" s="16">
        <v>-25.837340278637182</v>
      </c>
    </row>
    <row r="950" spans="2:6" x14ac:dyDescent="0.35">
      <c r="B950" s="7" t="s">
        <v>183</v>
      </c>
      <c r="C950" s="16">
        <v>1.4884296032573501</v>
      </c>
      <c r="D950" s="16">
        <v>-1.982453439761946</v>
      </c>
      <c r="E950" s="16">
        <v>-4.0955975394230606</v>
      </c>
      <c r="F950" s="16">
        <v>-6.1283786129546831</v>
      </c>
    </row>
    <row r="951" spans="2:6" x14ac:dyDescent="0.35">
      <c r="B951" s="7" t="s">
        <v>184</v>
      </c>
      <c r="C951" s="16">
        <v>-0.38734611773753819</v>
      </c>
      <c r="D951" s="16">
        <v>-4.13871091550903</v>
      </c>
      <c r="E951" s="16">
        <v>-8.4644716386409655</v>
      </c>
      <c r="F951" s="16">
        <v>-16.818502435860424</v>
      </c>
    </row>
    <row r="952" spans="2:6" x14ac:dyDescent="0.35">
      <c r="B952" s="7" t="s">
        <v>185</v>
      </c>
      <c r="C952" s="16">
        <v>-4.2108811229911876</v>
      </c>
      <c r="D952" s="16">
        <v>-3.1261649919617756</v>
      </c>
      <c r="E952" s="16">
        <v>-5.1019239855952438</v>
      </c>
      <c r="F952" s="16">
        <v>-10.289050540505144</v>
      </c>
    </row>
    <row r="953" spans="2:6" x14ac:dyDescent="0.35">
      <c r="B953" s="7" t="s">
        <v>186</v>
      </c>
      <c r="C953" s="16">
        <v>-2.8000636855947021</v>
      </c>
      <c r="D953" s="16">
        <v>-0.76973998577099401</v>
      </c>
      <c r="E953" s="16">
        <v>2.1682497643496275</v>
      </c>
      <c r="F953" s="16">
        <v>3.5624329142490296</v>
      </c>
    </row>
    <row r="954" spans="2:6" x14ac:dyDescent="0.35">
      <c r="B954" s="7" t="s">
        <v>187</v>
      </c>
      <c r="C954" s="16">
        <v>3.4994809034784113</v>
      </c>
      <c r="D954" s="16">
        <v>0.12949250670278722</v>
      </c>
      <c r="E954" s="16">
        <v>1.3795389532845033</v>
      </c>
      <c r="F954" s="16">
        <v>3.7021112778490242</v>
      </c>
    </row>
    <row r="955" spans="2:6" x14ac:dyDescent="0.35">
      <c r="B955" s="7" t="s">
        <v>188</v>
      </c>
      <c r="C955" s="16">
        <v>-3.353711405684829</v>
      </c>
      <c r="D955" s="16">
        <v>-1.8944963561282238</v>
      </c>
      <c r="E955" s="16">
        <v>-3.3714560418238215</v>
      </c>
      <c r="F955" s="16">
        <v>-7.2839237178965108</v>
      </c>
    </row>
    <row r="956" spans="2:6" x14ac:dyDescent="0.35">
      <c r="B956" s="7" t="s">
        <v>189</v>
      </c>
      <c r="C956" s="16">
        <v>-0.75171803436151108</v>
      </c>
      <c r="D956" s="16">
        <v>-5.046450839270384</v>
      </c>
      <c r="E956" s="16">
        <v>-7.1912117566470535</v>
      </c>
      <c r="F956" s="16">
        <v>-10.806283304382463</v>
      </c>
    </row>
    <row r="957" spans="2:6" x14ac:dyDescent="0.35">
      <c r="B957" s="7" t="s">
        <v>190</v>
      </c>
      <c r="C957" s="16">
        <v>-5.6228974803572696</v>
      </c>
      <c r="D957" s="16">
        <v>-3.3417382069105717</v>
      </c>
      <c r="E957" s="16">
        <v>-1.4110604690494428</v>
      </c>
      <c r="F957" s="16">
        <v>-3.2851193226917159</v>
      </c>
    </row>
    <row r="958" spans="2:6" x14ac:dyDescent="0.35">
      <c r="B958" s="7" t="s">
        <v>191</v>
      </c>
      <c r="C958" s="16">
        <v>-5.926125818336839</v>
      </c>
      <c r="D958" s="16">
        <v>-4.5060637063046975</v>
      </c>
      <c r="E958" s="16">
        <v>-5.8706452409120535</v>
      </c>
      <c r="F958" s="16">
        <v>-12.345665806088121</v>
      </c>
    </row>
    <row r="959" spans="2:6" x14ac:dyDescent="0.35">
      <c r="B959" s="7" t="s">
        <v>192</v>
      </c>
      <c r="C959" s="16">
        <v>-5.6228974803572696</v>
      </c>
      <c r="D959" s="16">
        <v>-3.55273116498695</v>
      </c>
      <c r="E959" s="16">
        <v>-3.9668368872600124</v>
      </c>
      <c r="F959" s="16">
        <v>-8.9403886477457259</v>
      </c>
    </row>
    <row r="960" spans="2:6" x14ac:dyDescent="0.35">
      <c r="B960" s="7" t="s">
        <v>193</v>
      </c>
      <c r="C960" s="16">
        <v>-3.4921682474672009</v>
      </c>
      <c r="D960" s="16">
        <v>-2.2000729827298167</v>
      </c>
      <c r="E960" s="16">
        <v>-1.0193071226443047</v>
      </c>
      <c r="F960" s="16">
        <v>-4.6742096973098537</v>
      </c>
    </row>
    <row r="961" spans="2:6" x14ac:dyDescent="0.35">
      <c r="B961" s="7" t="s">
        <v>194</v>
      </c>
      <c r="C961" s="16">
        <v>-1.0101743034189763</v>
      </c>
      <c r="D961" s="16">
        <v>-2.5186389260328732</v>
      </c>
      <c r="E961" s="16">
        <v>-4.4092265960739976</v>
      </c>
      <c r="F961" s="16">
        <v>-6.9759880630742943</v>
      </c>
    </row>
    <row r="962" spans="2:6" x14ac:dyDescent="0.35">
      <c r="B962" s="7" t="s">
        <v>195</v>
      </c>
      <c r="C962" s="16">
        <v>-9.463122324255071</v>
      </c>
      <c r="D962" s="16">
        <v>-7.9252744043757595</v>
      </c>
      <c r="E962" s="16">
        <v>-12.044618450220833</v>
      </c>
      <c r="F962" s="16">
        <v>-20.514568430051359</v>
      </c>
    </row>
    <row r="963" spans="2:6" x14ac:dyDescent="0.35">
      <c r="B963" s="7" t="s">
        <v>196</v>
      </c>
      <c r="C963" s="16">
        <v>-2.7289981651821575</v>
      </c>
      <c r="D963" s="16">
        <v>-5.0036932997975372</v>
      </c>
      <c r="E963" s="16">
        <v>-8.4403714062460065</v>
      </c>
      <c r="F963" s="16">
        <v>-13.538673860277793</v>
      </c>
    </row>
    <row r="964" spans="2:6" x14ac:dyDescent="0.35">
      <c r="B964" s="7" t="s">
        <v>197</v>
      </c>
      <c r="C964" s="16">
        <v>2.4159756880815215</v>
      </c>
      <c r="D964" s="16">
        <v>4.4773584120650423</v>
      </c>
      <c r="E964" s="16">
        <v>13.542562444102737</v>
      </c>
      <c r="F964" s="16">
        <v>20.291916263168677</v>
      </c>
    </row>
    <row r="965" spans="2:6" x14ac:dyDescent="0.35">
      <c r="B965" s="7" t="s">
        <v>198</v>
      </c>
      <c r="C965" s="16">
        <v>-4.7949463626977362</v>
      </c>
      <c r="D965" s="16">
        <v>-3.4717672606649845</v>
      </c>
      <c r="E965" s="16">
        <v>-2.7131839375640912</v>
      </c>
      <c r="F965" s="16">
        <v>-4.585259457356452</v>
      </c>
    </row>
    <row r="966" spans="2:6" x14ac:dyDescent="0.35">
      <c r="B966" s="7" t="s">
        <v>199</v>
      </c>
      <c r="C966" s="16">
        <v>-2.2813430089148441</v>
      </c>
      <c r="D966" s="16">
        <v>-0.65200312885219081</v>
      </c>
      <c r="E966" s="16">
        <v>2.7301813695501909</v>
      </c>
      <c r="F966" s="16">
        <v>3.6664823746600126</v>
      </c>
    </row>
    <row r="967" spans="2:6" x14ac:dyDescent="0.35">
      <c r="B967" s="7" t="s">
        <v>200</v>
      </c>
      <c r="C967" s="16">
        <v>1.1897016686114319</v>
      </c>
      <c r="D967" s="16">
        <v>-2.6037082689926532</v>
      </c>
      <c r="E967" s="16">
        <v>-1.4186764973685773</v>
      </c>
      <c r="F967" s="16">
        <v>-4.1525890973230929E-2</v>
      </c>
    </row>
    <row r="968" spans="2:6" x14ac:dyDescent="0.35">
      <c r="B968" s="7" t="s">
        <v>201</v>
      </c>
      <c r="C968" s="16">
        <v>-3.0244375746041148</v>
      </c>
      <c r="D968" s="16">
        <v>0.83708825081021643</v>
      </c>
      <c r="E968" s="16">
        <v>0.23013613667654553</v>
      </c>
      <c r="F968" s="16">
        <v>3.9483573586066401</v>
      </c>
    </row>
    <row r="969" spans="2:6" x14ac:dyDescent="0.35">
      <c r="B969" s="7" t="s">
        <v>202</v>
      </c>
      <c r="C969" s="16">
        <v>1.3641797755118883</v>
      </c>
      <c r="D969" s="16">
        <v>4.4445536135899664</v>
      </c>
      <c r="E969" s="16">
        <v>12.403541399579227</v>
      </c>
      <c r="F969" s="16">
        <v>20.962248692044653</v>
      </c>
    </row>
    <row r="970" spans="2:6" x14ac:dyDescent="0.35">
      <c r="B970" s="7" t="s">
        <v>203</v>
      </c>
      <c r="C970" s="16">
        <v>-5.0981747006773075</v>
      </c>
      <c r="D970" s="16">
        <v>-3.8622261087249661</v>
      </c>
      <c r="E970" s="16">
        <v>-3.5917284543256978</v>
      </c>
      <c r="F970" s="16">
        <v>-6.2433228193993102</v>
      </c>
    </row>
    <row r="971" spans="2:6" x14ac:dyDescent="0.35">
      <c r="B971" s="7" t="s">
        <v>204</v>
      </c>
      <c r="C971" s="16">
        <v>-3.725583717997663</v>
      </c>
      <c r="D971" s="16">
        <v>-1.7106369478648147</v>
      </c>
      <c r="E971" s="16">
        <v>1.83585485241835</v>
      </c>
      <c r="F971" s="16">
        <v>2.0631754278584511</v>
      </c>
    </row>
    <row r="972" spans="2:6" x14ac:dyDescent="0.35">
      <c r="B972" s="7" t="s">
        <v>205</v>
      </c>
      <c r="C972" s="16">
        <v>-5.8214594712777492</v>
      </c>
      <c r="D972" s="16">
        <v>-4.0552846606933182</v>
      </c>
      <c r="E972" s="16">
        <v>-3.6658824034004787</v>
      </c>
      <c r="F972" s="16">
        <v>-9.9324661572467186</v>
      </c>
    </row>
    <row r="973" spans="2:6" x14ac:dyDescent="0.35">
      <c r="B973" s="7" t="s">
        <v>206</v>
      </c>
      <c r="C973" s="16">
        <v>-1.402768625520054</v>
      </c>
      <c r="D973" s="16">
        <v>-3.627430486847707</v>
      </c>
      <c r="E973" s="16">
        <v>-5.798619328622328</v>
      </c>
      <c r="F973" s="16">
        <v>-9.942009006873624</v>
      </c>
    </row>
    <row r="974" spans="2:6" x14ac:dyDescent="0.35">
      <c r="B974" s="7" t="s">
        <v>207</v>
      </c>
      <c r="C974" s="16">
        <v>-2.6941128005337323</v>
      </c>
      <c r="D974" s="16">
        <v>-0.4780567609759751</v>
      </c>
      <c r="E974" s="16">
        <v>1.6894438466272317</v>
      </c>
      <c r="F974" s="16">
        <v>0.24741484056410967</v>
      </c>
    </row>
    <row r="975" spans="2:6" x14ac:dyDescent="0.35">
      <c r="B975" s="7" t="s">
        <v>208</v>
      </c>
      <c r="C975" s="16">
        <v>-2.5257602880252974</v>
      </c>
      <c r="D975" s="16">
        <v>-3.5974341315259606</v>
      </c>
      <c r="E975" s="16">
        <v>-5.1130832012870275</v>
      </c>
      <c r="F975" s="16">
        <v>-8.0500058030855275</v>
      </c>
    </row>
    <row r="976" spans="2:6" x14ac:dyDescent="0.35">
      <c r="B976" s="7" t="s">
        <v>209</v>
      </c>
      <c r="C976" s="16">
        <v>3.1755764906443869</v>
      </c>
      <c r="D976" s="16">
        <v>0.16955296308969947</v>
      </c>
      <c r="E976" s="16">
        <v>5.3109891146406074</v>
      </c>
      <c r="F976" s="16">
        <v>13.136227270043475</v>
      </c>
    </row>
    <row r="977" spans="2:6" x14ac:dyDescent="0.35">
      <c r="B977" s="7" t="s">
        <v>210</v>
      </c>
      <c r="C977" s="16">
        <v>-3.9850392373441994</v>
      </c>
      <c r="D977" s="16">
        <v>-2.3801789635479773</v>
      </c>
      <c r="E977" s="16">
        <v>2.9176379932007654E-2</v>
      </c>
      <c r="F977" s="16">
        <v>-0.90921295242415201</v>
      </c>
    </row>
    <row r="978" spans="2:6" x14ac:dyDescent="0.35">
      <c r="B978" s="7" t="s">
        <v>211</v>
      </c>
      <c r="C978" s="16">
        <v>-7.4320378195643784</v>
      </c>
      <c r="D978" s="16">
        <v>-5.9434485240727799</v>
      </c>
      <c r="E978" s="16">
        <v>-5.4885774486596981</v>
      </c>
      <c r="F978" s="16">
        <v>-12.823898847423578</v>
      </c>
    </row>
    <row r="979" spans="2:6" x14ac:dyDescent="0.35">
      <c r="B979" s="7" t="s">
        <v>212</v>
      </c>
      <c r="C979" s="16">
        <v>-0.97180030363634839</v>
      </c>
      <c r="D979" s="16">
        <v>-3.1547598036188726</v>
      </c>
      <c r="E979" s="16">
        <v>-3.313844068966076</v>
      </c>
      <c r="F979" s="16">
        <v>-2.5859534391401344</v>
      </c>
    </row>
    <row r="980" spans="2:6" x14ac:dyDescent="0.35">
      <c r="B980" s="7" t="s">
        <v>213</v>
      </c>
      <c r="C980" s="16">
        <v>-0.80518100849166685</v>
      </c>
      <c r="D980" s="16">
        <v>-3.5758892480446498</v>
      </c>
      <c r="E980" s="16">
        <v>-3.4760513975636251</v>
      </c>
      <c r="F980" s="16">
        <v>-2.4245711018150864</v>
      </c>
    </row>
    <row r="981" spans="2:6" x14ac:dyDescent="0.35">
      <c r="B981" s="7" t="s">
        <v>214</v>
      </c>
      <c r="C981" s="16">
        <v>0.66857415154198452</v>
      </c>
      <c r="D981" s="16">
        <v>1.8356718943227803</v>
      </c>
      <c r="E981" s="16">
        <v>4.9569081787624114</v>
      </c>
      <c r="F981" s="16">
        <v>9.836464515721806</v>
      </c>
    </row>
    <row r="982" spans="2:6" x14ac:dyDescent="0.35">
      <c r="B982" s="7" t="s">
        <v>215</v>
      </c>
      <c r="C982" s="16">
        <v>-3.7756372812719632</v>
      </c>
      <c r="D982" s="16">
        <v>-1.4649065784240227</v>
      </c>
      <c r="E982" s="16">
        <v>3.2781425409043203</v>
      </c>
      <c r="F982" s="16">
        <v>2.7247209040660811</v>
      </c>
    </row>
    <row r="983" spans="2:6" x14ac:dyDescent="0.35">
      <c r="B983" s="7" t="s">
        <v>216</v>
      </c>
      <c r="C983" s="16">
        <v>-0.56376948145112671</v>
      </c>
      <c r="D983" s="16">
        <v>-3.7200324774637332</v>
      </c>
      <c r="E983" s="16">
        <v>-3.2547999923394166</v>
      </c>
      <c r="F983" s="16">
        <v>-1.7097995606884644</v>
      </c>
    </row>
    <row r="984" spans="2:6" x14ac:dyDescent="0.35">
      <c r="B984" s="7" t="s">
        <v>217</v>
      </c>
      <c r="C984" s="16">
        <v>-0.80518100849166685</v>
      </c>
      <c r="D984" s="16">
        <v>-0.1542979025769618</v>
      </c>
      <c r="E984" s="16">
        <v>-2.6608885187942282E-2</v>
      </c>
      <c r="F984" s="16">
        <v>-1.1111204456482149</v>
      </c>
    </row>
    <row r="985" spans="2:6" x14ac:dyDescent="0.35">
      <c r="B985" s="7" t="s">
        <v>218</v>
      </c>
      <c r="C985" s="16">
        <v>-0.41862911427753818</v>
      </c>
      <c r="D985" s="16">
        <v>0.25871680813587672</v>
      </c>
      <c r="E985" s="16">
        <v>2.0120534770476524</v>
      </c>
      <c r="F985" s="16">
        <v>6.1001908282371629</v>
      </c>
    </row>
    <row r="986" spans="2:6" x14ac:dyDescent="0.35">
      <c r="B986" s="7" t="s">
        <v>219</v>
      </c>
      <c r="C986" s="16">
        <v>2.0600592452835769</v>
      </c>
      <c r="D986" s="16">
        <v>-0.69641883801508075</v>
      </c>
      <c r="E986" s="16">
        <v>2.206913836756319</v>
      </c>
      <c r="F986" s="16">
        <v>7.7344209343500996</v>
      </c>
    </row>
    <row r="987" spans="2:6" x14ac:dyDescent="0.35">
      <c r="B987" s="7" t="s">
        <v>220</v>
      </c>
      <c r="C987" s="16">
        <v>-7.2575597126638574</v>
      </c>
      <c r="D987" s="16">
        <v>-6.3835123069690924</v>
      </c>
      <c r="E987" s="16">
        <v>-7.3599103376428516</v>
      </c>
      <c r="F987" s="16">
        <v>-15.639709326324095</v>
      </c>
    </row>
    <row r="988" spans="2:6" x14ac:dyDescent="0.35">
      <c r="B988" s="7" t="s">
        <v>221</v>
      </c>
      <c r="C988" s="16">
        <v>-4.1527375829341286</v>
      </c>
      <c r="D988" s="16">
        <v>-1.7271589003103089</v>
      </c>
      <c r="E988" s="16">
        <v>0.65862604703240824</v>
      </c>
      <c r="F988" s="16">
        <v>-0.62905540496150969</v>
      </c>
    </row>
    <row r="989" spans="2:6" x14ac:dyDescent="0.35">
      <c r="B989" s="7" t="s">
        <v>222</v>
      </c>
      <c r="C989" s="16">
        <v>-7.755322039023425</v>
      </c>
      <c r="D989" s="16">
        <v>-5.6561313765931036</v>
      </c>
      <c r="E989" s="16">
        <v>-4.021767640002432</v>
      </c>
      <c r="F989" s="16">
        <v>-9.8345539163936433</v>
      </c>
    </row>
    <row r="990" spans="2:6" x14ac:dyDescent="0.35">
      <c r="B990" s="7" t="s">
        <v>223</v>
      </c>
      <c r="C990" s="16">
        <v>-2.4932400850046181</v>
      </c>
      <c r="D990" s="16">
        <v>-0.47030463669421058</v>
      </c>
      <c r="E990" s="16">
        <v>4.5263638195209506</v>
      </c>
      <c r="F990" s="16">
        <v>4.6567715253340598</v>
      </c>
    </row>
    <row r="991" spans="2:6" x14ac:dyDescent="0.35">
      <c r="B991" s="7" t="s">
        <v>224</v>
      </c>
      <c r="C991" s="16">
        <v>-1.189485337308074</v>
      </c>
      <c r="D991" s="16">
        <v>0.37501784655178833</v>
      </c>
      <c r="E991" s="16">
        <v>4.8848217412553678</v>
      </c>
      <c r="F991" s="16">
        <v>5.3609456662391386</v>
      </c>
    </row>
    <row r="992" spans="2:6" x14ac:dyDescent="0.35">
      <c r="B992" s="7" t="s">
        <v>225</v>
      </c>
      <c r="C992" s="16">
        <v>1.8319104483749735</v>
      </c>
      <c r="D992" s="16">
        <v>-2.423019975888804</v>
      </c>
      <c r="E992" s="16">
        <v>-3.7720763920167224</v>
      </c>
      <c r="F992" s="16">
        <v>-3.234368123568109</v>
      </c>
    </row>
    <row r="993" spans="2:6" x14ac:dyDescent="0.35">
      <c r="B993" s="7" t="s">
        <v>226</v>
      </c>
      <c r="C993" s="16">
        <v>-6.2651062601208105</v>
      </c>
      <c r="D993" s="16">
        <v>-3.0252915164729171</v>
      </c>
      <c r="E993" s="16">
        <v>0.5374534704740096</v>
      </c>
      <c r="F993" s="16">
        <v>-0.70032156988337269</v>
      </c>
    </row>
    <row r="994" spans="2:6" x14ac:dyDescent="0.35">
      <c r="B994" s="7" t="s">
        <v>227</v>
      </c>
      <c r="C994" s="16">
        <v>-0.80518100849166685</v>
      </c>
      <c r="D994" s="16">
        <v>-3.7338688219136524</v>
      </c>
      <c r="E994" s="16">
        <v>-5.0065051439367334</v>
      </c>
      <c r="F994" s="16">
        <v>-5.29681897543154</v>
      </c>
    </row>
    <row r="995" spans="2:6" x14ac:dyDescent="0.35">
      <c r="B995" s="7" t="s">
        <v>228</v>
      </c>
      <c r="C995" s="16">
        <v>-2.9858060234906261</v>
      </c>
      <c r="D995" s="16">
        <v>-0.4206484081983502</v>
      </c>
      <c r="E995" s="16">
        <v>4.0018986099569318</v>
      </c>
      <c r="F995" s="16">
        <v>3.7721615687184671</v>
      </c>
    </row>
    <row r="996" spans="2:6" x14ac:dyDescent="0.35">
      <c r="B996" s="7" t="s">
        <v>229</v>
      </c>
      <c r="C996" s="16">
        <v>-2.157854905831095</v>
      </c>
      <c r="D996" s="16">
        <v>-0.6821065104391103</v>
      </c>
      <c r="E996" s="16">
        <v>4.6842782192380685</v>
      </c>
      <c r="F996" s="16">
        <v>3.1125943753427174</v>
      </c>
    </row>
    <row r="997" spans="2:6" x14ac:dyDescent="0.35">
      <c r="B997" s="7" t="s">
        <v>230</v>
      </c>
      <c r="C997" s="16">
        <v>3.1749858560220647E-2</v>
      </c>
      <c r="D997" s="16">
        <v>2.9653807125431132E-2</v>
      </c>
      <c r="E997" s="16">
        <v>3.2516607640677662</v>
      </c>
      <c r="F997" s="16">
        <v>9.1269030926848718</v>
      </c>
    </row>
    <row r="998" spans="2:6" x14ac:dyDescent="0.35">
      <c r="B998" s="7" t="s">
        <v>231</v>
      </c>
      <c r="C998" s="16">
        <v>-0.23583706607655189</v>
      </c>
      <c r="D998" s="16">
        <v>-0.50186406539983119</v>
      </c>
      <c r="E998" s="16">
        <v>0.78990646554967425</v>
      </c>
      <c r="F998" s="16">
        <v>5.2285056754322747</v>
      </c>
    </row>
    <row r="999" spans="2:6" x14ac:dyDescent="0.35">
      <c r="B999" s="7" t="s">
        <v>232</v>
      </c>
      <c r="C999" s="16">
        <v>1.6842879703572464</v>
      </c>
      <c r="D999" s="16">
        <v>0.74049790051111375</v>
      </c>
      <c r="E999" s="16">
        <v>1.4592263922791426</v>
      </c>
      <c r="F999" s="16">
        <v>5.3836643786365306</v>
      </c>
    </row>
    <row r="1000" spans="2:6" x14ac:dyDescent="0.35">
      <c r="B1000" s="7" t="s">
        <v>233</v>
      </c>
      <c r="C1000" s="16">
        <v>-5.4371551424612772</v>
      </c>
      <c r="D1000" s="16">
        <v>-3.0656450763911791</v>
      </c>
      <c r="E1000" s="16">
        <v>-0.53313610120526111</v>
      </c>
      <c r="F1000" s="16">
        <v>-4.157402911093266</v>
      </c>
    </row>
    <row r="1001" spans="2:6" x14ac:dyDescent="0.35">
      <c r="B1001" s="7" t="s">
        <v>234</v>
      </c>
      <c r="C1001" s="16">
        <v>1.0983286816547613</v>
      </c>
      <c r="D1001" s="16">
        <v>1.1337221833732509</v>
      </c>
      <c r="E1001" s="16">
        <v>-2.1321473720468402</v>
      </c>
      <c r="F1001" s="16">
        <v>1.6236112279860591</v>
      </c>
    </row>
    <row r="1002" spans="2:6" x14ac:dyDescent="0.35">
      <c r="B1002" s="7" t="s">
        <v>235</v>
      </c>
      <c r="C1002" s="16">
        <v>-3.3104322841702642</v>
      </c>
      <c r="D1002" s="16">
        <v>-5.0427445653796434</v>
      </c>
      <c r="E1002" s="16">
        <v>-7.3956694723105478</v>
      </c>
      <c r="F1002" s="16">
        <v>-10.271368559471563</v>
      </c>
    </row>
    <row r="1003" spans="2:6" x14ac:dyDescent="0.35">
      <c r="B1003" s="7" t="s">
        <v>236</v>
      </c>
      <c r="C1003" s="16">
        <v>-1.402768625520054</v>
      </c>
      <c r="D1003" s="16">
        <v>-1.4509391870716406</v>
      </c>
      <c r="E1003" s="16">
        <v>-2.5048651725595352</v>
      </c>
      <c r="F1003" s="16">
        <v>-5.4546044507136795</v>
      </c>
    </row>
    <row r="1004" spans="2:6" x14ac:dyDescent="0.35">
      <c r="B1004" s="7" t="s">
        <v>237</v>
      </c>
      <c r="C1004" s="16">
        <v>-2.4932400850046181</v>
      </c>
      <c r="D1004" s="16">
        <v>1.9494292894068319</v>
      </c>
      <c r="E1004" s="16">
        <v>10.646222192970685</v>
      </c>
      <c r="F1004" s="16">
        <v>14.364478994457244</v>
      </c>
    </row>
    <row r="1005" spans="2:6" x14ac:dyDescent="0.35">
      <c r="B1005" s="7" t="s">
        <v>238</v>
      </c>
      <c r="C1005" s="16">
        <v>1.9029759687875181</v>
      </c>
      <c r="D1005" s="16">
        <v>-1.494086444269586</v>
      </c>
      <c r="E1005" s="16">
        <v>-2.6477018729631765</v>
      </c>
      <c r="F1005" s="16">
        <v>-1.2466158357494899</v>
      </c>
    </row>
    <row r="1006" spans="2:6" x14ac:dyDescent="0.35">
      <c r="B1006" s="7" t="s">
        <v>239</v>
      </c>
      <c r="C1006" s="16">
        <v>2.4856082946753482</v>
      </c>
      <c r="D1006" s="16">
        <v>1.0262878860840898</v>
      </c>
      <c r="E1006" s="16">
        <v>4.2529004892467697</v>
      </c>
      <c r="F1006" s="16">
        <v>10.490666961233559</v>
      </c>
    </row>
    <row r="1007" spans="2:6" x14ac:dyDescent="0.35">
      <c r="B1007" s="7" t="s">
        <v>240</v>
      </c>
      <c r="C1007" s="16">
        <v>-0.63070290159114561</v>
      </c>
      <c r="D1007" s="16">
        <v>-2.8482702432000089</v>
      </c>
      <c r="E1007" s="16">
        <v>-6.1570992361129067</v>
      </c>
      <c r="F1007" s="16">
        <v>-8.8414696622831723</v>
      </c>
    </row>
    <row r="1008" spans="2:6" x14ac:dyDescent="0.35">
      <c r="B1008" s="7" t="s">
        <v>241</v>
      </c>
      <c r="C1008" s="16">
        <v>-5.6228974803572696</v>
      </c>
      <c r="D1008" s="16">
        <v>-3.472169030325758</v>
      </c>
      <c r="E1008" s="16">
        <v>-1.7486260278679924</v>
      </c>
      <c r="F1008" s="16">
        <v>-5.3354619204617872</v>
      </c>
    </row>
    <row r="1009" spans="2:6" x14ac:dyDescent="0.35">
      <c r="B1009" s="7" t="s">
        <v>242</v>
      </c>
      <c r="C1009" s="16">
        <v>0.46770143601287029</v>
      </c>
      <c r="D1009" s="16">
        <v>-3.5437345172010006E-2</v>
      </c>
      <c r="E1009" s="16">
        <v>1.2794127341691954</v>
      </c>
      <c r="F1009" s="16">
        <v>6.4333362343200138</v>
      </c>
    </row>
    <row r="1010" spans="2:6" x14ac:dyDescent="0.35">
      <c r="B1010" s="7" t="s">
        <v>243</v>
      </c>
      <c r="C1010" s="16">
        <v>-2.3359327722320651</v>
      </c>
      <c r="D1010" s="16">
        <v>-2.6690074791300193</v>
      </c>
      <c r="E1010" s="16">
        <v>-4.6380261224649066</v>
      </c>
      <c r="F1010" s="16">
        <v>-6.8568025952521703</v>
      </c>
    </row>
    <row r="1011" spans="2:6" x14ac:dyDescent="0.35">
      <c r="B1011" s="7" t="s">
        <v>244</v>
      </c>
      <c r="C1011" s="16">
        <v>-0.10598012191118471</v>
      </c>
      <c r="D1011" s="16">
        <v>1.5828404416397031</v>
      </c>
      <c r="E1011" s="16">
        <v>1.8765534664231103</v>
      </c>
      <c r="F1011" s="16">
        <v>5.7221630685307208</v>
      </c>
    </row>
    <row r="1012" spans="2:6" x14ac:dyDescent="0.35">
      <c r="B1012" s="7" t="s">
        <v>245</v>
      </c>
      <c r="C1012" s="16">
        <v>-0.63070290159114561</v>
      </c>
      <c r="D1012" s="16">
        <v>-0.9484835658385331</v>
      </c>
      <c r="E1012" s="16">
        <v>-0.60719318344134876</v>
      </c>
      <c r="F1012" s="16">
        <v>0.15875700845912893</v>
      </c>
    </row>
    <row r="1013" spans="2:6" x14ac:dyDescent="0.35">
      <c r="B1013" s="7" t="s">
        <v>246</v>
      </c>
      <c r="C1013" s="16">
        <v>1.0325964560001202</v>
      </c>
      <c r="D1013" s="16">
        <v>-2.6544952017792696</v>
      </c>
      <c r="E1013" s="16">
        <v>-4.8396883892578968</v>
      </c>
      <c r="F1013" s="16">
        <v>-5.435754605410219</v>
      </c>
    </row>
    <row r="1014" spans="2:6" x14ac:dyDescent="0.35">
      <c r="B1014" s="7" t="s">
        <v>247</v>
      </c>
      <c r="C1014" s="16">
        <v>2.53674896133287</v>
      </c>
      <c r="D1014" s="16">
        <v>1.3913211112541704</v>
      </c>
      <c r="E1014" s="16">
        <v>3.1295195901874782</v>
      </c>
      <c r="F1014" s="16">
        <v>9.2004224236373755</v>
      </c>
    </row>
    <row r="1015" spans="2:6" x14ac:dyDescent="0.35">
      <c r="B1015" s="7" t="s">
        <v>248</v>
      </c>
      <c r="C1015" s="16">
        <v>-0.97180030363634839</v>
      </c>
      <c r="D1015" s="16">
        <v>1.1362585744297837</v>
      </c>
      <c r="E1015" s="16">
        <v>8.947667296861167E-2</v>
      </c>
      <c r="F1015" s="16">
        <v>1.8562271854219621</v>
      </c>
    </row>
    <row r="1016" spans="2:6" x14ac:dyDescent="0.35">
      <c r="B1016" s="7" t="s">
        <v>249</v>
      </c>
      <c r="C1016" s="16">
        <v>7.1815573074747965E-2</v>
      </c>
      <c r="D1016" s="16">
        <v>2.2818351949848643</v>
      </c>
      <c r="E1016" s="16">
        <v>2.1810512910486852</v>
      </c>
      <c r="F1016" s="16">
        <v>5.7733994203382668</v>
      </c>
    </row>
    <row r="1017" spans="2:6" x14ac:dyDescent="0.35">
      <c r="B1017" s="7" t="s">
        <v>250</v>
      </c>
      <c r="C1017" s="16">
        <v>0.96532777960195459</v>
      </c>
      <c r="D1017" s="16">
        <v>0.10056434387144482</v>
      </c>
      <c r="E1017" s="16">
        <v>0.20378952190009675</v>
      </c>
      <c r="F1017" s="16">
        <v>3.8458390758141365</v>
      </c>
    </row>
    <row r="1018" spans="2:6" x14ac:dyDescent="0.35">
      <c r="B1018" s="7" t="s">
        <v>251</v>
      </c>
      <c r="C1018" s="16">
        <v>-2.100862799014219</v>
      </c>
      <c r="D1018" s="16">
        <v>-7.4263967771006634E-2</v>
      </c>
      <c r="E1018" s="16">
        <v>-2.4576180663851139</v>
      </c>
      <c r="F1018" s="16">
        <v>-2.8071760012472131</v>
      </c>
    </row>
    <row r="1019" spans="2:6" x14ac:dyDescent="0.35">
      <c r="B1019" s="7" t="s">
        <v>252</v>
      </c>
      <c r="C1019" s="16">
        <v>1.8029855079647412</v>
      </c>
      <c r="D1019" s="16">
        <v>2.0674824476732536</v>
      </c>
      <c r="E1019" s="16">
        <v>3.4987529726732967</v>
      </c>
      <c r="F1019" s="16">
        <v>9.1252303352555728</v>
      </c>
    </row>
    <row r="1020" spans="2:6" x14ac:dyDescent="0.35">
      <c r="B1020" s="7" t="s">
        <v>253</v>
      </c>
      <c r="C1020" s="16">
        <v>0.90639041597201409</v>
      </c>
      <c r="D1020" s="16">
        <v>-3.1757085589599963E-2</v>
      </c>
      <c r="E1020" s="16">
        <v>-0.47751152993702217</v>
      </c>
      <c r="F1020" s="16">
        <v>3.0812832298463904</v>
      </c>
    </row>
    <row r="1021" spans="2:6" x14ac:dyDescent="0.35">
      <c r="B1021" s="7" t="s">
        <v>254</v>
      </c>
      <c r="C1021" s="16">
        <v>-3.6291309176451562E-2</v>
      </c>
      <c r="D1021" s="16">
        <v>-0.59225324879225838</v>
      </c>
      <c r="E1021" s="16">
        <v>-2.1003681367089366</v>
      </c>
      <c r="F1021" s="16">
        <v>-0.39307554310409937</v>
      </c>
    </row>
    <row r="1022" spans="2:6" x14ac:dyDescent="0.35">
      <c r="B1022" s="7" t="s">
        <v>255</v>
      </c>
      <c r="C1022" s="16">
        <v>1.5604836201060004</v>
      </c>
      <c r="D1022" s="16">
        <v>2.6439579738599304</v>
      </c>
      <c r="E1022" s="16">
        <v>1.6488564920832336</v>
      </c>
      <c r="F1022" s="16">
        <v>6.6847431807054543</v>
      </c>
    </row>
    <row r="1023" spans="2:6" x14ac:dyDescent="0.35">
      <c r="B1023" s="7" t="s">
        <v>256</v>
      </c>
      <c r="C1023" s="16">
        <v>5.6359334646851185</v>
      </c>
      <c r="D1023" s="16">
        <v>6.5375177903053547</v>
      </c>
      <c r="E1023" s="16">
        <v>16.271737649773755</v>
      </c>
      <c r="F1023" s="16">
        <v>28.431650132951784</v>
      </c>
    </row>
    <row r="1024" spans="2:6" x14ac:dyDescent="0.35">
      <c r="B1024" s="7" t="s">
        <v>257</v>
      </c>
      <c r="C1024" s="16">
        <v>-3.1032920235742729</v>
      </c>
      <c r="D1024" s="16">
        <v>0.22769370581637663</v>
      </c>
      <c r="E1024" s="16">
        <v>-1.1250383010612146</v>
      </c>
      <c r="F1024" s="16">
        <v>-0.43410300538382268</v>
      </c>
    </row>
    <row r="1025" spans="2:6" x14ac:dyDescent="0.35">
      <c r="B1025" s="7" t="s">
        <v>258</v>
      </c>
      <c r="C1025" s="16">
        <v>4.5167166523186732E-2</v>
      </c>
      <c r="D1025" s="16">
        <v>2.4685636156219042</v>
      </c>
      <c r="E1025" s="16">
        <v>1.6800074481121692</v>
      </c>
      <c r="F1025" s="16">
        <v>4.1664540738285778</v>
      </c>
    </row>
    <row r="1026" spans="2:6" x14ac:dyDescent="0.35">
      <c r="B1026" s="7" t="s">
        <v>259</v>
      </c>
      <c r="C1026" s="16">
        <v>4.7261168618685078E-3</v>
      </c>
      <c r="D1026" s="16">
        <v>2.0253786225061998</v>
      </c>
      <c r="E1026" s="16">
        <v>0.2196475322823809</v>
      </c>
      <c r="F1026" s="16">
        <v>1.9088505494230754</v>
      </c>
    </row>
    <row r="1027" spans="2:6" x14ac:dyDescent="0.35">
      <c r="B1027" s="7" t="s">
        <v>260</v>
      </c>
      <c r="C1027" s="16">
        <v>-1.402768625520054</v>
      </c>
      <c r="D1027" s="16">
        <v>-0.99133118572153534</v>
      </c>
      <c r="E1027" s="16">
        <v>-4.666378799595793</v>
      </c>
      <c r="F1027" s="16">
        <v>-2.8915064098174241</v>
      </c>
    </row>
    <row r="1028" spans="2:6" x14ac:dyDescent="0.35">
      <c r="B1028" s="7" t="s">
        <v>261</v>
      </c>
      <c r="C1028" s="16">
        <v>-0.73411548807912219</v>
      </c>
      <c r="D1028" s="16">
        <v>3.8622448451951699</v>
      </c>
      <c r="E1028" s="16">
        <v>4.6262126355276862</v>
      </c>
      <c r="F1028" s="16">
        <v>8.5004839491940345</v>
      </c>
    </row>
    <row r="1029" spans="2:6" x14ac:dyDescent="0.35">
      <c r="B1029" s="7" t="s">
        <v>262</v>
      </c>
      <c r="C1029" s="16">
        <v>-0.56376948145112671</v>
      </c>
      <c r="D1029" s="16">
        <v>1.5064349816923903</v>
      </c>
      <c r="E1029" s="16">
        <v>-0.50982839078843101</v>
      </c>
      <c r="F1029" s="16">
        <v>6.9475571928573926E-2</v>
      </c>
    </row>
    <row r="1030" spans="2:6" x14ac:dyDescent="0.35">
      <c r="B1030" s="7" t="s">
        <v>263</v>
      </c>
      <c r="C1030" s="16">
        <v>-3.0244375746041148</v>
      </c>
      <c r="D1030" s="16">
        <v>-0.99087268863747735</v>
      </c>
      <c r="E1030" s="16">
        <v>-5.1872850520068834</v>
      </c>
      <c r="F1030" s="16">
        <v>-8.0820114944625931</v>
      </c>
    </row>
    <row r="1031" spans="2:6" x14ac:dyDescent="0.35">
      <c r="B1031" s="7" t="s">
        <v>264</v>
      </c>
      <c r="C1031" s="16">
        <v>-1.9363604641307721</v>
      </c>
      <c r="D1031" s="16">
        <v>1.5281236464560475</v>
      </c>
      <c r="E1031" s="16">
        <v>-7.6938781909118195E-2</v>
      </c>
      <c r="F1031" s="16">
        <v>0.38749300385712515</v>
      </c>
    </row>
    <row r="1032" spans="2:6" x14ac:dyDescent="0.35">
      <c r="B1032" s="7" t="s">
        <v>265</v>
      </c>
      <c r="C1032" s="16">
        <v>-3.6763858132239897</v>
      </c>
      <c r="D1032" s="16">
        <v>-4.2031275594461306</v>
      </c>
      <c r="E1032" s="16">
        <v>-7.7953088938373751</v>
      </c>
      <c r="F1032" s="16">
        <v>-11.612089194050094</v>
      </c>
    </row>
    <row r="1033" spans="2:6" x14ac:dyDescent="0.35">
      <c r="B1033" s="7" t="s">
        <v>266</v>
      </c>
      <c r="C1033" s="16">
        <v>-6.2651062601208105</v>
      </c>
      <c r="D1033" s="16">
        <v>-2.3145258002299429</v>
      </c>
      <c r="E1033" s="16">
        <v>-9.752281172734909</v>
      </c>
      <c r="F1033" s="16">
        <v>-17.884282455778898</v>
      </c>
    </row>
    <row r="1034" spans="2:6" x14ac:dyDescent="0.35">
      <c r="B1034" s="7" t="s">
        <v>267</v>
      </c>
      <c r="C1034" s="16">
        <v>-3.1032920235742729</v>
      </c>
      <c r="D1034" s="16">
        <v>-3.6887583470122212</v>
      </c>
      <c r="E1034" s="16">
        <v>-7.2777615265801519</v>
      </c>
      <c r="F1034" s="16">
        <v>-9.4777324232169207</v>
      </c>
    </row>
    <row r="1035" spans="2:6" x14ac:dyDescent="0.35">
      <c r="B1035" s="7" t="s">
        <v>268</v>
      </c>
      <c r="C1035" s="16">
        <v>-0.9909233463875925</v>
      </c>
      <c r="D1035" s="16">
        <v>0.51483633551077168</v>
      </c>
      <c r="E1035" s="16">
        <v>-2.3307944584282887</v>
      </c>
      <c r="F1035" s="16">
        <v>3.8568324647844814</v>
      </c>
    </row>
    <row r="1036" spans="2:6" x14ac:dyDescent="0.35">
      <c r="B1036" s="7" t="s">
        <v>269</v>
      </c>
      <c r="C1036" s="16">
        <v>-0.41862911427753818</v>
      </c>
      <c r="D1036" s="16">
        <v>2.2191757984220191</v>
      </c>
      <c r="E1036" s="16">
        <v>0.97791246700903967</v>
      </c>
      <c r="F1036" s="16">
        <v>2.710135820517475</v>
      </c>
    </row>
    <row r="1037" spans="2:6" x14ac:dyDescent="0.35">
      <c r="B1037" s="7" t="s">
        <v>270</v>
      </c>
      <c r="C1037" s="16">
        <v>2.0600592452835769</v>
      </c>
      <c r="D1037" s="16">
        <v>3.7783015091243426</v>
      </c>
      <c r="E1037" s="16">
        <v>5.5223373809852667</v>
      </c>
      <c r="F1037" s="16">
        <v>13.168909292280173</v>
      </c>
    </row>
    <row r="1038" spans="2:6" x14ac:dyDescent="0.35">
      <c r="B1038" s="7" t="s">
        <v>271</v>
      </c>
      <c r="C1038" s="16">
        <v>0.37371733470203722</v>
      </c>
      <c r="D1038" s="16">
        <v>0.35538816001334061</v>
      </c>
      <c r="E1038" s="16">
        <v>0.84002666567471018</v>
      </c>
      <c r="F1038" s="16">
        <v>5.4423574417502598</v>
      </c>
    </row>
    <row r="1039" spans="2:6" x14ac:dyDescent="0.35">
      <c r="B1039" s="7" t="s">
        <v>272</v>
      </c>
      <c r="C1039" s="16">
        <v>-1.1690012127885627</v>
      </c>
      <c r="D1039" s="16">
        <v>-0.30559368635432527</v>
      </c>
      <c r="E1039" s="16">
        <v>-1.616733651318071</v>
      </c>
      <c r="F1039" s="16">
        <v>0.71865741268368899</v>
      </c>
    </row>
    <row r="1040" spans="2:6" x14ac:dyDescent="0.35">
      <c r="B1040" s="7" t="s">
        <v>273</v>
      </c>
      <c r="C1040" s="16">
        <v>-0.71661994881818891</v>
      </c>
      <c r="D1040" s="16">
        <v>-2.0062269784961524</v>
      </c>
      <c r="E1040" s="16">
        <v>-1.528734324022335</v>
      </c>
      <c r="F1040" s="16">
        <v>0.55372140541250114</v>
      </c>
    </row>
    <row r="1041" spans="2:6" x14ac:dyDescent="0.35">
      <c r="B1041" s="7" t="s">
        <v>274</v>
      </c>
      <c r="C1041" s="16">
        <v>-0.10598012191118471</v>
      </c>
      <c r="D1041" s="16">
        <v>-1.2399526673966683</v>
      </c>
      <c r="E1041" s="16">
        <v>-0.20329945890473686</v>
      </c>
      <c r="F1041" s="16">
        <v>2.8442616577617832</v>
      </c>
    </row>
    <row r="1042" spans="2:6" x14ac:dyDescent="0.35">
      <c r="B1042" s="7" t="s">
        <v>275</v>
      </c>
      <c r="C1042" s="16">
        <v>0.31337954098214482</v>
      </c>
      <c r="D1042" s="16">
        <v>-0.21407040725172397</v>
      </c>
      <c r="E1042" s="16">
        <v>1.2619582826403268</v>
      </c>
      <c r="F1042" s="16">
        <v>5.2323769829086952</v>
      </c>
    </row>
    <row r="1043" spans="2:6" x14ac:dyDescent="0.35">
      <c r="B1043" s="7" t="s">
        <v>276</v>
      </c>
      <c r="C1043" s="16">
        <v>0.86641744915231844</v>
      </c>
      <c r="D1043" s="16">
        <v>0.76396852271665416</v>
      </c>
      <c r="E1043" s="16">
        <v>2.5357015377788725</v>
      </c>
      <c r="F1043" s="16">
        <v>7.3923093867530998</v>
      </c>
    </row>
    <row r="1044" spans="2:6" x14ac:dyDescent="0.35">
      <c r="B1044" s="7" t="s">
        <v>277</v>
      </c>
      <c r="C1044" s="16">
        <v>1.3894625795015081</v>
      </c>
      <c r="D1044" s="16">
        <v>0.60691842541496632</v>
      </c>
      <c r="E1044" s="16">
        <v>0.33898845744098322</v>
      </c>
      <c r="F1044" s="16">
        <v>4.6824460002178521</v>
      </c>
    </row>
    <row r="1045" spans="2:6" x14ac:dyDescent="0.35">
      <c r="B1045" s="7" t="s">
        <v>278</v>
      </c>
      <c r="C1045" s="16">
        <v>2.1772793663568568</v>
      </c>
      <c r="D1045" s="16">
        <v>1.6008444683274087E-2</v>
      </c>
      <c r="E1045" s="16">
        <v>0.13628734077526439</v>
      </c>
      <c r="F1045" s="16">
        <v>2.5758282776019099</v>
      </c>
    </row>
    <row r="1046" spans="2:6" x14ac:dyDescent="0.35">
      <c r="B1046" s="7" t="s">
        <v>279</v>
      </c>
      <c r="C1046" s="16">
        <v>4.1593708786470449</v>
      </c>
      <c r="D1046" s="16">
        <v>2.4711175445427882</v>
      </c>
      <c r="E1046" s="16">
        <v>4.6023036734624956</v>
      </c>
      <c r="F1046" s="16">
        <v>10.41192356042945</v>
      </c>
    </row>
    <row r="1047" spans="2:6" x14ac:dyDescent="0.35">
      <c r="B1047" s="7" t="s">
        <v>280</v>
      </c>
      <c r="C1047" s="16">
        <v>2.2960413617376116</v>
      </c>
      <c r="D1047" s="16">
        <v>-1.1168102574547061</v>
      </c>
      <c r="E1047" s="16">
        <v>-2.24498068879093</v>
      </c>
      <c r="F1047" s="16">
        <v>-0.89328134959288985</v>
      </c>
    </row>
    <row r="1048" spans="2:6" x14ac:dyDescent="0.35">
      <c r="B1048" s="7" t="s">
        <v>281</v>
      </c>
      <c r="C1048" s="16">
        <v>1.9029759687875181</v>
      </c>
      <c r="D1048" s="16">
        <v>-1.9418085260740625</v>
      </c>
      <c r="E1048" s="16">
        <v>-3.6226766226155367</v>
      </c>
      <c r="F1048" s="16">
        <v>-2.9123139259019606</v>
      </c>
    </row>
    <row r="1049" spans="2:6" x14ac:dyDescent="0.35">
      <c r="B1049" s="7" t="s">
        <v>282</v>
      </c>
      <c r="C1049" s="16">
        <v>2.7484226257079212</v>
      </c>
      <c r="D1049" s="16">
        <v>-1.3090047354973051</v>
      </c>
      <c r="E1049" s="16">
        <v>-0.40469427940426139</v>
      </c>
      <c r="F1049" s="16">
        <v>2.2407279873884129</v>
      </c>
    </row>
    <row r="1050" spans="2:6" x14ac:dyDescent="0.35">
      <c r="B1050" s="7" t="s">
        <v>283</v>
      </c>
      <c r="C1050" s="16">
        <v>0.70073099273587092</v>
      </c>
      <c r="D1050" s="16">
        <v>-3.6758134644902487</v>
      </c>
      <c r="E1050" s="16">
        <v>-5.7009297683675424</v>
      </c>
      <c r="F1050" s="16">
        <v>-6.7372910071706498</v>
      </c>
    </row>
    <row r="1051" spans="2:6" x14ac:dyDescent="0.35">
      <c r="B1051" s="7" t="s">
        <v>284</v>
      </c>
      <c r="C1051" s="16">
        <v>4.06820465251855</v>
      </c>
      <c r="D1051" s="16">
        <v>0.81052765967363138</v>
      </c>
      <c r="E1051" s="16">
        <v>3.1551326705158189</v>
      </c>
      <c r="F1051" s="16">
        <v>7.4505731593795979</v>
      </c>
    </row>
    <row r="1052" spans="2:6" x14ac:dyDescent="0.35">
      <c r="B1052" s="7" t="s">
        <v>285</v>
      </c>
      <c r="C1052" s="16">
        <v>4.7433053028109553</v>
      </c>
      <c r="D1052" s="16">
        <v>1.8961236232127181</v>
      </c>
      <c r="E1052" s="16">
        <v>5.0116281237196425</v>
      </c>
      <c r="F1052" s="16">
        <v>10.776270271039424</v>
      </c>
    </row>
    <row r="1053" spans="2:6" x14ac:dyDescent="0.35">
      <c r="B1053" s="7" t="s">
        <v>286</v>
      </c>
      <c r="C1053" s="16">
        <v>0.70073099273587092</v>
      </c>
      <c r="D1053" s="16">
        <v>-2.5005660588741203</v>
      </c>
      <c r="E1053" s="16">
        <v>-4.4477977656179606</v>
      </c>
      <c r="F1053" s="16">
        <v>-5.6717970470018217</v>
      </c>
    </row>
    <row r="1054" spans="2:6" x14ac:dyDescent="0.35">
      <c r="B1054" s="7" t="s">
        <v>287</v>
      </c>
      <c r="C1054" s="16">
        <v>2.4741192281385818</v>
      </c>
      <c r="D1054" s="16">
        <v>-0.1644235496986296</v>
      </c>
      <c r="E1054" s="16">
        <v>2.0741349547086121</v>
      </c>
      <c r="F1054" s="16">
        <v>4.0800451428203468</v>
      </c>
    </row>
    <row r="1055" spans="2:6" x14ac:dyDescent="0.35">
      <c r="B1055" s="7" t="s">
        <v>288</v>
      </c>
      <c r="C1055" s="16">
        <v>0.23926366803666402</v>
      </c>
      <c r="D1055" s="16">
        <v>-2.6782264985874296</v>
      </c>
      <c r="E1055" s="16">
        <v>-3.6409031116753239</v>
      </c>
      <c r="F1055" s="16">
        <v>-6.0023227021029806</v>
      </c>
    </row>
    <row r="1056" spans="2:6" x14ac:dyDescent="0.35">
      <c r="B1056" s="7" t="s">
        <v>289</v>
      </c>
      <c r="C1056" s="16">
        <v>1.9029759687875181</v>
      </c>
      <c r="D1056" s="16">
        <v>0.14557043054120367</v>
      </c>
      <c r="E1056" s="16">
        <v>1.0449932058291658</v>
      </c>
      <c r="F1056" s="16">
        <v>2.3839176998190399</v>
      </c>
    </row>
    <row r="1057" spans="2:6" x14ac:dyDescent="0.35">
      <c r="B1057" s="7" t="s">
        <v>290</v>
      </c>
      <c r="C1057" s="16">
        <v>3.3164245269024462</v>
      </c>
      <c r="D1057" s="16">
        <v>1.9047856440053597</v>
      </c>
      <c r="E1057" s="16">
        <v>4.3162970368980771</v>
      </c>
      <c r="F1057" s="16">
        <v>8.1968470242487683</v>
      </c>
    </row>
    <row r="1058" spans="2:6" x14ac:dyDescent="0.35">
      <c r="B1058" s="7" t="s">
        <v>291</v>
      </c>
      <c r="C1058" s="16">
        <v>3.3590624526149897</v>
      </c>
      <c r="D1058" s="16">
        <v>4.0816177909081075</v>
      </c>
      <c r="E1058" s="16">
        <v>7.9479023438296128</v>
      </c>
      <c r="F1058" s="16">
        <v>13.23802314491784</v>
      </c>
    </row>
    <row r="1059" spans="2:6" x14ac:dyDescent="0.35">
      <c r="B1059" s="7" t="s">
        <v>292</v>
      </c>
      <c r="C1059" s="16">
        <v>3.1392604586819646</v>
      </c>
      <c r="D1059" s="16">
        <v>3.9566924331267308</v>
      </c>
      <c r="E1059" s="16">
        <v>7.24854602722721</v>
      </c>
      <c r="F1059" s="16">
        <v>12.633897863805753</v>
      </c>
    </row>
    <row r="1060" spans="2:6" x14ac:dyDescent="0.35">
      <c r="B1060" s="7" t="s">
        <v>293</v>
      </c>
      <c r="C1060" s="16">
        <v>-0.63070290159114561</v>
      </c>
      <c r="D1060" s="16">
        <v>-0.24296477782655992</v>
      </c>
      <c r="E1060" s="16">
        <v>-2.4512702374705428</v>
      </c>
      <c r="F1060" s="16">
        <v>-0.39682320862641812</v>
      </c>
    </row>
    <row r="1061" spans="2:6" x14ac:dyDescent="0.35">
      <c r="B1061" s="7" t="s">
        <v>294</v>
      </c>
      <c r="C1061" s="16">
        <v>1.9723288992384624</v>
      </c>
      <c r="D1061" s="16">
        <v>2.0926497711292895</v>
      </c>
      <c r="E1061" s="16">
        <v>6.2562970181856832</v>
      </c>
      <c r="F1061" s="16">
        <v>11.166272125767616</v>
      </c>
    </row>
    <row r="1062" spans="2:6" x14ac:dyDescent="0.35">
      <c r="B1062" s="7" t="s">
        <v>295</v>
      </c>
      <c r="C1062" s="16">
        <v>1.5286821103954027</v>
      </c>
      <c r="D1062" s="16">
        <v>3.2512487634037583</v>
      </c>
      <c r="E1062" s="16">
        <v>7.4511333393432198</v>
      </c>
      <c r="F1062" s="16">
        <v>9.3711579943138297</v>
      </c>
    </row>
    <row r="1063" spans="2:6" x14ac:dyDescent="0.35">
      <c r="B1063" s="7" t="s">
        <v>296</v>
      </c>
      <c r="C1063" s="16">
        <v>-4.4559659209137665</v>
      </c>
      <c r="D1063" s="16">
        <v>-2.0614431338564172</v>
      </c>
      <c r="E1063" s="16">
        <v>-0.50082403856185487</v>
      </c>
      <c r="F1063" s="16">
        <v>-2.8536295529438118</v>
      </c>
    </row>
    <row r="1064" spans="2:6" x14ac:dyDescent="0.35">
      <c r="B1064" s="7" t="s">
        <v>297</v>
      </c>
      <c r="C1064" s="16">
        <v>-2.5586521585541608</v>
      </c>
      <c r="D1064" s="16">
        <v>-0.15213641807802789</v>
      </c>
      <c r="E1064" s="16">
        <v>4.2991860804955939</v>
      </c>
      <c r="F1064" s="16">
        <v>4.179592369237958</v>
      </c>
    </row>
    <row r="1065" spans="2:6" x14ac:dyDescent="0.35">
      <c r="B1065" s="7" t="s">
        <v>298</v>
      </c>
      <c r="C1065" s="16">
        <v>-2.8000636855947021</v>
      </c>
      <c r="D1065" s="16">
        <v>-0.61825753902381242</v>
      </c>
      <c r="E1065" s="16">
        <v>2.765090533867935</v>
      </c>
      <c r="F1065" s="16">
        <v>1.4402115982293562</v>
      </c>
    </row>
    <row r="1066" spans="2:6" x14ac:dyDescent="0.35">
      <c r="B1066" s="7" t="s">
        <v>299</v>
      </c>
      <c r="C1066" s="16">
        <v>-2.3054773838488227</v>
      </c>
      <c r="D1066" s="16">
        <v>1.7754373662824292E-2</v>
      </c>
      <c r="E1066" s="16">
        <v>3.1631897724617426</v>
      </c>
      <c r="F1066" s="16">
        <v>2.9266694059552418</v>
      </c>
    </row>
    <row r="1067" spans="2:6" x14ac:dyDescent="0.35">
      <c r="B1067" s="7" t="s">
        <v>300</v>
      </c>
      <c r="C1067" s="16">
        <v>-3.1032920235742729</v>
      </c>
      <c r="D1067" s="16">
        <v>-1.4779150763278706</v>
      </c>
      <c r="E1067" s="16">
        <v>0.10891942434466156</v>
      </c>
      <c r="F1067" s="16">
        <v>-3.1601346790216596</v>
      </c>
    </row>
    <row r="1068" spans="2:6" x14ac:dyDescent="0.35">
      <c r="B1068" s="7" t="s">
        <v>301</v>
      </c>
      <c r="C1068" s="16">
        <v>-3.6763858132239897</v>
      </c>
      <c r="D1068" s="16">
        <v>-1.9148541656194391</v>
      </c>
      <c r="E1068" s="16">
        <v>-9.7770987200468715E-2</v>
      </c>
      <c r="F1068" s="16">
        <v>-1.3792994281277724</v>
      </c>
    </row>
    <row r="1069" spans="2:6" x14ac:dyDescent="0.35">
      <c r="B1069" s="7" t="s">
        <v>302</v>
      </c>
      <c r="C1069" s="16">
        <v>-0.9909233463875925</v>
      </c>
      <c r="D1069" s="16">
        <v>0.92109718867442858</v>
      </c>
      <c r="E1069" s="16">
        <v>5.2827234015255629</v>
      </c>
      <c r="F1069" s="16">
        <v>8.1205407424223033</v>
      </c>
    </row>
    <row r="1070" spans="2:6" x14ac:dyDescent="0.35">
      <c r="B1070" s="7" t="s">
        <v>303</v>
      </c>
      <c r="C1070" s="16">
        <v>-2.157854905831095</v>
      </c>
      <c r="D1070" s="16">
        <v>0.46930283576765303</v>
      </c>
      <c r="E1070" s="16">
        <v>5.653693042298733</v>
      </c>
      <c r="F1070" s="16">
        <v>6.4381189666010394</v>
      </c>
    </row>
    <row r="1071" spans="2:6" x14ac:dyDescent="0.35">
      <c r="B1071" s="7" t="s">
        <v>304</v>
      </c>
      <c r="C1071" s="16">
        <v>-0.16297222872806069</v>
      </c>
      <c r="D1071" s="16">
        <v>3.4347301943787834</v>
      </c>
      <c r="E1071" s="16">
        <v>8.7733313046273675</v>
      </c>
      <c r="F1071" s="16">
        <v>10.662800040825068</v>
      </c>
    </row>
    <row r="1072" spans="2:6" x14ac:dyDescent="0.35">
      <c r="B1072" s="7" t="s">
        <v>305</v>
      </c>
      <c r="C1072" s="16">
        <v>-0.9909233463875925</v>
      </c>
      <c r="D1072" s="16">
        <v>1.8084682909188883</v>
      </c>
      <c r="E1072" s="16">
        <v>3.3212629008978083</v>
      </c>
      <c r="F1072" s="16">
        <v>2.7028592449607478</v>
      </c>
    </row>
    <row r="1073" spans="2:6" x14ac:dyDescent="0.35">
      <c r="B1073" s="7" t="s">
        <v>306</v>
      </c>
      <c r="C1073" s="16">
        <v>-1.0884922611310877</v>
      </c>
      <c r="D1073" s="16">
        <v>1.4056321807761414</v>
      </c>
      <c r="E1073" s="16">
        <v>3.0885544367699143</v>
      </c>
      <c r="F1073" s="16">
        <v>5.4871226450676431</v>
      </c>
    </row>
    <row r="1074" spans="2:6" x14ac:dyDescent="0.35">
      <c r="B1074" s="7" t="s">
        <v>307</v>
      </c>
      <c r="C1074" s="16">
        <v>4.1336167260680945</v>
      </c>
      <c r="D1074" s="16">
        <v>4.6399829836905822</v>
      </c>
      <c r="E1074" s="16">
        <v>2.1402125299366941</v>
      </c>
      <c r="F1074" s="16">
        <v>-0.95850189125524254</v>
      </c>
    </row>
    <row r="1075" spans="2:6" x14ac:dyDescent="0.35">
      <c r="B1075" s="7" t="s">
        <v>308</v>
      </c>
      <c r="C1075" s="16">
        <v>5.6359334646851185</v>
      </c>
      <c r="D1075" s="16">
        <v>3.5129148875903122</v>
      </c>
      <c r="E1075" s="16">
        <v>5.0545576201451112</v>
      </c>
      <c r="F1075" s="16">
        <v>4.6455738596469933</v>
      </c>
    </row>
    <row r="1076" spans="2:6" x14ac:dyDescent="0.35">
      <c r="B1076" s="7" t="s">
        <v>309</v>
      </c>
      <c r="C1076" s="16">
        <v>5.9172054064469943</v>
      </c>
      <c r="D1076" s="16">
        <v>4.335115114038592</v>
      </c>
      <c r="E1076" s="16">
        <v>7.2007416538413738</v>
      </c>
      <c r="F1076" s="16">
        <v>6.4460301303009375</v>
      </c>
    </row>
    <row r="1077" spans="2:6" x14ac:dyDescent="0.35">
      <c r="B1077" s="7" t="s">
        <v>310</v>
      </c>
      <c r="C1077" s="16">
        <v>4.8232909328295905</v>
      </c>
      <c r="D1077" s="16">
        <v>1.8107916089375573</v>
      </c>
      <c r="E1077" s="16">
        <v>2.2236364592463582</v>
      </c>
      <c r="F1077" s="16">
        <v>-0.20894746887234514</v>
      </c>
    </row>
    <row r="1078" spans="2:6" x14ac:dyDescent="0.35">
      <c r="B1078" s="7" t="s">
        <v>311</v>
      </c>
      <c r="C1078" s="16">
        <v>6.417464102673482</v>
      </c>
      <c r="D1078" s="16">
        <v>3.9115409415432962</v>
      </c>
      <c r="E1078" s="16">
        <v>6.3116184388739978</v>
      </c>
      <c r="F1078" s="16">
        <v>7.0302129905096198</v>
      </c>
    </row>
    <row r="1079" spans="2:6" x14ac:dyDescent="0.35">
      <c r="B1079" s="7" t="s">
        <v>312</v>
      </c>
      <c r="C1079" s="16">
        <v>7.1233098083370301</v>
      </c>
      <c r="D1079" s="16">
        <v>4.7319504107944308</v>
      </c>
      <c r="E1079" s="16">
        <v>7.5412676776236687</v>
      </c>
      <c r="F1079" s="16">
        <v>9.0036106388541306</v>
      </c>
    </row>
    <row r="1080" spans="2:6" x14ac:dyDescent="0.35">
      <c r="B1080" s="7" t="s">
        <v>313</v>
      </c>
      <c r="C1080" s="16">
        <v>2.9062309019589665</v>
      </c>
      <c r="D1080" s="16">
        <v>2.7660661947657563</v>
      </c>
      <c r="E1080" s="16">
        <v>2.7376681696073577</v>
      </c>
      <c r="F1080" s="16">
        <v>-1.3233847068453295</v>
      </c>
    </row>
    <row r="1081" spans="2:6" x14ac:dyDescent="0.35">
      <c r="B1081" s="7" t="s">
        <v>314</v>
      </c>
      <c r="C1081" s="16">
        <v>2.9455888807400683</v>
      </c>
      <c r="D1081" s="16">
        <v>0.81853227419480556</v>
      </c>
      <c r="E1081" s="16">
        <v>-1.1340322527731217</v>
      </c>
      <c r="F1081" s="16">
        <v>-5.5328931920674034</v>
      </c>
    </row>
    <row r="1082" spans="2:6" x14ac:dyDescent="0.35">
      <c r="B1082" s="7" t="s">
        <v>315</v>
      </c>
      <c r="C1082" s="16">
        <v>4.7719424280957012</v>
      </c>
      <c r="D1082" s="16">
        <v>2.6579973303106996</v>
      </c>
      <c r="E1082" s="16">
        <v>4.5913450980390618</v>
      </c>
      <c r="F1082" s="16">
        <v>7.257641771598923</v>
      </c>
    </row>
    <row r="1083" spans="2:6" x14ac:dyDescent="0.35">
      <c r="B1083" s="7" t="s">
        <v>316</v>
      </c>
      <c r="C1083" s="16">
        <v>5.4291368262428685</v>
      </c>
      <c r="D1083" s="16">
        <v>3.6439748940140277</v>
      </c>
      <c r="E1083" s="16">
        <v>6.0554549524903543</v>
      </c>
      <c r="F1083" s="16">
        <v>9.3956251838836451</v>
      </c>
    </row>
    <row r="1084" spans="2:6" x14ac:dyDescent="0.35">
      <c r="B1084" s="7" t="s">
        <v>317</v>
      </c>
      <c r="C1084" s="16">
        <v>4.4108583651845592</v>
      </c>
      <c r="D1084" s="16">
        <v>3.2305025831075564</v>
      </c>
      <c r="E1084" s="16">
        <v>5.0472617463903591</v>
      </c>
      <c r="F1084" s="16">
        <v>6.5319862838176359</v>
      </c>
    </row>
    <row r="1085" spans="2:6" x14ac:dyDescent="0.35">
      <c r="B1085" s="7" t="s">
        <v>318</v>
      </c>
      <c r="C1085" s="16">
        <v>1.9309180071601273</v>
      </c>
      <c r="D1085" s="16">
        <v>0.30168988700871024</v>
      </c>
      <c r="E1085" s="16">
        <v>-1.3536711554243539</v>
      </c>
      <c r="F1085" s="16">
        <v>-3.7083628721372612</v>
      </c>
    </row>
    <row r="1086" spans="2:6" x14ac:dyDescent="0.35">
      <c r="B1086" s="7" t="s">
        <v>319</v>
      </c>
      <c r="C1086" s="16">
        <v>2.1836536930942128</v>
      </c>
      <c r="D1086" s="16">
        <v>3.3375541229540051</v>
      </c>
      <c r="E1086" s="16">
        <v>0.67469231013533026</v>
      </c>
      <c r="F1086" s="16">
        <v>0.79916839750195134</v>
      </c>
    </row>
    <row r="1087" spans="2:6" x14ac:dyDescent="0.35">
      <c r="B1087" s="7" t="s">
        <v>320</v>
      </c>
      <c r="C1087" s="16">
        <v>-0.29548702194677745</v>
      </c>
      <c r="D1087" s="16">
        <v>4.4666656062323433</v>
      </c>
      <c r="E1087" s="16">
        <v>6.7486712211403965</v>
      </c>
      <c r="F1087" s="16">
        <v>14.27792627485441</v>
      </c>
    </row>
    <row r="1088" spans="2:6" x14ac:dyDescent="0.35">
      <c r="B1088" s="7" t="s">
        <v>321</v>
      </c>
      <c r="C1088" s="16">
        <v>-2.3054773838488227</v>
      </c>
      <c r="D1088" s="16">
        <v>2.2650772486965538</v>
      </c>
      <c r="E1088" s="16">
        <v>2.1116361113327131</v>
      </c>
      <c r="F1088" s="16">
        <v>6.1431152118396568</v>
      </c>
    </row>
    <row r="1089" spans="2:6" x14ac:dyDescent="0.35">
      <c r="B1089" s="7" t="s">
        <v>322</v>
      </c>
      <c r="C1089" s="16">
        <v>-0.41862911427753818</v>
      </c>
      <c r="D1089" s="16">
        <v>-2.1883429032418205</v>
      </c>
      <c r="E1089" s="16">
        <v>-3.7093713315825734</v>
      </c>
      <c r="F1089" s="16">
        <v>-3.1955063527219218</v>
      </c>
    </row>
    <row r="1090" spans="2:6" x14ac:dyDescent="0.35">
      <c r="B1090" s="7" t="s">
        <v>323</v>
      </c>
      <c r="C1090" s="16">
        <v>-2.7289981651821575</v>
      </c>
      <c r="D1090" s="16">
        <v>-3.9981978362582091</v>
      </c>
      <c r="E1090" s="16">
        <v>-8.4339983961425631</v>
      </c>
      <c r="F1090" s="16">
        <v>-11.208660749431679</v>
      </c>
    </row>
    <row r="1091" spans="2:6" x14ac:dyDescent="0.35">
      <c r="B1091" s="7" t="s">
        <v>324</v>
      </c>
      <c r="C1091" s="16">
        <v>-2.0727844558583697</v>
      </c>
      <c r="D1091" s="16">
        <v>0.46594519268399948</v>
      </c>
      <c r="E1091" s="16">
        <v>-3.61116774315505</v>
      </c>
      <c r="F1091" s="16">
        <v>-2.0358023737057755</v>
      </c>
    </row>
    <row r="1092" spans="2:6" x14ac:dyDescent="0.35">
      <c r="B1092" s="7" t="s">
        <v>325</v>
      </c>
      <c r="C1092" s="16">
        <v>-1.9631328185428136</v>
      </c>
      <c r="D1092" s="16">
        <v>-4.4551487019554772</v>
      </c>
      <c r="E1092" s="16">
        <v>-6.7650939031937805</v>
      </c>
      <c r="F1092" s="16">
        <v>-8.3566953539680782</v>
      </c>
    </row>
    <row r="1093" spans="2:6" x14ac:dyDescent="0.35">
      <c r="B1093" s="7" t="s">
        <v>326</v>
      </c>
      <c r="C1093" s="16">
        <v>-1.3807148214714</v>
      </c>
      <c r="D1093" s="16">
        <v>-2.0475700173473625</v>
      </c>
      <c r="E1093" s="16">
        <v>-2.2028808443890289</v>
      </c>
      <c r="F1093" s="16">
        <v>-1.9945407955484842</v>
      </c>
    </row>
    <row r="1094" spans="2:6" x14ac:dyDescent="0.35">
      <c r="B1094" s="7" t="s">
        <v>327</v>
      </c>
      <c r="C1094" s="16">
        <v>0.36175055095190028</v>
      </c>
      <c r="D1094" s="16">
        <v>-3.2709873308264674</v>
      </c>
      <c r="E1094" s="16">
        <v>-2.1699826646781148</v>
      </c>
      <c r="F1094" s="16">
        <v>0.10985138440059559</v>
      </c>
    </row>
    <row r="1095" spans="2:6" x14ac:dyDescent="0.35">
      <c r="B1095" s="7" t="s">
        <v>328</v>
      </c>
      <c r="C1095" s="16">
        <v>-1.402768625520054</v>
      </c>
      <c r="D1095" s="16">
        <v>-3.9047579953581644</v>
      </c>
      <c r="E1095" s="16">
        <v>-5.0617565135920541</v>
      </c>
      <c r="F1095" s="16">
        <v>-5.6616787912714086</v>
      </c>
    </row>
    <row r="1096" spans="2:6" x14ac:dyDescent="0.35">
      <c r="B1096" s="7" t="s">
        <v>329</v>
      </c>
      <c r="C1096" s="16">
        <v>-0.51457157667738684</v>
      </c>
      <c r="D1096" s="16">
        <v>-2.6279860950307659</v>
      </c>
      <c r="E1096" s="16">
        <v>-2.8766653140137595</v>
      </c>
      <c r="F1096" s="16">
        <v>-1.9198654409300895</v>
      </c>
    </row>
    <row r="1097" spans="2:6" x14ac:dyDescent="0.35">
      <c r="B1097" s="7" t="s">
        <v>330</v>
      </c>
      <c r="C1097" s="16">
        <v>-1.7059969634996925</v>
      </c>
      <c r="D1097" s="16">
        <v>-2.271700422520091</v>
      </c>
      <c r="E1097" s="16">
        <v>-2.8550005269866401</v>
      </c>
      <c r="F1097" s="16">
        <v>-3.2690155349139252</v>
      </c>
    </row>
    <row r="1098" spans="2:6" x14ac:dyDescent="0.35">
      <c r="B1098" s="7" t="s">
        <v>331</v>
      </c>
      <c r="C1098" s="16">
        <v>-0.63070290159114561</v>
      </c>
      <c r="D1098" s="16">
        <v>-0.80099288208916386</v>
      </c>
      <c r="E1098" s="16">
        <v>-1.1912109573090277</v>
      </c>
      <c r="F1098" s="16">
        <v>-3.9509491491576398E-2</v>
      </c>
    </row>
    <row r="1099" spans="2:6" x14ac:dyDescent="0.35">
      <c r="B1099" s="7" t="s">
        <v>332</v>
      </c>
      <c r="C1099" s="16">
        <v>-0.87804584584016088</v>
      </c>
      <c r="D1099" s="16">
        <v>1.0432792134829201</v>
      </c>
      <c r="E1099" s="16">
        <v>2.4665555658868636</v>
      </c>
      <c r="F1099" s="16">
        <v>5.8859245933688502</v>
      </c>
    </row>
    <row r="1100" spans="2:6" x14ac:dyDescent="0.35">
      <c r="B1100" s="7" t="s">
        <v>333</v>
      </c>
      <c r="C1100" s="16">
        <v>0.9943499483477044</v>
      </c>
      <c r="D1100" s="16">
        <v>4.1384387435242012</v>
      </c>
      <c r="E1100" s="16">
        <v>7.3571906494232495</v>
      </c>
      <c r="F1100" s="16">
        <v>15.157118210807878</v>
      </c>
    </row>
    <row r="1101" spans="2:6" x14ac:dyDescent="0.35">
      <c r="B1101" s="7" t="s">
        <v>334</v>
      </c>
      <c r="C1101" s="16">
        <v>-0.38734611773753819</v>
      </c>
      <c r="D1101" s="16">
        <v>1.4078614843244435</v>
      </c>
      <c r="E1101" s="16">
        <v>0.87945963324282772</v>
      </c>
      <c r="F1101" s="16">
        <v>5.0135533612812537</v>
      </c>
    </row>
    <row r="1102" spans="2:6" x14ac:dyDescent="0.35">
      <c r="B1102" s="7" t="s">
        <v>335</v>
      </c>
      <c r="C1102" s="16">
        <v>-1.9901565602411655</v>
      </c>
      <c r="D1102" s="16">
        <v>3.2857652488232851E-2</v>
      </c>
      <c r="E1102" s="16">
        <v>-4.0095049561324316</v>
      </c>
      <c r="F1102" s="16">
        <v>-2.6571785721272958</v>
      </c>
    </row>
    <row r="1103" spans="2:6" x14ac:dyDescent="0.35">
      <c r="B1103" s="7" t="s">
        <v>336</v>
      </c>
      <c r="C1103" s="16">
        <v>-2.6255855786941811</v>
      </c>
      <c r="D1103" s="16">
        <v>-0.56879495352558673</v>
      </c>
      <c r="E1103" s="16">
        <v>-5.5194168207994814</v>
      </c>
      <c r="F1103" s="16">
        <v>-5.2440179955513253</v>
      </c>
    </row>
    <row r="1104" spans="2:6" x14ac:dyDescent="0.35">
      <c r="B1104" s="7" t="s">
        <v>337</v>
      </c>
      <c r="C1104" s="16">
        <v>-0.9528034865093965</v>
      </c>
      <c r="D1104" s="16">
        <v>1.6450922670779822</v>
      </c>
      <c r="E1104" s="16">
        <v>-1.9204896145913102</v>
      </c>
      <c r="F1104" s="16">
        <v>1.6106135519556415</v>
      </c>
    </row>
    <row r="1105" spans="2:6" x14ac:dyDescent="0.35">
      <c r="B1105" s="7" t="s">
        <v>338</v>
      </c>
      <c r="C1105" s="16">
        <v>-1.424992730899951</v>
      </c>
      <c r="D1105" s="16">
        <v>0.64876211763058111</v>
      </c>
      <c r="E1105" s="16">
        <v>0.38997353109843719</v>
      </c>
      <c r="F1105" s="16">
        <v>8.7326925906297412E-2</v>
      </c>
    </row>
    <row r="1106" spans="2:6" x14ac:dyDescent="0.35">
      <c r="B1106" s="7" t="s">
        <v>339</v>
      </c>
      <c r="C1106" s="16">
        <v>-1.4927136752877124</v>
      </c>
      <c r="D1106" s="16">
        <v>-1.6144989750461336</v>
      </c>
      <c r="E1106" s="16">
        <v>-2.7913879218175555</v>
      </c>
      <c r="F1106" s="16">
        <v>-5.8487052071043228</v>
      </c>
    </row>
    <row r="1107" spans="2:6" x14ac:dyDescent="0.35">
      <c r="B1107" s="7" t="s">
        <v>340</v>
      </c>
      <c r="C1107" s="16">
        <v>1.1075976344182599</v>
      </c>
      <c r="D1107" s="16">
        <v>-1.5898889621631653</v>
      </c>
      <c r="E1107" s="16">
        <v>-3.1462123125477897</v>
      </c>
      <c r="F1107" s="16">
        <v>-4.3797225215128055</v>
      </c>
    </row>
    <row r="1108" spans="2:6" x14ac:dyDescent="0.35">
      <c r="B1108" s="7" t="s">
        <v>341</v>
      </c>
      <c r="C1108" s="16">
        <v>1.5997476308078826</v>
      </c>
      <c r="D1108" s="16">
        <v>-0.93024999632746086</v>
      </c>
      <c r="E1108" s="16">
        <v>-2.0262426335165293</v>
      </c>
      <c r="F1108" s="16">
        <v>-2.481044817479281</v>
      </c>
    </row>
    <row r="1109" spans="2:6" x14ac:dyDescent="0.35">
      <c r="B1109" s="7" t="s">
        <v>342</v>
      </c>
      <c r="C1109" s="16">
        <v>0.31337954098214482</v>
      </c>
      <c r="D1109" s="16">
        <v>0.92269533548317684</v>
      </c>
      <c r="E1109" s="16">
        <v>1.0124712105428006</v>
      </c>
      <c r="F1109" s="16">
        <v>0.88439967208240533</v>
      </c>
    </row>
    <row r="1110" spans="2:6" x14ac:dyDescent="0.35">
      <c r="B1110" s="7" t="s">
        <v>343</v>
      </c>
      <c r="C1110" s="16">
        <v>-4.0398600823866975</v>
      </c>
      <c r="D1110" s="16">
        <v>0.10641496194996568</v>
      </c>
      <c r="E1110" s="16">
        <v>-2.6980263762144112</v>
      </c>
      <c r="F1110" s="16">
        <v>-1.7474035896591316</v>
      </c>
    </row>
    <row r="1111" spans="2:6" x14ac:dyDescent="0.35">
      <c r="B1111" s="7" t="s">
        <v>344</v>
      </c>
      <c r="C1111" s="16">
        <v>-1.9631328185428136</v>
      </c>
      <c r="D1111" s="16">
        <v>2.1856439827361545</v>
      </c>
      <c r="E1111" s="16">
        <v>1.1690765175326006</v>
      </c>
      <c r="F1111" s="16">
        <v>4.767591192573934</v>
      </c>
    </row>
    <row r="1112" spans="2:6" x14ac:dyDescent="0.35">
      <c r="B1112" s="7" t="s">
        <v>345</v>
      </c>
      <c r="C1112" s="16">
        <v>0.53622865785242124</v>
      </c>
      <c r="D1112" s="16">
        <v>-2.4935047819303899</v>
      </c>
      <c r="E1112" s="16">
        <v>-4.0461744464612153</v>
      </c>
      <c r="F1112" s="16">
        <v>-6.0329905298827349</v>
      </c>
    </row>
    <row r="1113" spans="2:6" x14ac:dyDescent="0.35">
      <c r="B1113" s="7" t="s">
        <v>346</v>
      </c>
      <c r="C1113" s="16">
        <v>2.3204314004672715</v>
      </c>
      <c r="D1113" s="16">
        <v>-1.1579359403561842</v>
      </c>
      <c r="E1113" s="16">
        <v>-1.5203806241935272</v>
      </c>
      <c r="F1113" s="16">
        <v>-1.0151056051880423</v>
      </c>
    </row>
    <row r="1114" spans="2:6" x14ac:dyDescent="0.35">
      <c r="B1114" s="7" t="s">
        <v>347</v>
      </c>
      <c r="C1114" s="16">
        <v>1.3726320792241677</v>
      </c>
      <c r="D1114" s="16">
        <v>-0.16664839821872571</v>
      </c>
      <c r="E1114" s="16">
        <v>-2.1867623522760091</v>
      </c>
      <c r="F1114" s="16">
        <v>-1.1277412754120715</v>
      </c>
    </row>
    <row r="1115" spans="2:6" x14ac:dyDescent="0.35">
      <c r="B1115" s="7" t="s">
        <v>348</v>
      </c>
      <c r="C1115" s="16">
        <v>2.2341463451396977</v>
      </c>
      <c r="D1115" s="16">
        <v>1.9600187081781908</v>
      </c>
      <c r="E1115" s="16">
        <v>1.6108034078780427</v>
      </c>
      <c r="F1115" s="16">
        <v>4.3381719454543637</v>
      </c>
    </row>
    <row r="1116" spans="2:6" x14ac:dyDescent="0.35">
      <c r="B1116" s="7" t="s">
        <v>349</v>
      </c>
      <c r="C1116" s="16">
        <v>3.1301093942299234</v>
      </c>
      <c r="D1116" s="16">
        <v>-8.9032938911408344E-2</v>
      </c>
      <c r="E1116" s="16">
        <v>0.17405829923703023</v>
      </c>
      <c r="F1116" s="16">
        <v>1.1018050519126963</v>
      </c>
    </row>
    <row r="1117" spans="2:6" x14ac:dyDescent="0.35">
      <c r="B1117" s="7" t="s">
        <v>350</v>
      </c>
      <c r="C1117" s="16">
        <v>0.66857415154198452</v>
      </c>
      <c r="D1117" s="16">
        <v>-2.0915442666700796</v>
      </c>
      <c r="E1117" s="16">
        <v>-4.1843576752582017</v>
      </c>
      <c r="F1117" s="16">
        <v>-8.018166087559818</v>
      </c>
    </row>
    <row r="1118" spans="2:6" x14ac:dyDescent="0.35">
      <c r="B1118" s="7" t="s">
        <v>351</v>
      </c>
      <c r="C1118" s="16">
        <v>0.30115868463457501</v>
      </c>
      <c r="D1118" s="16">
        <v>-2.4595198802978504</v>
      </c>
      <c r="E1118" s="16">
        <v>-5.1050338852456685</v>
      </c>
      <c r="F1118" s="16">
        <v>-9.6573869238785868</v>
      </c>
    </row>
    <row r="1119" spans="2:6" x14ac:dyDescent="0.35">
      <c r="B1119" s="7" t="s">
        <v>352</v>
      </c>
      <c r="C1119" s="16">
        <v>0.64693489662547743</v>
      </c>
      <c r="D1119" s="16">
        <v>-2.7472334663676916</v>
      </c>
      <c r="E1119" s="16">
        <v>-4.8513132099731706</v>
      </c>
      <c r="F1119" s="16">
        <v>-7.1856429559253803</v>
      </c>
    </row>
    <row r="1120" spans="2:6" x14ac:dyDescent="0.35">
      <c r="B1120" s="7" t="s">
        <v>353</v>
      </c>
      <c r="C1120" s="16">
        <v>0.15031154818935369</v>
      </c>
      <c r="D1120" s="16">
        <v>-2.3847393652688584</v>
      </c>
      <c r="E1120" s="16">
        <v>-5.7827221897478669</v>
      </c>
      <c r="F1120" s="16">
        <v>-10.648113520113506</v>
      </c>
    </row>
    <row r="1121" spans="2:6" x14ac:dyDescent="0.35">
      <c r="B1121" s="7" t="s">
        <v>354</v>
      </c>
      <c r="C1121" s="16">
        <v>4.751143729840801</v>
      </c>
      <c r="D1121" s="16">
        <v>0.86497919851790561</v>
      </c>
      <c r="E1121" s="16">
        <v>0.376231060466233</v>
      </c>
      <c r="F1121" s="16">
        <v>-1.505522515485068</v>
      </c>
    </row>
    <row r="1122" spans="2:6" x14ac:dyDescent="0.35">
      <c r="B1122" s="7" t="s">
        <v>355</v>
      </c>
      <c r="C1122" s="16">
        <v>5.7098054283677149</v>
      </c>
      <c r="D1122" s="16">
        <v>2.1435247075735822</v>
      </c>
      <c r="E1122" s="16">
        <v>1.5359129985679647</v>
      </c>
      <c r="F1122" s="16">
        <v>0.31574340067869494</v>
      </c>
    </row>
    <row r="1123" spans="2:6" x14ac:dyDescent="0.35">
      <c r="B1123" s="7" t="s">
        <v>356</v>
      </c>
      <c r="C1123" s="16">
        <v>1.2165572974941588</v>
      </c>
      <c r="D1123" s="16">
        <v>-0.49950379579725462</v>
      </c>
      <c r="E1123" s="16">
        <v>-3.8621926601321501</v>
      </c>
      <c r="F1123" s="16">
        <v>-4.9637335323166489</v>
      </c>
    </row>
    <row r="1124" spans="2:6" x14ac:dyDescent="0.35">
      <c r="B1124" s="7" t="s">
        <v>357</v>
      </c>
      <c r="C1124" s="16">
        <v>2.4970516789184232</v>
      </c>
      <c r="D1124" s="16">
        <v>2.0371868255797474</v>
      </c>
      <c r="E1124" s="16">
        <v>-0.37945387074747899</v>
      </c>
      <c r="F1124" s="16">
        <v>0.89327137326185824</v>
      </c>
    </row>
    <row r="1125" spans="2:6" x14ac:dyDescent="0.35">
      <c r="B1125" s="7" t="s">
        <v>358</v>
      </c>
      <c r="C1125" s="16">
        <v>1.3043082213859252</v>
      </c>
      <c r="D1125" s="16">
        <v>0.62035547658831092</v>
      </c>
      <c r="E1125" s="16">
        <v>-2.0293276070246971</v>
      </c>
      <c r="F1125" s="16">
        <v>-0.67261429438265152</v>
      </c>
    </row>
    <row r="1126" spans="2:6" x14ac:dyDescent="0.35">
      <c r="B1126" s="7" t="s">
        <v>359</v>
      </c>
      <c r="C1126" s="16">
        <v>1.7664156722766777</v>
      </c>
      <c r="D1126" s="16">
        <v>1.3957422767456866</v>
      </c>
      <c r="E1126" s="16">
        <v>-2.2372276896602372</v>
      </c>
      <c r="F1126" s="16">
        <v>-0.26555279087254358</v>
      </c>
    </row>
    <row r="1127" spans="2:6" x14ac:dyDescent="0.35">
      <c r="B1127" s="7" t="s">
        <v>360</v>
      </c>
      <c r="C1127" s="16">
        <v>3.5075312789245023</v>
      </c>
      <c r="D1127" s="16">
        <v>4.5060713658389941</v>
      </c>
      <c r="E1127" s="16">
        <v>2.7656361691159361</v>
      </c>
      <c r="F1127" s="16">
        <v>4.5376473062471074</v>
      </c>
    </row>
    <row r="1128" spans="2:6" x14ac:dyDescent="0.35">
      <c r="B1128" s="7" t="s">
        <v>361</v>
      </c>
      <c r="C1128" s="16">
        <v>-9.0879400548834095</v>
      </c>
      <c r="D1128" s="16">
        <v>-5.6779538882992187</v>
      </c>
      <c r="E1128" s="16">
        <v>-15.237569907622879</v>
      </c>
      <c r="F1128" s="16">
        <v>-23.797048654338326</v>
      </c>
    </row>
    <row r="1129" spans="2:6" x14ac:dyDescent="0.35">
      <c r="B1129" s="7" t="s">
        <v>362</v>
      </c>
      <c r="C1129" s="16">
        <v>-2.9476861636124299</v>
      </c>
      <c r="D1129" s="16">
        <v>1.3879565825525069</v>
      </c>
      <c r="E1129" s="16">
        <v>-1.0842501173259567</v>
      </c>
      <c r="F1129" s="16">
        <v>0.94742501964109416</v>
      </c>
    </row>
    <row r="1130" spans="2:6" x14ac:dyDescent="0.35">
      <c r="B1130" s="7" t="s">
        <v>363</v>
      </c>
      <c r="C1130" s="16">
        <v>-5.2626770355607562</v>
      </c>
      <c r="D1130" s="16">
        <v>-1.0340359022049195</v>
      </c>
      <c r="E1130" s="16">
        <v>-6.4668526284969783</v>
      </c>
      <c r="F1130" s="16">
        <v>-8.3727903839119939</v>
      </c>
    </row>
    <row r="1131" spans="2:6" x14ac:dyDescent="0.35">
      <c r="B1131" s="7" t="s">
        <v>364</v>
      </c>
      <c r="C1131" s="16">
        <v>-7.4320378195643784</v>
      </c>
      <c r="D1131" s="16">
        <v>-3.3214300603755937</v>
      </c>
      <c r="E1131" s="16">
        <v>-11.369835826093899</v>
      </c>
      <c r="F1131" s="16">
        <v>-16.692934656847207</v>
      </c>
    </row>
    <row r="1132" spans="2:6" x14ac:dyDescent="0.35">
      <c r="B1132" s="7" t="s">
        <v>365</v>
      </c>
      <c r="C1132" s="16">
        <v>-1.0101743034189763</v>
      </c>
      <c r="D1132" s="16">
        <v>1.3873183708192531</v>
      </c>
      <c r="E1132" s="16">
        <v>1.5371179211435528</v>
      </c>
      <c r="F1132" s="16">
        <v>5.5201914820410654</v>
      </c>
    </row>
    <row r="1133" spans="2:6" x14ac:dyDescent="0.35">
      <c r="B1133" s="7" t="s">
        <v>366</v>
      </c>
      <c r="C1133" s="16">
        <v>0.44449157356525015</v>
      </c>
      <c r="D1133" s="16">
        <v>2.7732329686143018</v>
      </c>
      <c r="E1133" s="16">
        <v>3.4759798532799642</v>
      </c>
      <c r="F1133" s="16">
        <v>7.6241209423710981</v>
      </c>
    </row>
    <row r="1134" spans="2:6" x14ac:dyDescent="0.35">
      <c r="B1134" s="7" t="s">
        <v>367</v>
      </c>
      <c r="C1134" s="16">
        <v>5.4373714737646361</v>
      </c>
      <c r="D1134" s="16">
        <v>3.7299102856092898</v>
      </c>
      <c r="E1134" s="16">
        <v>4.9653715743190299</v>
      </c>
      <c r="F1134" s="16">
        <v>2.5142745225040173</v>
      </c>
    </row>
    <row r="1135" spans="2:6" ht="15" thickBot="1" x14ac:dyDescent="0.4">
      <c r="B1135" s="11" t="s">
        <v>368</v>
      </c>
      <c r="C1135" s="17">
        <v>0.70073099273587092</v>
      </c>
      <c r="D1135" s="17">
        <v>4.2358777751680528</v>
      </c>
      <c r="E1135" s="17">
        <v>13.690702724451535</v>
      </c>
      <c r="F1135" s="17">
        <v>20.35260649496276</v>
      </c>
    </row>
    <row r="1138" spans="2:6" x14ac:dyDescent="0.35">
      <c r="B1138" s="6" t="s">
        <v>375</v>
      </c>
    </row>
    <row r="1139" spans="2:6" ht="15" thickBot="1" x14ac:dyDescent="0.4"/>
    <row r="1140" spans="2:6" ht="29" x14ac:dyDescent="0.35">
      <c r="B1140" s="8" t="s">
        <v>134</v>
      </c>
      <c r="C1140" s="9" t="s">
        <v>109</v>
      </c>
      <c r="D1140" s="9" t="s">
        <v>110</v>
      </c>
      <c r="E1140" s="9" t="s">
        <v>111</v>
      </c>
      <c r="F1140" s="9" t="s">
        <v>112</v>
      </c>
    </row>
    <row r="1141" spans="2:6" x14ac:dyDescent="0.35">
      <c r="B1141" s="22" t="s">
        <v>135</v>
      </c>
      <c r="C1141" s="23">
        <v>3.7093071253943619</v>
      </c>
      <c r="D1141" s="23">
        <v>3.7677289204214897</v>
      </c>
      <c r="E1141" s="23">
        <v>3.4887467732570467</v>
      </c>
      <c r="F1141" s="23">
        <v>-0.79142029161775274</v>
      </c>
    </row>
    <row r="1142" spans="2:6" x14ac:dyDescent="0.35">
      <c r="B1142" s="7" t="s">
        <v>136</v>
      </c>
      <c r="C1142" s="16">
        <v>-0.8688362144759213</v>
      </c>
      <c r="D1142" s="16">
        <v>-1.3163448580434665</v>
      </c>
      <c r="E1142" s="16">
        <v>-5.4371617987722001</v>
      </c>
      <c r="F1142" s="16">
        <v>-15.80132586123724</v>
      </c>
    </row>
    <row r="1143" spans="2:6" x14ac:dyDescent="0.35">
      <c r="B1143" s="7" t="s">
        <v>137</v>
      </c>
      <c r="C1143" s="16">
        <v>-0.16297222872806069</v>
      </c>
      <c r="D1143" s="16">
        <v>2.0204445043952184</v>
      </c>
      <c r="E1143" s="16">
        <v>-2.0723127860221617</v>
      </c>
      <c r="F1143" s="16">
        <v>-10.162022780680411</v>
      </c>
    </row>
    <row r="1144" spans="2:6" x14ac:dyDescent="0.35">
      <c r="B1144" s="7" t="s">
        <v>138</v>
      </c>
      <c r="C1144" s="16">
        <v>4.3545122691406846</v>
      </c>
      <c r="D1144" s="16">
        <v>5.1951426995084669</v>
      </c>
      <c r="E1144" s="16">
        <v>8.0383349394008956</v>
      </c>
      <c r="F1144" s="16">
        <v>10.00207450478254</v>
      </c>
    </row>
    <row r="1145" spans="2:6" x14ac:dyDescent="0.35">
      <c r="B1145" s="7" t="s">
        <v>139</v>
      </c>
      <c r="C1145" s="16">
        <v>5.7116748713339751</v>
      </c>
      <c r="D1145" s="16">
        <v>7.0149364624241271</v>
      </c>
      <c r="E1145" s="16">
        <v>6.7380656873174409</v>
      </c>
      <c r="F1145" s="16">
        <v>6.7123199676300951</v>
      </c>
    </row>
    <row r="1146" spans="2:6" x14ac:dyDescent="0.35">
      <c r="B1146" s="7" t="s">
        <v>140</v>
      </c>
      <c r="C1146" s="16">
        <v>4.631264919007525</v>
      </c>
      <c r="D1146" s="16">
        <v>3.8698387951425404</v>
      </c>
      <c r="E1146" s="16">
        <v>4.0922706085921856</v>
      </c>
      <c r="F1146" s="16">
        <v>-0.25794299614917698</v>
      </c>
    </row>
    <row r="1147" spans="2:6" x14ac:dyDescent="0.35">
      <c r="B1147" s="7" t="s">
        <v>141</v>
      </c>
      <c r="C1147" s="16">
        <v>3.660173830333326</v>
      </c>
      <c r="D1147" s="16">
        <v>1.5402591050341972</v>
      </c>
      <c r="E1147" s="16">
        <v>1.891492248070223</v>
      </c>
      <c r="F1147" s="16">
        <v>-2.6669920941134952</v>
      </c>
    </row>
    <row r="1148" spans="2:6" x14ac:dyDescent="0.35">
      <c r="B1148" s="7" t="s">
        <v>142</v>
      </c>
      <c r="C1148" s="16">
        <v>5.9808769251533977</v>
      </c>
      <c r="D1148" s="16">
        <v>6.8405667101880798</v>
      </c>
      <c r="E1148" s="16">
        <v>11.229498361318651</v>
      </c>
      <c r="F1148" s="16">
        <v>15.877588214053553</v>
      </c>
    </row>
    <row r="1149" spans="2:6" x14ac:dyDescent="0.35">
      <c r="B1149" s="7" t="s">
        <v>143</v>
      </c>
      <c r="C1149" s="16">
        <v>4.257046621673072</v>
      </c>
      <c r="D1149" s="16">
        <v>3.33927404245087</v>
      </c>
      <c r="E1149" s="16">
        <v>5.8065081981002296</v>
      </c>
      <c r="F1149" s="16">
        <v>5.3654505337836289</v>
      </c>
    </row>
    <row r="1150" spans="2:6" x14ac:dyDescent="0.35">
      <c r="B1150" s="7" t="s">
        <v>144</v>
      </c>
      <c r="C1150" s="16">
        <v>-2.0727844558583697</v>
      </c>
      <c r="D1150" s="16">
        <v>-3.9645049659884943</v>
      </c>
      <c r="E1150" s="16">
        <v>-10.367301820202282</v>
      </c>
      <c r="F1150" s="16">
        <v>-22.834398606524353</v>
      </c>
    </row>
    <row r="1151" spans="2:6" x14ac:dyDescent="0.35">
      <c r="B1151" s="7" t="s">
        <v>145</v>
      </c>
      <c r="C1151" s="16">
        <v>3.6942783322592931</v>
      </c>
      <c r="D1151" s="16">
        <v>1.1115736517563786</v>
      </c>
      <c r="E1151" s="16">
        <v>1.7688844942143465</v>
      </c>
      <c r="F1151" s="16">
        <v>-2.4745320512401232</v>
      </c>
    </row>
    <row r="1152" spans="2:6" x14ac:dyDescent="0.35">
      <c r="B1152" s="7" t="s">
        <v>146</v>
      </c>
      <c r="C1152" s="16">
        <v>8.5298327798602305</v>
      </c>
      <c r="D1152" s="16">
        <v>8.3080333996621398</v>
      </c>
      <c r="E1152" s="16">
        <v>13.64491262531849</v>
      </c>
      <c r="F1152" s="16">
        <v>16.967083561018814</v>
      </c>
    </row>
    <row r="1153" spans="2:6" x14ac:dyDescent="0.35">
      <c r="B1153" s="7" t="s">
        <v>147</v>
      </c>
      <c r="C1153" s="16">
        <v>5.224088185552656</v>
      </c>
      <c r="D1153" s="16">
        <v>3.6925327446010989</v>
      </c>
      <c r="E1153" s="16">
        <v>3.8411940590876812</v>
      </c>
      <c r="F1153" s="16">
        <v>3.515257923896855E-2</v>
      </c>
    </row>
    <row r="1154" spans="2:6" x14ac:dyDescent="0.35">
      <c r="B1154" s="7" t="s">
        <v>148</v>
      </c>
      <c r="C1154" s="16">
        <v>3.5235647874984366</v>
      </c>
      <c r="D1154" s="16">
        <v>3.3485146246431063</v>
      </c>
      <c r="E1154" s="16">
        <v>4.5962204198300238</v>
      </c>
      <c r="F1154" s="16">
        <v>1.9717132465403584</v>
      </c>
    </row>
    <row r="1155" spans="2:6" x14ac:dyDescent="0.35">
      <c r="B1155" s="7" t="s">
        <v>149</v>
      </c>
      <c r="C1155" s="16">
        <v>-4.1527375829341286</v>
      </c>
      <c r="D1155" s="16">
        <v>-3.3449147865485025</v>
      </c>
      <c r="E1155" s="16">
        <v>-11.715474402677192</v>
      </c>
      <c r="F1155" s="16">
        <v>-25.279807278843297</v>
      </c>
    </row>
    <row r="1156" spans="2:6" x14ac:dyDescent="0.35">
      <c r="B1156" s="7" t="s">
        <v>150</v>
      </c>
      <c r="C1156" s="16">
        <v>4.3304535514369613</v>
      </c>
      <c r="D1156" s="16">
        <v>5.7971973180951801</v>
      </c>
      <c r="E1156" s="16">
        <v>6.8294622782177372</v>
      </c>
      <c r="F1156" s="16">
        <v>8.8285293884376408</v>
      </c>
    </row>
    <row r="1157" spans="2:6" x14ac:dyDescent="0.35">
      <c r="B1157" s="7" t="s">
        <v>151</v>
      </c>
      <c r="C1157" s="16">
        <v>3.5395094673143768</v>
      </c>
      <c r="D1157" s="16">
        <v>0.99431339309510458</v>
      </c>
      <c r="E1157" s="16">
        <v>1.5979216774457832</v>
      </c>
      <c r="F1157" s="16">
        <v>-0.2911367849892213</v>
      </c>
    </row>
    <row r="1158" spans="2:6" x14ac:dyDescent="0.35">
      <c r="B1158" s="7" t="s">
        <v>152</v>
      </c>
      <c r="C1158" s="16">
        <v>3.2775027224130979</v>
      </c>
      <c r="D1158" s="16">
        <v>0.89983487950825392</v>
      </c>
      <c r="E1158" s="16">
        <v>0.15695009664062748</v>
      </c>
      <c r="F1158" s="16">
        <v>-3.1281931843921309</v>
      </c>
    </row>
    <row r="1159" spans="2:6" x14ac:dyDescent="0.35">
      <c r="B1159" s="7" t="s">
        <v>153</v>
      </c>
      <c r="C1159" s="16">
        <v>8.0826740841195548</v>
      </c>
      <c r="D1159" s="16">
        <v>5.2331839125765143</v>
      </c>
      <c r="E1159" s="16">
        <v>7.6759581572231523</v>
      </c>
      <c r="F1159" s="16">
        <v>7.6874606126482883</v>
      </c>
    </row>
    <row r="1160" spans="2:6" x14ac:dyDescent="0.35">
      <c r="B1160" s="7" t="s">
        <v>154</v>
      </c>
      <c r="C1160" s="16">
        <v>5.224088185552656</v>
      </c>
      <c r="D1160" s="16">
        <v>3.7922658736591481</v>
      </c>
      <c r="E1160" s="16">
        <v>5.5020708498312247</v>
      </c>
      <c r="F1160" s="16">
        <v>2.5857084602391134</v>
      </c>
    </row>
    <row r="1161" spans="2:6" x14ac:dyDescent="0.35">
      <c r="B1161" s="7" t="s">
        <v>155</v>
      </c>
      <c r="C1161" s="16">
        <v>3.7905912978903444</v>
      </c>
      <c r="D1161" s="16">
        <v>0.8873649470795133</v>
      </c>
      <c r="E1161" s="16">
        <v>1.9063370311623831</v>
      </c>
      <c r="F1161" s="16">
        <v>0.38866542285988737</v>
      </c>
    </row>
    <row r="1162" spans="2:6" x14ac:dyDescent="0.35">
      <c r="B1162" s="7" t="s">
        <v>156</v>
      </c>
      <c r="C1162" s="16">
        <v>6.2332812377744586</v>
      </c>
      <c r="D1162" s="16">
        <v>4.0087052421440257</v>
      </c>
      <c r="E1162" s="16">
        <v>6.5321242042249938</v>
      </c>
      <c r="F1162" s="16">
        <v>7.5560146227577256</v>
      </c>
    </row>
    <row r="1163" spans="2:6" x14ac:dyDescent="0.35">
      <c r="B1163" s="7" t="s">
        <v>157</v>
      </c>
      <c r="C1163" s="16">
        <v>4.4690019052416163</v>
      </c>
      <c r="D1163" s="16">
        <v>5.2560077008898736</v>
      </c>
      <c r="E1163" s="16">
        <v>3.3456491134590203</v>
      </c>
      <c r="F1163" s="16">
        <v>1.3795022596938893</v>
      </c>
    </row>
    <row r="1164" spans="2:6" x14ac:dyDescent="0.35">
      <c r="B1164" s="7" t="s">
        <v>158</v>
      </c>
      <c r="C1164" s="16">
        <v>7.4322541508676698</v>
      </c>
      <c r="D1164" s="16">
        <v>5.6356661818706932</v>
      </c>
      <c r="E1164" s="16">
        <v>7.2337417678542293</v>
      </c>
      <c r="F1164" s="16">
        <v>7.516743504146798</v>
      </c>
    </row>
    <row r="1165" spans="2:6" x14ac:dyDescent="0.35">
      <c r="B1165" s="7" t="s">
        <v>159</v>
      </c>
      <c r="C1165" s="16">
        <v>2.4159756880815215</v>
      </c>
      <c r="D1165" s="16">
        <v>-0.2521076013180914</v>
      </c>
      <c r="E1165" s="16">
        <v>-4.0036408906534282</v>
      </c>
      <c r="F1165" s="16">
        <v>-11.993970073482977</v>
      </c>
    </row>
    <row r="1166" spans="2:6" x14ac:dyDescent="0.35">
      <c r="B1166" s="7" t="s">
        <v>160</v>
      </c>
      <c r="C1166" s="16">
        <v>-5.8214594712777492</v>
      </c>
      <c r="D1166" s="16">
        <v>-1.5982830047113146</v>
      </c>
      <c r="E1166" s="16">
        <v>-5.4156289772601598</v>
      </c>
      <c r="F1166" s="16">
        <v>-7.1398233517384924</v>
      </c>
    </row>
    <row r="1167" spans="2:6" x14ac:dyDescent="0.35">
      <c r="B1167" s="7" t="s">
        <v>161</v>
      </c>
      <c r="C1167" s="16">
        <v>3.3759423094807097</v>
      </c>
      <c r="D1167" s="16">
        <v>0.87995151198818811</v>
      </c>
      <c r="E1167" s="16">
        <v>1.2475198558097442</v>
      </c>
      <c r="F1167" s="16">
        <v>1.4428584478141424</v>
      </c>
    </row>
    <row r="1168" spans="2:6" x14ac:dyDescent="0.35">
      <c r="B1168" s="7" t="s">
        <v>162</v>
      </c>
      <c r="C1168" s="16">
        <v>4.06820465251855</v>
      </c>
      <c r="D1168" s="16">
        <v>4.7574459819849899</v>
      </c>
      <c r="E1168" s="16">
        <v>6.7755508026530045</v>
      </c>
      <c r="F1168" s="16">
        <v>9.3868114565586076</v>
      </c>
    </row>
    <row r="1169" spans="2:6" x14ac:dyDescent="0.35">
      <c r="B1169" s="7" t="s">
        <v>163</v>
      </c>
      <c r="C1169" s="16">
        <v>-1.1486618536092281</v>
      </c>
      <c r="D1169" s="16">
        <v>0.85570732777632297</v>
      </c>
      <c r="E1169" s="16">
        <v>-4.9129396282088447</v>
      </c>
      <c r="F1169" s="16">
        <v>-9.1535107445251143</v>
      </c>
    </row>
    <row r="1170" spans="2:6" x14ac:dyDescent="0.35">
      <c r="B1170" s="7" t="s">
        <v>164</v>
      </c>
      <c r="C1170" s="16">
        <v>5.3518281694567236</v>
      </c>
      <c r="D1170" s="16">
        <v>2.7137541189543914</v>
      </c>
      <c r="E1170" s="16">
        <v>5.4502951280013434</v>
      </c>
      <c r="F1170" s="16">
        <v>9.4695754336041027</v>
      </c>
    </row>
    <row r="1171" spans="2:6" x14ac:dyDescent="0.35">
      <c r="B1171" s="7" t="s">
        <v>165</v>
      </c>
      <c r="C1171" s="16">
        <v>-6.1476202600371641</v>
      </c>
      <c r="D1171" s="16">
        <v>-1.9776618944034363</v>
      </c>
      <c r="E1171" s="16">
        <v>-6.2627246552156164</v>
      </c>
      <c r="F1171" s="16">
        <v>-8.2519548756343966</v>
      </c>
    </row>
    <row r="1172" spans="2:6" x14ac:dyDescent="0.35">
      <c r="B1172" s="7" t="s">
        <v>166</v>
      </c>
      <c r="C1172" s="16">
        <v>-2.9476861636124299</v>
      </c>
      <c r="D1172" s="16">
        <v>-1.1462256900432819</v>
      </c>
      <c r="E1172" s="16">
        <v>-4.6026627575904415</v>
      </c>
      <c r="F1172" s="16">
        <v>-7.2968517538170881</v>
      </c>
    </row>
    <row r="1173" spans="2:6" x14ac:dyDescent="0.35">
      <c r="B1173" s="7" t="s">
        <v>167</v>
      </c>
      <c r="C1173" s="16">
        <v>5.6320935610529181</v>
      </c>
      <c r="D1173" s="16">
        <v>3.4001805468192763</v>
      </c>
      <c r="E1173" s="16">
        <v>5.8392438993459113</v>
      </c>
      <c r="F1173" s="16">
        <v>9.7395281182095115</v>
      </c>
    </row>
    <row r="1174" spans="2:6" x14ac:dyDescent="0.35">
      <c r="B1174" s="7" t="s">
        <v>168</v>
      </c>
      <c r="C1174" s="16">
        <v>1.9447879489224076</v>
      </c>
      <c r="D1174" s="16">
        <v>6.5951285914821716</v>
      </c>
      <c r="E1174" s="16">
        <v>10.833956776269718</v>
      </c>
      <c r="F1174" s="16">
        <v>21.629545080647191</v>
      </c>
    </row>
    <row r="1175" spans="2:6" x14ac:dyDescent="0.35">
      <c r="B1175" s="7" t="s">
        <v>169</v>
      </c>
      <c r="C1175" s="16">
        <v>-0.41862911427753818</v>
      </c>
      <c r="D1175" s="16">
        <v>-2.9209074203082515</v>
      </c>
      <c r="E1175" s="16">
        <v>-6.8020441182906017</v>
      </c>
      <c r="F1175" s="16">
        <v>-13.031489581561051</v>
      </c>
    </row>
    <row r="1176" spans="2:6" x14ac:dyDescent="0.35">
      <c r="B1176" s="7" t="s">
        <v>170</v>
      </c>
      <c r="C1176" s="16">
        <v>0.11133116884134575</v>
      </c>
      <c r="D1176" s="16">
        <v>4.793415987916128</v>
      </c>
      <c r="E1176" s="16">
        <v>7.670381204270754</v>
      </c>
      <c r="F1176" s="16">
        <v>15.685087360647042</v>
      </c>
    </row>
    <row r="1177" spans="2:6" x14ac:dyDescent="0.35">
      <c r="B1177" s="7" t="s">
        <v>171</v>
      </c>
      <c r="C1177" s="16">
        <v>6.0431702442813666</v>
      </c>
      <c r="D1177" s="16">
        <v>1.4041675933783522</v>
      </c>
      <c r="E1177" s="16">
        <v>4.3906631875096203</v>
      </c>
      <c r="F1177" s="16">
        <v>9.0170569122920057</v>
      </c>
    </row>
    <row r="1178" spans="2:6" x14ac:dyDescent="0.35">
      <c r="B1178" s="7" t="s">
        <v>172</v>
      </c>
      <c r="C1178" s="16">
        <v>1.9928130237579735</v>
      </c>
      <c r="D1178" s="16">
        <v>-1.727658530129657</v>
      </c>
      <c r="E1178" s="16">
        <v>-2.4452790857937958</v>
      </c>
      <c r="F1178" s="16">
        <v>-2.9337153141504699</v>
      </c>
    </row>
    <row r="1179" spans="2:6" x14ac:dyDescent="0.35">
      <c r="B1179" s="7" t="s">
        <v>173</v>
      </c>
      <c r="C1179" s="16">
        <v>-10.779594394006848</v>
      </c>
      <c r="D1179" s="16">
        <v>-7.277496734282229</v>
      </c>
      <c r="E1179" s="16">
        <v>-15.371561214321083</v>
      </c>
      <c r="F1179" s="16">
        <v>-25.36079260141393</v>
      </c>
    </row>
    <row r="1180" spans="2:6" x14ac:dyDescent="0.35">
      <c r="B1180" s="7" t="s">
        <v>174</v>
      </c>
      <c r="C1180" s="16">
        <v>-6.1476202600371641</v>
      </c>
      <c r="D1180" s="16">
        <v>-4.761641241524635</v>
      </c>
      <c r="E1180" s="16">
        <v>-11.215016634248313</v>
      </c>
      <c r="F1180" s="16">
        <v>-18.592765209985281</v>
      </c>
    </row>
    <row r="1181" spans="2:6" x14ac:dyDescent="0.35">
      <c r="B1181" s="7" t="s">
        <v>175</v>
      </c>
      <c r="C1181" s="16">
        <v>0.12438337871989477</v>
      </c>
      <c r="D1181" s="16">
        <v>-0.71793391975969878</v>
      </c>
      <c r="E1181" s="16">
        <v>-2.5628074247932378</v>
      </c>
      <c r="F1181" s="16">
        <v>-6.0651740625923383</v>
      </c>
    </row>
    <row r="1182" spans="2:6" x14ac:dyDescent="0.35">
      <c r="B1182" s="7" t="s">
        <v>176</v>
      </c>
      <c r="C1182" s="16">
        <v>-1.3155496070672303</v>
      </c>
      <c r="D1182" s="16">
        <v>-6.0881416258245364</v>
      </c>
      <c r="E1182" s="16">
        <v>-11.476316323893286</v>
      </c>
      <c r="F1182" s="16">
        <v>-19.45242940294866</v>
      </c>
    </row>
    <row r="1183" spans="2:6" x14ac:dyDescent="0.35">
      <c r="B1183" s="7" t="s">
        <v>177</v>
      </c>
      <c r="C1183" s="16">
        <v>5.2063226517002938</v>
      </c>
      <c r="D1183" s="16">
        <v>1.8957065497489314</v>
      </c>
      <c r="E1183" s="16">
        <v>3.5218270281141564</v>
      </c>
      <c r="F1183" s="16">
        <v>4.307314644127378</v>
      </c>
    </row>
    <row r="1184" spans="2:6" x14ac:dyDescent="0.35">
      <c r="B1184" s="7" t="s">
        <v>178</v>
      </c>
      <c r="C1184" s="16">
        <v>-1.883551508261756</v>
      </c>
      <c r="D1184" s="16">
        <v>0.5413193004117629</v>
      </c>
      <c r="E1184" s="16">
        <v>1.7873755432275251</v>
      </c>
      <c r="F1184" s="16">
        <v>3.0528725119503086</v>
      </c>
    </row>
    <row r="1185" spans="2:6" x14ac:dyDescent="0.35">
      <c r="B1185" s="7" t="s">
        <v>179</v>
      </c>
      <c r="C1185" s="16">
        <v>5.1906873385708492</v>
      </c>
      <c r="D1185" s="16">
        <v>5.6627380299709609</v>
      </c>
      <c r="E1185" s="16">
        <v>11.147785998398117</v>
      </c>
      <c r="F1185" s="16">
        <v>18.246042118046251</v>
      </c>
    </row>
    <row r="1186" spans="2:6" x14ac:dyDescent="0.35">
      <c r="B1186" s="7" t="s">
        <v>180</v>
      </c>
      <c r="C1186" s="16">
        <v>-6.3564792470774814</v>
      </c>
      <c r="D1186" s="16">
        <v>-3.7031456080774179</v>
      </c>
      <c r="E1186" s="16">
        <v>-4.8722463506300127</v>
      </c>
      <c r="F1186" s="16">
        <v>-13.305478407807307</v>
      </c>
    </row>
    <row r="1187" spans="2:6" x14ac:dyDescent="0.35">
      <c r="B1187" s="7" t="s">
        <v>181</v>
      </c>
      <c r="C1187" s="16">
        <v>-4.9425688407154658</v>
      </c>
      <c r="D1187" s="16">
        <v>-4.2354530848948624</v>
      </c>
      <c r="E1187" s="16">
        <v>-8.0620920201122086</v>
      </c>
      <c r="F1187" s="16">
        <v>-15.257984538626458</v>
      </c>
    </row>
    <row r="1188" spans="2:6" x14ac:dyDescent="0.35">
      <c r="B1188" s="7" t="s">
        <v>182</v>
      </c>
      <c r="C1188" s="16">
        <v>-9.0879400548834095</v>
      </c>
      <c r="D1188" s="16">
        <v>-10.020126294067706</v>
      </c>
      <c r="E1188" s="16">
        <v>-15.529146980460117</v>
      </c>
      <c r="F1188" s="16">
        <v>-25.837340278637182</v>
      </c>
    </row>
    <row r="1189" spans="2:6" x14ac:dyDescent="0.35">
      <c r="B1189" s="7" t="s">
        <v>183</v>
      </c>
      <c r="C1189" s="16">
        <v>1.4884296032573501</v>
      </c>
      <c r="D1189" s="16">
        <v>-1.982453439761946</v>
      </c>
      <c r="E1189" s="16">
        <v>-4.0955975394230606</v>
      </c>
      <c r="F1189" s="16">
        <v>-6.1283786129546831</v>
      </c>
    </row>
    <row r="1190" spans="2:6" x14ac:dyDescent="0.35">
      <c r="B1190" s="7" t="s">
        <v>184</v>
      </c>
      <c r="C1190" s="16">
        <v>-0.38734611773753819</v>
      </c>
      <c r="D1190" s="16">
        <v>-4.13871091550903</v>
      </c>
      <c r="E1190" s="16">
        <v>-8.4644716386409655</v>
      </c>
      <c r="F1190" s="16">
        <v>-16.818502435860424</v>
      </c>
    </row>
    <row r="1191" spans="2:6" x14ac:dyDescent="0.35">
      <c r="B1191" s="7" t="s">
        <v>185</v>
      </c>
      <c r="C1191" s="16">
        <v>-4.2108811229911876</v>
      </c>
      <c r="D1191" s="16">
        <v>-3.1261649919617756</v>
      </c>
      <c r="E1191" s="16">
        <v>-5.1019239855952438</v>
      </c>
      <c r="F1191" s="16">
        <v>-10.289050540505144</v>
      </c>
    </row>
    <row r="1192" spans="2:6" x14ac:dyDescent="0.35">
      <c r="B1192" s="7" t="s">
        <v>186</v>
      </c>
      <c r="C1192" s="16">
        <v>-2.8000636855947021</v>
      </c>
      <c r="D1192" s="16">
        <v>-0.76973998577099401</v>
      </c>
      <c r="E1192" s="16">
        <v>2.1682497643496275</v>
      </c>
      <c r="F1192" s="16">
        <v>3.5624329142490296</v>
      </c>
    </row>
    <row r="1193" spans="2:6" x14ac:dyDescent="0.35">
      <c r="B1193" s="7" t="s">
        <v>187</v>
      </c>
      <c r="C1193" s="16">
        <v>3.4994809034784113</v>
      </c>
      <c r="D1193" s="16">
        <v>0.12949250670278722</v>
      </c>
      <c r="E1193" s="16">
        <v>1.3795389532845033</v>
      </c>
      <c r="F1193" s="16">
        <v>3.7021112778490242</v>
      </c>
    </row>
    <row r="1194" spans="2:6" x14ac:dyDescent="0.35">
      <c r="B1194" s="7" t="s">
        <v>188</v>
      </c>
      <c r="C1194" s="16">
        <v>-3.353711405684829</v>
      </c>
      <c r="D1194" s="16">
        <v>-1.8944963561282238</v>
      </c>
      <c r="E1194" s="16">
        <v>-3.3714560418238215</v>
      </c>
      <c r="F1194" s="16">
        <v>-7.2839237178965108</v>
      </c>
    </row>
    <row r="1195" spans="2:6" x14ac:dyDescent="0.35">
      <c r="B1195" s="7" t="s">
        <v>189</v>
      </c>
      <c r="C1195" s="16">
        <v>-0.75171803436151108</v>
      </c>
      <c r="D1195" s="16">
        <v>-5.046450839270384</v>
      </c>
      <c r="E1195" s="16">
        <v>-7.1912117566470535</v>
      </c>
      <c r="F1195" s="16">
        <v>-10.806283304382463</v>
      </c>
    </row>
    <row r="1196" spans="2:6" x14ac:dyDescent="0.35">
      <c r="B1196" s="7" t="s">
        <v>190</v>
      </c>
      <c r="C1196" s="16">
        <v>-5.6228974803572696</v>
      </c>
      <c r="D1196" s="16">
        <v>-3.3417382069105717</v>
      </c>
      <c r="E1196" s="16">
        <v>-1.4110604690494428</v>
      </c>
      <c r="F1196" s="16">
        <v>-3.2851193226917159</v>
      </c>
    </row>
    <row r="1197" spans="2:6" x14ac:dyDescent="0.35">
      <c r="B1197" s="7" t="s">
        <v>191</v>
      </c>
      <c r="C1197" s="16">
        <v>-5.926125818336839</v>
      </c>
      <c r="D1197" s="16">
        <v>-4.5060637063046975</v>
      </c>
      <c r="E1197" s="16">
        <v>-5.8706452409120535</v>
      </c>
      <c r="F1197" s="16">
        <v>-12.345665806088121</v>
      </c>
    </row>
    <row r="1198" spans="2:6" x14ac:dyDescent="0.35">
      <c r="B1198" s="7" t="s">
        <v>192</v>
      </c>
      <c r="C1198" s="16">
        <v>-5.6228974803572696</v>
      </c>
      <c r="D1198" s="16">
        <v>-3.55273116498695</v>
      </c>
      <c r="E1198" s="16">
        <v>-3.9668368872600124</v>
      </c>
      <c r="F1198" s="16">
        <v>-8.9403886477457259</v>
      </c>
    </row>
    <row r="1199" spans="2:6" x14ac:dyDescent="0.35">
      <c r="B1199" s="7" t="s">
        <v>193</v>
      </c>
      <c r="C1199" s="16">
        <v>-3.4921682474672009</v>
      </c>
      <c r="D1199" s="16">
        <v>-2.2000729827298167</v>
      </c>
      <c r="E1199" s="16">
        <v>-1.0193071226443047</v>
      </c>
      <c r="F1199" s="16">
        <v>-4.6742096973098537</v>
      </c>
    </row>
    <row r="1200" spans="2:6" x14ac:dyDescent="0.35">
      <c r="B1200" s="7" t="s">
        <v>194</v>
      </c>
      <c r="C1200" s="16">
        <v>-1.0101743034189763</v>
      </c>
      <c r="D1200" s="16">
        <v>-2.5186389260328732</v>
      </c>
      <c r="E1200" s="16">
        <v>-4.4092265960739976</v>
      </c>
      <c r="F1200" s="16">
        <v>-6.9759880630742943</v>
      </c>
    </row>
    <row r="1201" spans="2:6" x14ac:dyDescent="0.35">
      <c r="B1201" s="7" t="s">
        <v>195</v>
      </c>
      <c r="C1201" s="16">
        <v>-9.463122324255071</v>
      </c>
      <c r="D1201" s="16">
        <v>-7.9252744043757595</v>
      </c>
      <c r="E1201" s="16">
        <v>-12.044618450220833</v>
      </c>
      <c r="F1201" s="16">
        <v>-20.514568430051359</v>
      </c>
    </row>
    <row r="1202" spans="2:6" x14ac:dyDescent="0.35">
      <c r="B1202" s="7" t="s">
        <v>196</v>
      </c>
      <c r="C1202" s="16">
        <v>-2.7289981651821575</v>
      </c>
      <c r="D1202" s="16">
        <v>-5.0036932997975372</v>
      </c>
      <c r="E1202" s="16">
        <v>-8.4403714062460065</v>
      </c>
      <c r="F1202" s="16">
        <v>-13.538673860277793</v>
      </c>
    </row>
    <row r="1203" spans="2:6" x14ac:dyDescent="0.35">
      <c r="B1203" s="7" t="s">
        <v>197</v>
      </c>
      <c r="C1203" s="16">
        <v>2.4159756880815215</v>
      </c>
      <c r="D1203" s="16">
        <v>4.4773584120650423</v>
      </c>
      <c r="E1203" s="16">
        <v>13.542562444102737</v>
      </c>
      <c r="F1203" s="16">
        <v>20.291916263168677</v>
      </c>
    </row>
    <row r="1204" spans="2:6" x14ac:dyDescent="0.35">
      <c r="B1204" s="7" t="s">
        <v>198</v>
      </c>
      <c r="C1204" s="16">
        <v>-4.7949463626977362</v>
      </c>
      <c r="D1204" s="16">
        <v>-3.4717672606649845</v>
      </c>
      <c r="E1204" s="16">
        <v>-2.7131839375640912</v>
      </c>
      <c r="F1204" s="16">
        <v>-4.585259457356452</v>
      </c>
    </row>
    <row r="1205" spans="2:6" x14ac:dyDescent="0.35">
      <c r="B1205" s="7" t="s">
        <v>199</v>
      </c>
      <c r="C1205" s="16">
        <v>-2.2813430089148441</v>
      </c>
      <c r="D1205" s="16">
        <v>-0.65200312885219081</v>
      </c>
      <c r="E1205" s="16">
        <v>2.7301813695501909</v>
      </c>
      <c r="F1205" s="16">
        <v>3.6664823746600126</v>
      </c>
    </row>
    <row r="1206" spans="2:6" x14ac:dyDescent="0.35">
      <c r="B1206" s="7" t="s">
        <v>200</v>
      </c>
      <c r="C1206" s="16">
        <v>1.1897016686114319</v>
      </c>
      <c r="D1206" s="16">
        <v>-2.6037082689926532</v>
      </c>
      <c r="E1206" s="16">
        <v>-1.4186764973685773</v>
      </c>
      <c r="F1206" s="16">
        <v>-4.1525890973230929E-2</v>
      </c>
    </row>
    <row r="1207" spans="2:6" x14ac:dyDescent="0.35">
      <c r="B1207" s="7" t="s">
        <v>201</v>
      </c>
      <c r="C1207" s="16">
        <v>-3.0244375746041148</v>
      </c>
      <c r="D1207" s="16">
        <v>0.83708825081021643</v>
      </c>
      <c r="E1207" s="16">
        <v>0.23013613667654553</v>
      </c>
      <c r="F1207" s="16">
        <v>3.9483573586066401</v>
      </c>
    </row>
    <row r="1208" spans="2:6" x14ac:dyDescent="0.35">
      <c r="B1208" s="7" t="s">
        <v>202</v>
      </c>
      <c r="C1208" s="16">
        <v>1.3641797755118883</v>
      </c>
      <c r="D1208" s="16">
        <v>4.4445536135899664</v>
      </c>
      <c r="E1208" s="16">
        <v>12.403541399579227</v>
      </c>
      <c r="F1208" s="16">
        <v>20.962248692044653</v>
      </c>
    </row>
    <row r="1209" spans="2:6" x14ac:dyDescent="0.35">
      <c r="B1209" s="7" t="s">
        <v>203</v>
      </c>
      <c r="C1209" s="16">
        <v>-5.0981747006773075</v>
      </c>
      <c r="D1209" s="16">
        <v>-3.8622261087249661</v>
      </c>
      <c r="E1209" s="16">
        <v>-3.5917284543256978</v>
      </c>
      <c r="F1209" s="16">
        <v>-6.2433228193993102</v>
      </c>
    </row>
    <row r="1210" spans="2:6" x14ac:dyDescent="0.35">
      <c r="B1210" s="7" t="s">
        <v>204</v>
      </c>
      <c r="C1210" s="16">
        <v>-3.725583717997663</v>
      </c>
      <c r="D1210" s="16">
        <v>-1.7106369478648147</v>
      </c>
      <c r="E1210" s="16">
        <v>1.83585485241835</v>
      </c>
      <c r="F1210" s="16">
        <v>2.0631754278584511</v>
      </c>
    </row>
    <row r="1211" spans="2:6" x14ac:dyDescent="0.35">
      <c r="B1211" s="7" t="s">
        <v>205</v>
      </c>
      <c r="C1211" s="16">
        <v>-5.8214594712777492</v>
      </c>
      <c r="D1211" s="16">
        <v>-4.0552846606933182</v>
      </c>
      <c r="E1211" s="16">
        <v>-3.6658824034004787</v>
      </c>
      <c r="F1211" s="16">
        <v>-9.9324661572467186</v>
      </c>
    </row>
    <row r="1212" spans="2:6" x14ac:dyDescent="0.35">
      <c r="B1212" s="7" t="s">
        <v>206</v>
      </c>
      <c r="C1212" s="16">
        <v>-1.402768625520054</v>
      </c>
      <c r="D1212" s="16">
        <v>-3.627430486847707</v>
      </c>
      <c r="E1212" s="16">
        <v>-5.798619328622328</v>
      </c>
      <c r="F1212" s="16">
        <v>-9.942009006873624</v>
      </c>
    </row>
    <row r="1213" spans="2:6" x14ac:dyDescent="0.35">
      <c r="B1213" s="7" t="s">
        <v>207</v>
      </c>
      <c r="C1213" s="16">
        <v>-2.6941128005337323</v>
      </c>
      <c r="D1213" s="16">
        <v>-0.4780567609759751</v>
      </c>
      <c r="E1213" s="16">
        <v>1.6894438466272317</v>
      </c>
      <c r="F1213" s="16">
        <v>0.24741484056410967</v>
      </c>
    </row>
    <row r="1214" spans="2:6" x14ac:dyDescent="0.35">
      <c r="B1214" s="7" t="s">
        <v>208</v>
      </c>
      <c r="C1214" s="16">
        <v>-2.5257602880252974</v>
      </c>
      <c r="D1214" s="16">
        <v>-3.5974341315259606</v>
      </c>
      <c r="E1214" s="16">
        <v>-5.1130832012870275</v>
      </c>
      <c r="F1214" s="16">
        <v>-8.0500058030855275</v>
      </c>
    </row>
    <row r="1215" spans="2:6" x14ac:dyDescent="0.35">
      <c r="B1215" s="7" t="s">
        <v>209</v>
      </c>
      <c r="C1215" s="16">
        <v>3.1755764906443869</v>
      </c>
      <c r="D1215" s="16">
        <v>0.16955296308969947</v>
      </c>
      <c r="E1215" s="16">
        <v>5.3109891146406074</v>
      </c>
      <c r="F1215" s="16">
        <v>13.136227270043475</v>
      </c>
    </row>
    <row r="1216" spans="2:6" x14ac:dyDescent="0.35">
      <c r="B1216" s="7" t="s">
        <v>210</v>
      </c>
      <c r="C1216" s="16">
        <v>-3.9850392373441994</v>
      </c>
      <c r="D1216" s="16">
        <v>-2.3801789635479773</v>
      </c>
      <c r="E1216" s="16">
        <v>2.9176379932007654E-2</v>
      </c>
      <c r="F1216" s="16">
        <v>-0.90921295242415201</v>
      </c>
    </row>
    <row r="1217" spans="2:6" x14ac:dyDescent="0.35">
      <c r="B1217" s="7" t="s">
        <v>211</v>
      </c>
      <c r="C1217" s="16">
        <v>-7.4320378195643784</v>
      </c>
      <c r="D1217" s="16">
        <v>-5.9434485240727799</v>
      </c>
      <c r="E1217" s="16">
        <v>-5.4885774486596981</v>
      </c>
      <c r="F1217" s="16">
        <v>-12.823898847423578</v>
      </c>
    </row>
    <row r="1218" spans="2:6" x14ac:dyDescent="0.35">
      <c r="B1218" s="7" t="s">
        <v>212</v>
      </c>
      <c r="C1218" s="16">
        <v>-0.97180030363634839</v>
      </c>
      <c r="D1218" s="16">
        <v>-3.1547598036188726</v>
      </c>
      <c r="E1218" s="16">
        <v>-3.313844068966076</v>
      </c>
      <c r="F1218" s="16">
        <v>-2.5859534391401344</v>
      </c>
    </row>
    <row r="1219" spans="2:6" x14ac:dyDescent="0.35">
      <c r="B1219" s="7" t="s">
        <v>213</v>
      </c>
      <c r="C1219" s="16">
        <v>-0.80518100849166685</v>
      </c>
      <c r="D1219" s="16">
        <v>-3.5758892480446498</v>
      </c>
      <c r="E1219" s="16">
        <v>-3.4760513975636251</v>
      </c>
      <c r="F1219" s="16">
        <v>-2.4245711018150864</v>
      </c>
    </row>
    <row r="1220" spans="2:6" x14ac:dyDescent="0.35">
      <c r="B1220" s="7" t="s">
        <v>214</v>
      </c>
      <c r="C1220" s="16">
        <v>0.66857415154198452</v>
      </c>
      <c r="D1220" s="16">
        <v>1.8356718943227803</v>
      </c>
      <c r="E1220" s="16">
        <v>4.9569081787624114</v>
      </c>
      <c r="F1220" s="16">
        <v>9.836464515721806</v>
      </c>
    </row>
    <row r="1221" spans="2:6" x14ac:dyDescent="0.35">
      <c r="B1221" s="7" t="s">
        <v>215</v>
      </c>
      <c r="C1221" s="16">
        <v>-3.7756372812719632</v>
      </c>
      <c r="D1221" s="16">
        <v>-1.4649065784240227</v>
      </c>
      <c r="E1221" s="16">
        <v>3.2781425409043203</v>
      </c>
      <c r="F1221" s="16">
        <v>2.7247209040660811</v>
      </c>
    </row>
    <row r="1222" spans="2:6" x14ac:dyDescent="0.35">
      <c r="B1222" s="7" t="s">
        <v>216</v>
      </c>
      <c r="C1222" s="16">
        <v>-0.56376948145112671</v>
      </c>
      <c r="D1222" s="16">
        <v>-3.7200324774637332</v>
      </c>
      <c r="E1222" s="16">
        <v>-3.2547999923394166</v>
      </c>
      <c r="F1222" s="16">
        <v>-1.7097995606884644</v>
      </c>
    </row>
    <row r="1223" spans="2:6" x14ac:dyDescent="0.35">
      <c r="B1223" s="7" t="s">
        <v>217</v>
      </c>
      <c r="C1223" s="16">
        <v>-0.80518100849166685</v>
      </c>
      <c r="D1223" s="16">
        <v>-0.1542979025769618</v>
      </c>
      <c r="E1223" s="16">
        <v>-2.6608885187942282E-2</v>
      </c>
      <c r="F1223" s="16">
        <v>-1.1111204456482149</v>
      </c>
    </row>
    <row r="1224" spans="2:6" x14ac:dyDescent="0.35">
      <c r="B1224" s="7" t="s">
        <v>218</v>
      </c>
      <c r="C1224" s="16">
        <v>-0.41862911427753818</v>
      </c>
      <c r="D1224" s="16">
        <v>0.25871680813587672</v>
      </c>
      <c r="E1224" s="16">
        <v>2.0120534770476524</v>
      </c>
      <c r="F1224" s="16">
        <v>6.1001908282371629</v>
      </c>
    </row>
    <row r="1225" spans="2:6" x14ac:dyDescent="0.35">
      <c r="B1225" s="7" t="s">
        <v>219</v>
      </c>
      <c r="C1225" s="16">
        <v>2.0600592452835769</v>
      </c>
      <c r="D1225" s="16">
        <v>-0.69641883801508075</v>
      </c>
      <c r="E1225" s="16">
        <v>2.206913836756319</v>
      </c>
      <c r="F1225" s="16">
        <v>7.7344209343500996</v>
      </c>
    </row>
    <row r="1226" spans="2:6" x14ac:dyDescent="0.35">
      <c r="B1226" s="7" t="s">
        <v>220</v>
      </c>
      <c r="C1226" s="16">
        <v>-7.2575597126638574</v>
      </c>
      <c r="D1226" s="16">
        <v>-6.3835123069690924</v>
      </c>
      <c r="E1226" s="16">
        <v>-7.3599103376428516</v>
      </c>
      <c r="F1226" s="16">
        <v>-15.639709326324095</v>
      </c>
    </row>
    <row r="1227" spans="2:6" x14ac:dyDescent="0.35">
      <c r="B1227" s="7" t="s">
        <v>221</v>
      </c>
      <c r="C1227" s="16">
        <v>-4.1527375829341286</v>
      </c>
      <c r="D1227" s="16">
        <v>-1.7271589003103089</v>
      </c>
      <c r="E1227" s="16">
        <v>0.65862604703240824</v>
      </c>
      <c r="F1227" s="16">
        <v>-0.62905540496150969</v>
      </c>
    </row>
    <row r="1228" spans="2:6" x14ac:dyDescent="0.35">
      <c r="B1228" s="7" t="s">
        <v>222</v>
      </c>
      <c r="C1228" s="16">
        <v>-7.755322039023425</v>
      </c>
      <c r="D1228" s="16">
        <v>-5.6561313765931036</v>
      </c>
      <c r="E1228" s="16">
        <v>-4.021767640002432</v>
      </c>
      <c r="F1228" s="16">
        <v>-9.8345539163936433</v>
      </c>
    </row>
    <row r="1229" spans="2:6" x14ac:dyDescent="0.35">
      <c r="B1229" s="7" t="s">
        <v>223</v>
      </c>
      <c r="C1229" s="16">
        <v>-2.4932400850046181</v>
      </c>
      <c r="D1229" s="16">
        <v>-0.47030463669421058</v>
      </c>
      <c r="E1229" s="16">
        <v>4.5263638195209506</v>
      </c>
      <c r="F1229" s="16">
        <v>4.6567715253340598</v>
      </c>
    </row>
    <row r="1230" spans="2:6" x14ac:dyDescent="0.35">
      <c r="B1230" s="7" t="s">
        <v>224</v>
      </c>
      <c r="C1230" s="16">
        <v>-1.189485337308074</v>
      </c>
      <c r="D1230" s="16">
        <v>0.37501784655178833</v>
      </c>
      <c r="E1230" s="16">
        <v>4.8848217412553678</v>
      </c>
      <c r="F1230" s="16">
        <v>5.3609456662391386</v>
      </c>
    </row>
    <row r="1231" spans="2:6" x14ac:dyDescent="0.35">
      <c r="B1231" s="7" t="s">
        <v>225</v>
      </c>
      <c r="C1231" s="16">
        <v>1.8319104483749735</v>
      </c>
      <c r="D1231" s="16">
        <v>-2.423019975888804</v>
      </c>
      <c r="E1231" s="16">
        <v>-3.7720763920167224</v>
      </c>
      <c r="F1231" s="16">
        <v>-3.234368123568109</v>
      </c>
    </row>
    <row r="1232" spans="2:6" x14ac:dyDescent="0.35">
      <c r="B1232" s="7" t="s">
        <v>226</v>
      </c>
      <c r="C1232" s="16">
        <v>-6.2651062601208105</v>
      </c>
      <c r="D1232" s="16">
        <v>-3.0252915164729171</v>
      </c>
      <c r="E1232" s="16">
        <v>0.5374534704740096</v>
      </c>
      <c r="F1232" s="16">
        <v>-0.70032156988337269</v>
      </c>
    </row>
    <row r="1233" spans="2:6" x14ac:dyDescent="0.35">
      <c r="B1233" s="7" t="s">
        <v>227</v>
      </c>
      <c r="C1233" s="16">
        <v>-0.80518100849166685</v>
      </c>
      <c r="D1233" s="16">
        <v>-3.7338688219136524</v>
      </c>
      <c r="E1233" s="16">
        <v>-5.0065051439367334</v>
      </c>
      <c r="F1233" s="16">
        <v>-5.29681897543154</v>
      </c>
    </row>
    <row r="1234" spans="2:6" x14ac:dyDescent="0.35">
      <c r="B1234" s="7" t="s">
        <v>228</v>
      </c>
      <c r="C1234" s="16">
        <v>-2.9858060234906261</v>
      </c>
      <c r="D1234" s="16">
        <v>-0.4206484081983502</v>
      </c>
      <c r="E1234" s="16">
        <v>4.0018986099569318</v>
      </c>
      <c r="F1234" s="16">
        <v>3.7721615687184671</v>
      </c>
    </row>
    <row r="1235" spans="2:6" x14ac:dyDescent="0.35">
      <c r="B1235" s="7" t="s">
        <v>229</v>
      </c>
      <c r="C1235" s="16">
        <v>-2.157854905831095</v>
      </c>
      <c r="D1235" s="16">
        <v>-0.6821065104391103</v>
      </c>
      <c r="E1235" s="16">
        <v>4.6842782192380685</v>
      </c>
      <c r="F1235" s="16">
        <v>3.1125943753427174</v>
      </c>
    </row>
    <row r="1236" spans="2:6" x14ac:dyDescent="0.35">
      <c r="B1236" s="7" t="s">
        <v>230</v>
      </c>
      <c r="C1236" s="16">
        <v>3.1749858560220647E-2</v>
      </c>
      <c r="D1236" s="16">
        <v>2.9653807125431132E-2</v>
      </c>
      <c r="E1236" s="16">
        <v>3.2516607640677662</v>
      </c>
      <c r="F1236" s="16">
        <v>9.1269030926848718</v>
      </c>
    </row>
    <row r="1237" spans="2:6" x14ac:dyDescent="0.35">
      <c r="B1237" s="7" t="s">
        <v>231</v>
      </c>
      <c r="C1237" s="16">
        <v>-0.23583706607655189</v>
      </c>
      <c r="D1237" s="16">
        <v>-0.50186406539983119</v>
      </c>
      <c r="E1237" s="16">
        <v>0.78990646554967425</v>
      </c>
      <c r="F1237" s="16">
        <v>5.2285056754322747</v>
      </c>
    </row>
    <row r="1238" spans="2:6" x14ac:dyDescent="0.35">
      <c r="B1238" s="7" t="s">
        <v>232</v>
      </c>
      <c r="C1238" s="16">
        <v>1.6842879703572464</v>
      </c>
      <c r="D1238" s="16">
        <v>0.74049790051111375</v>
      </c>
      <c r="E1238" s="16">
        <v>1.4592263922791426</v>
      </c>
      <c r="F1238" s="16">
        <v>5.3836643786365306</v>
      </c>
    </row>
    <row r="1239" spans="2:6" x14ac:dyDescent="0.35">
      <c r="B1239" s="7" t="s">
        <v>233</v>
      </c>
      <c r="C1239" s="16">
        <v>-5.4371551424612772</v>
      </c>
      <c r="D1239" s="16">
        <v>-3.0656450763911791</v>
      </c>
      <c r="E1239" s="16">
        <v>-0.53313610120526111</v>
      </c>
      <c r="F1239" s="16">
        <v>-4.157402911093266</v>
      </c>
    </row>
    <row r="1240" spans="2:6" x14ac:dyDescent="0.35">
      <c r="B1240" s="7" t="s">
        <v>234</v>
      </c>
      <c r="C1240" s="16">
        <v>1.0983286816547613</v>
      </c>
      <c r="D1240" s="16">
        <v>1.1337221833732509</v>
      </c>
      <c r="E1240" s="16">
        <v>-2.1321473720468402</v>
      </c>
      <c r="F1240" s="16">
        <v>1.6236112279860591</v>
      </c>
    </row>
    <row r="1241" spans="2:6" x14ac:dyDescent="0.35">
      <c r="B1241" s="7" t="s">
        <v>235</v>
      </c>
      <c r="C1241" s="16">
        <v>-3.3104322841702642</v>
      </c>
      <c r="D1241" s="16">
        <v>-5.0427445653796434</v>
      </c>
      <c r="E1241" s="16">
        <v>-7.3956694723105478</v>
      </c>
      <c r="F1241" s="16">
        <v>-10.271368559471563</v>
      </c>
    </row>
    <row r="1242" spans="2:6" x14ac:dyDescent="0.35">
      <c r="B1242" s="7" t="s">
        <v>236</v>
      </c>
      <c r="C1242" s="16">
        <v>-1.402768625520054</v>
      </c>
      <c r="D1242" s="16">
        <v>-1.4509391870716406</v>
      </c>
      <c r="E1242" s="16">
        <v>-2.5048651725595352</v>
      </c>
      <c r="F1242" s="16">
        <v>-5.4546044507136795</v>
      </c>
    </row>
    <row r="1243" spans="2:6" x14ac:dyDescent="0.35">
      <c r="B1243" s="7" t="s">
        <v>237</v>
      </c>
      <c r="C1243" s="16">
        <v>-2.4932400850046181</v>
      </c>
      <c r="D1243" s="16">
        <v>1.9494292894068319</v>
      </c>
      <c r="E1243" s="16">
        <v>10.646222192970685</v>
      </c>
      <c r="F1243" s="16">
        <v>14.364478994457244</v>
      </c>
    </row>
    <row r="1244" spans="2:6" x14ac:dyDescent="0.35">
      <c r="B1244" s="7" t="s">
        <v>238</v>
      </c>
      <c r="C1244" s="16">
        <v>1.9029759687875181</v>
      </c>
      <c r="D1244" s="16">
        <v>-1.494086444269586</v>
      </c>
      <c r="E1244" s="16">
        <v>-2.6477018729631765</v>
      </c>
      <c r="F1244" s="16">
        <v>-1.2466158357494899</v>
      </c>
    </row>
    <row r="1245" spans="2:6" x14ac:dyDescent="0.35">
      <c r="B1245" s="7" t="s">
        <v>239</v>
      </c>
      <c r="C1245" s="16">
        <v>2.4856082946753482</v>
      </c>
      <c r="D1245" s="16">
        <v>1.0262878860840898</v>
      </c>
      <c r="E1245" s="16">
        <v>4.2529004892467697</v>
      </c>
      <c r="F1245" s="16">
        <v>10.490666961233559</v>
      </c>
    </row>
    <row r="1246" spans="2:6" x14ac:dyDescent="0.35">
      <c r="B1246" s="7" t="s">
        <v>240</v>
      </c>
      <c r="C1246" s="16">
        <v>-0.63070290159114561</v>
      </c>
      <c r="D1246" s="16">
        <v>-2.8482702432000089</v>
      </c>
      <c r="E1246" s="16">
        <v>-6.1570992361129067</v>
      </c>
      <c r="F1246" s="16">
        <v>-8.8414696622831723</v>
      </c>
    </row>
    <row r="1247" spans="2:6" x14ac:dyDescent="0.35">
      <c r="B1247" s="7" t="s">
        <v>241</v>
      </c>
      <c r="C1247" s="16">
        <v>-5.6228974803572696</v>
      </c>
      <c r="D1247" s="16">
        <v>-3.472169030325758</v>
      </c>
      <c r="E1247" s="16">
        <v>-1.7486260278679924</v>
      </c>
      <c r="F1247" s="16">
        <v>-5.3354619204617872</v>
      </c>
    </row>
    <row r="1248" spans="2:6" x14ac:dyDescent="0.35">
      <c r="B1248" s="7" t="s">
        <v>242</v>
      </c>
      <c r="C1248" s="16">
        <v>0.46770143601287029</v>
      </c>
      <c r="D1248" s="16">
        <v>-3.5437345172010006E-2</v>
      </c>
      <c r="E1248" s="16">
        <v>1.2794127341691954</v>
      </c>
      <c r="F1248" s="16">
        <v>6.4333362343200138</v>
      </c>
    </row>
    <row r="1249" spans="2:6" x14ac:dyDescent="0.35">
      <c r="B1249" s="7" t="s">
        <v>243</v>
      </c>
      <c r="C1249" s="16">
        <v>-2.3359327722320651</v>
      </c>
      <c r="D1249" s="16">
        <v>-2.6690074791300193</v>
      </c>
      <c r="E1249" s="16">
        <v>-4.6380261224649066</v>
      </c>
      <c r="F1249" s="16">
        <v>-6.8568025952521703</v>
      </c>
    </row>
    <row r="1250" spans="2:6" x14ac:dyDescent="0.35">
      <c r="B1250" s="7" t="s">
        <v>244</v>
      </c>
      <c r="C1250" s="16">
        <v>-0.10598012191118471</v>
      </c>
      <c r="D1250" s="16">
        <v>1.5828404416397031</v>
      </c>
      <c r="E1250" s="16">
        <v>1.8765534664231103</v>
      </c>
      <c r="F1250" s="16">
        <v>5.7221630685307208</v>
      </c>
    </row>
    <row r="1251" spans="2:6" x14ac:dyDescent="0.35">
      <c r="B1251" s="7" t="s">
        <v>245</v>
      </c>
      <c r="C1251" s="16">
        <v>-0.63070290159114561</v>
      </c>
      <c r="D1251" s="16">
        <v>-0.9484835658385331</v>
      </c>
      <c r="E1251" s="16">
        <v>-0.60719318344134876</v>
      </c>
      <c r="F1251" s="16">
        <v>0.15875700845912893</v>
      </c>
    </row>
    <row r="1252" spans="2:6" x14ac:dyDescent="0.35">
      <c r="B1252" s="7" t="s">
        <v>246</v>
      </c>
      <c r="C1252" s="16">
        <v>1.0325964560001202</v>
      </c>
      <c r="D1252" s="16">
        <v>-2.6544952017792696</v>
      </c>
      <c r="E1252" s="16">
        <v>-4.8396883892578968</v>
      </c>
      <c r="F1252" s="16">
        <v>-5.435754605410219</v>
      </c>
    </row>
    <row r="1253" spans="2:6" x14ac:dyDescent="0.35">
      <c r="B1253" s="7" t="s">
        <v>247</v>
      </c>
      <c r="C1253" s="16">
        <v>2.53674896133287</v>
      </c>
      <c r="D1253" s="16">
        <v>1.3913211112541704</v>
      </c>
      <c r="E1253" s="16">
        <v>3.1295195901874782</v>
      </c>
      <c r="F1253" s="16">
        <v>9.2004224236373755</v>
      </c>
    </row>
    <row r="1254" spans="2:6" x14ac:dyDescent="0.35">
      <c r="B1254" s="7" t="s">
        <v>248</v>
      </c>
      <c r="C1254" s="16">
        <v>-0.97180030363634839</v>
      </c>
      <c r="D1254" s="16">
        <v>1.1362585744297837</v>
      </c>
      <c r="E1254" s="16">
        <v>8.947667296861167E-2</v>
      </c>
      <c r="F1254" s="16">
        <v>1.8562271854219621</v>
      </c>
    </row>
    <row r="1255" spans="2:6" x14ac:dyDescent="0.35">
      <c r="B1255" s="7" t="s">
        <v>249</v>
      </c>
      <c r="C1255" s="16">
        <v>7.1815573074747965E-2</v>
      </c>
      <c r="D1255" s="16">
        <v>2.2818351949848643</v>
      </c>
      <c r="E1255" s="16">
        <v>2.1810512910486852</v>
      </c>
      <c r="F1255" s="16">
        <v>5.7733994203382668</v>
      </c>
    </row>
    <row r="1256" spans="2:6" x14ac:dyDescent="0.35">
      <c r="B1256" s="7" t="s">
        <v>250</v>
      </c>
      <c r="C1256" s="16">
        <v>0.96532777960195459</v>
      </c>
      <c r="D1256" s="16">
        <v>0.10056434387144482</v>
      </c>
      <c r="E1256" s="16">
        <v>0.20378952190009675</v>
      </c>
      <c r="F1256" s="16">
        <v>3.8458390758141365</v>
      </c>
    </row>
    <row r="1257" spans="2:6" x14ac:dyDescent="0.35">
      <c r="B1257" s="7" t="s">
        <v>251</v>
      </c>
      <c r="C1257" s="16">
        <v>-2.100862799014219</v>
      </c>
      <c r="D1257" s="16">
        <v>-7.4263967771006634E-2</v>
      </c>
      <c r="E1257" s="16">
        <v>-2.4576180663851139</v>
      </c>
      <c r="F1257" s="16">
        <v>-2.8071760012472131</v>
      </c>
    </row>
    <row r="1258" spans="2:6" x14ac:dyDescent="0.35">
      <c r="B1258" s="7" t="s">
        <v>252</v>
      </c>
      <c r="C1258" s="16">
        <v>1.8029855079647412</v>
      </c>
      <c r="D1258" s="16">
        <v>2.0674824476732536</v>
      </c>
      <c r="E1258" s="16">
        <v>3.4987529726732967</v>
      </c>
      <c r="F1258" s="16">
        <v>9.1252303352555728</v>
      </c>
    </row>
    <row r="1259" spans="2:6" x14ac:dyDescent="0.35">
      <c r="B1259" s="7" t="s">
        <v>253</v>
      </c>
      <c r="C1259" s="16">
        <v>0.90639041597201409</v>
      </c>
      <c r="D1259" s="16">
        <v>-3.1757085589599963E-2</v>
      </c>
      <c r="E1259" s="16">
        <v>-0.47751152993702217</v>
      </c>
      <c r="F1259" s="16">
        <v>3.0812832298463904</v>
      </c>
    </row>
    <row r="1260" spans="2:6" x14ac:dyDescent="0.35">
      <c r="B1260" s="7" t="s">
        <v>254</v>
      </c>
      <c r="C1260" s="16">
        <v>-3.6291309176451562E-2</v>
      </c>
      <c r="D1260" s="16">
        <v>-0.59225324879225838</v>
      </c>
      <c r="E1260" s="16">
        <v>-2.1003681367089366</v>
      </c>
      <c r="F1260" s="16">
        <v>-0.39307554310409937</v>
      </c>
    </row>
    <row r="1261" spans="2:6" x14ac:dyDescent="0.35">
      <c r="B1261" s="7" t="s">
        <v>255</v>
      </c>
      <c r="C1261" s="16">
        <v>1.5604836201060004</v>
      </c>
      <c r="D1261" s="16">
        <v>2.6439579738599304</v>
      </c>
      <c r="E1261" s="16">
        <v>1.6488564920832336</v>
      </c>
      <c r="F1261" s="16">
        <v>6.6847431807054543</v>
      </c>
    </row>
    <row r="1262" spans="2:6" x14ac:dyDescent="0.35">
      <c r="B1262" s="7" t="s">
        <v>256</v>
      </c>
      <c r="C1262" s="16">
        <v>5.6359334646851185</v>
      </c>
      <c r="D1262" s="16">
        <v>6.5375177903053547</v>
      </c>
      <c r="E1262" s="16">
        <v>16.271737649773755</v>
      </c>
      <c r="F1262" s="16">
        <v>28.431650132951784</v>
      </c>
    </row>
    <row r="1263" spans="2:6" x14ac:dyDescent="0.35">
      <c r="B1263" s="7" t="s">
        <v>257</v>
      </c>
      <c r="C1263" s="16">
        <v>-3.1032920235742729</v>
      </c>
      <c r="D1263" s="16">
        <v>0.22769370581637663</v>
      </c>
      <c r="E1263" s="16">
        <v>-1.1250383010612146</v>
      </c>
      <c r="F1263" s="16">
        <v>-0.43410300538382268</v>
      </c>
    </row>
    <row r="1264" spans="2:6" x14ac:dyDescent="0.35">
      <c r="B1264" s="7" t="s">
        <v>258</v>
      </c>
      <c r="C1264" s="16">
        <v>4.5167166523186732E-2</v>
      </c>
      <c r="D1264" s="16">
        <v>2.4685636156219042</v>
      </c>
      <c r="E1264" s="16">
        <v>1.6800074481121692</v>
      </c>
      <c r="F1264" s="16">
        <v>4.1664540738285778</v>
      </c>
    </row>
    <row r="1265" spans="2:6" x14ac:dyDescent="0.35">
      <c r="B1265" s="7" t="s">
        <v>259</v>
      </c>
      <c r="C1265" s="16">
        <v>4.7261168618685078E-3</v>
      </c>
      <c r="D1265" s="16">
        <v>2.0253786225061998</v>
      </c>
      <c r="E1265" s="16">
        <v>0.2196475322823809</v>
      </c>
      <c r="F1265" s="16">
        <v>1.9088505494230754</v>
      </c>
    </row>
    <row r="1266" spans="2:6" x14ac:dyDescent="0.35">
      <c r="B1266" s="7" t="s">
        <v>260</v>
      </c>
      <c r="C1266" s="16">
        <v>-1.402768625520054</v>
      </c>
      <c r="D1266" s="16">
        <v>-0.99133118572153534</v>
      </c>
      <c r="E1266" s="16">
        <v>-4.666378799595793</v>
      </c>
      <c r="F1266" s="16">
        <v>-2.8915064098174241</v>
      </c>
    </row>
    <row r="1267" spans="2:6" x14ac:dyDescent="0.35">
      <c r="B1267" s="7" t="s">
        <v>261</v>
      </c>
      <c r="C1267" s="16">
        <v>-0.73411548807912219</v>
      </c>
      <c r="D1267" s="16">
        <v>3.8622448451951699</v>
      </c>
      <c r="E1267" s="16">
        <v>4.6262126355276862</v>
      </c>
      <c r="F1267" s="16">
        <v>8.5004839491940345</v>
      </c>
    </row>
    <row r="1268" spans="2:6" x14ac:dyDescent="0.35">
      <c r="B1268" s="7" t="s">
        <v>262</v>
      </c>
      <c r="C1268" s="16">
        <v>-0.56376948145112671</v>
      </c>
      <c r="D1268" s="16">
        <v>1.5064349816923903</v>
      </c>
      <c r="E1268" s="16">
        <v>-0.50982839078843101</v>
      </c>
      <c r="F1268" s="16">
        <v>6.9475571928573926E-2</v>
      </c>
    </row>
    <row r="1269" spans="2:6" x14ac:dyDescent="0.35">
      <c r="B1269" s="7" t="s">
        <v>263</v>
      </c>
      <c r="C1269" s="16">
        <v>-3.0244375746041148</v>
      </c>
      <c r="D1269" s="16">
        <v>-0.99087268863747735</v>
      </c>
      <c r="E1269" s="16">
        <v>-5.1872850520068834</v>
      </c>
      <c r="F1269" s="16">
        <v>-8.0820114944625931</v>
      </c>
    </row>
    <row r="1270" spans="2:6" x14ac:dyDescent="0.35">
      <c r="B1270" s="7" t="s">
        <v>264</v>
      </c>
      <c r="C1270" s="16">
        <v>-1.9363604641307721</v>
      </c>
      <c r="D1270" s="16">
        <v>1.5281236464560475</v>
      </c>
      <c r="E1270" s="16">
        <v>-7.6938781909118195E-2</v>
      </c>
      <c r="F1270" s="16">
        <v>0.38749300385712515</v>
      </c>
    </row>
    <row r="1271" spans="2:6" x14ac:dyDescent="0.35">
      <c r="B1271" s="7" t="s">
        <v>265</v>
      </c>
      <c r="C1271" s="16">
        <v>-3.6763858132239897</v>
      </c>
      <c r="D1271" s="16">
        <v>-4.2031275594461306</v>
      </c>
      <c r="E1271" s="16">
        <v>-7.7953088938373751</v>
      </c>
      <c r="F1271" s="16">
        <v>-11.612089194050094</v>
      </c>
    </row>
    <row r="1272" spans="2:6" x14ac:dyDescent="0.35">
      <c r="B1272" s="7" t="s">
        <v>266</v>
      </c>
      <c r="C1272" s="16">
        <v>-6.2651062601208105</v>
      </c>
      <c r="D1272" s="16">
        <v>-2.3145258002299429</v>
      </c>
      <c r="E1272" s="16">
        <v>-9.752281172734909</v>
      </c>
      <c r="F1272" s="16">
        <v>-17.884282455778898</v>
      </c>
    </row>
    <row r="1273" spans="2:6" x14ac:dyDescent="0.35">
      <c r="B1273" s="7" t="s">
        <v>267</v>
      </c>
      <c r="C1273" s="16">
        <v>-3.1032920235742729</v>
      </c>
      <c r="D1273" s="16">
        <v>-3.6887583470122212</v>
      </c>
      <c r="E1273" s="16">
        <v>-7.2777615265801519</v>
      </c>
      <c r="F1273" s="16">
        <v>-9.4777324232169207</v>
      </c>
    </row>
    <row r="1274" spans="2:6" x14ac:dyDescent="0.35">
      <c r="B1274" s="7" t="s">
        <v>268</v>
      </c>
      <c r="C1274" s="16">
        <v>-0.9909233463875925</v>
      </c>
      <c r="D1274" s="16">
        <v>0.51483633551077168</v>
      </c>
      <c r="E1274" s="16">
        <v>-2.3307944584282887</v>
      </c>
      <c r="F1274" s="16">
        <v>3.8568324647844814</v>
      </c>
    </row>
    <row r="1275" spans="2:6" x14ac:dyDescent="0.35">
      <c r="B1275" s="7" t="s">
        <v>269</v>
      </c>
      <c r="C1275" s="16">
        <v>-0.41862911427753818</v>
      </c>
      <c r="D1275" s="16">
        <v>2.2191757984220191</v>
      </c>
      <c r="E1275" s="16">
        <v>0.97791246700903967</v>
      </c>
      <c r="F1275" s="16">
        <v>2.710135820517475</v>
      </c>
    </row>
    <row r="1276" spans="2:6" x14ac:dyDescent="0.35">
      <c r="B1276" s="7" t="s">
        <v>270</v>
      </c>
      <c r="C1276" s="16">
        <v>2.0600592452835769</v>
      </c>
      <c r="D1276" s="16">
        <v>3.7783015091243426</v>
      </c>
      <c r="E1276" s="16">
        <v>5.5223373809852667</v>
      </c>
      <c r="F1276" s="16">
        <v>13.168909292280173</v>
      </c>
    </row>
    <row r="1277" spans="2:6" x14ac:dyDescent="0.35">
      <c r="B1277" s="7" t="s">
        <v>271</v>
      </c>
      <c r="C1277" s="16">
        <v>0.37371733470203722</v>
      </c>
      <c r="D1277" s="16">
        <v>0.35538816001334061</v>
      </c>
      <c r="E1277" s="16">
        <v>0.84002666567471018</v>
      </c>
      <c r="F1277" s="16">
        <v>5.4423574417502598</v>
      </c>
    </row>
    <row r="1278" spans="2:6" x14ac:dyDescent="0.35">
      <c r="B1278" s="7" t="s">
        <v>272</v>
      </c>
      <c r="C1278" s="16">
        <v>-1.1690012127885627</v>
      </c>
      <c r="D1278" s="16">
        <v>-0.30559368635432527</v>
      </c>
      <c r="E1278" s="16">
        <v>-1.616733651318071</v>
      </c>
      <c r="F1278" s="16">
        <v>0.71865741268368899</v>
      </c>
    </row>
    <row r="1279" spans="2:6" x14ac:dyDescent="0.35">
      <c r="B1279" s="7" t="s">
        <v>273</v>
      </c>
      <c r="C1279" s="16">
        <v>-0.71661994881818891</v>
      </c>
      <c r="D1279" s="16">
        <v>-2.0062269784961524</v>
      </c>
      <c r="E1279" s="16">
        <v>-1.528734324022335</v>
      </c>
      <c r="F1279" s="16">
        <v>0.55372140541250114</v>
      </c>
    </row>
    <row r="1280" spans="2:6" x14ac:dyDescent="0.35">
      <c r="B1280" s="7" t="s">
        <v>274</v>
      </c>
      <c r="C1280" s="16">
        <v>-0.10598012191118471</v>
      </c>
      <c r="D1280" s="16">
        <v>-1.2399526673966683</v>
      </c>
      <c r="E1280" s="16">
        <v>-0.20329945890473686</v>
      </c>
      <c r="F1280" s="16">
        <v>2.8442616577617832</v>
      </c>
    </row>
    <row r="1281" spans="2:6" x14ac:dyDescent="0.35">
      <c r="B1281" s="7" t="s">
        <v>275</v>
      </c>
      <c r="C1281" s="16">
        <v>0.31337954098214482</v>
      </c>
      <c r="D1281" s="16">
        <v>-0.21407040725172397</v>
      </c>
      <c r="E1281" s="16">
        <v>1.2619582826403268</v>
      </c>
      <c r="F1281" s="16">
        <v>5.2323769829086952</v>
      </c>
    </row>
    <row r="1282" spans="2:6" x14ac:dyDescent="0.35">
      <c r="B1282" s="7" t="s">
        <v>276</v>
      </c>
      <c r="C1282" s="16">
        <v>0.86641744915231844</v>
      </c>
      <c r="D1282" s="16">
        <v>0.76396852271665416</v>
      </c>
      <c r="E1282" s="16">
        <v>2.5357015377788725</v>
      </c>
      <c r="F1282" s="16">
        <v>7.3923093867530998</v>
      </c>
    </row>
    <row r="1283" spans="2:6" x14ac:dyDescent="0.35">
      <c r="B1283" s="7" t="s">
        <v>277</v>
      </c>
      <c r="C1283" s="16">
        <v>1.3894625795015081</v>
      </c>
      <c r="D1283" s="16">
        <v>0.60691842541496632</v>
      </c>
      <c r="E1283" s="16">
        <v>0.33898845744098322</v>
      </c>
      <c r="F1283" s="16">
        <v>4.6824460002178521</v>
      </c>
    </row>
    <row r="1284" spans="2:6" x14ac:dyDescent="0.35">
      <c r="B1284" s="7" t="s">
        <v>278</v>
      </c>
      <c r="C1284" s="16">
        <v>2.1772793663568568</v>
      </c>
      <c r="D1284" s="16">
        <v>1.6008444683274087E-2</v>
      </c>
      <c r="E1284" s="16">
        <v>0.13628734077526439</v>
      </c>
      <c r="F1284" s="16">
        <v>2.5758282776019099</v>
      </c>
    </row>
    <row r="1285" spans="2:6" x14ac:dyDescent="0.35">
      <c r="B1285" s="7" t="s">
        <v>279</v>
      </c>
      <c r="C1285" s="16">
        <v>4.1593708786470449</v>
      </c>
      <c r="D1285" s="16">
        <v>2.4711175445427882</v>
      </c>
      <c r="E1285" s="16">
        <v>4.6023036734624956</v>
      </c>
      <c r="F1285" s="16">
        <v>10.41192356042945</v>
      </c>
    </row>
    <row r="1286" spans="2:6" x14ac:dyDescent="0.35">
      <c r="B1286" s="7" t="s">
        <v>280</v>
      </c>
      <c r="C1286" s="16">
        <v>2.2960413617376116</v>
      </c>
      <c r="D1286" s="16">
        <v>-1.1168102574547061</v>
      </c>
      <c r="E1286" s="16">
        <v>-2.24498068879093</v>
      </c>
      <c r="F1286" s="16">
        <v>-0.89328134959288985</v>
      </c>
    </row>
    <row r="1287" spans="2:6" x14ac:dyDescent="0.35">
      <c r="B1287" s="7" t="s">
        <v>281</v>
      </c>
      <c r="C1287" s="16">
        <v>1.9029759687875181</v>
      </c>
      <c r="D1287" s="16">
        <v>-1.9418085260740625</v>
      </c>
      <c r="E1287" s="16">
        <v>-3.6226766226155367</v>
      </c>
      <c r="F1287" s="16">
        <v>-2.9123139259019606</v>
      </c>
    </row>
    <row r="1288" spans="2:6" x14ac:dyDescent="0.35">
      <c r="B1288" s="7" t="s">
        <v>282</v>
      </c>
      <c r="C1288" s="16">
        <v>2.7484226257079212</v>
      </c>
      <c r="D1288" s="16">
        <v>-1.3090047354973051</v>
      </c>
      <c r="E1288" s="16">
        <v>-0.40469427940426139</v>
      </c>
      <c r="F1288" s="16">
        <v>2.2407279873884129</v>
      </c>
    </row>
    <row r="1289" spans="2:6" x14ac:dyDescent="0.35">
      <c r="B1289" s="7" t="s">
        <v>283</v>
      </c>
      <c r="C1289" s="16">
        <v>0.70073099273587092</v>
      </c>
      <c r="D1289" s="16">
        <v>-3.6758134644902487</v>
      </c>
      <c r="E1289" s="16">
        <v>-5.7009297683675424</v>
      </c>
      <c r="F1289" s="16">
        <v>-6.7372910071706498</v>
      </c>
    </row>
    <row r="1290" spans="2:6" x14ac:dyDescent="0.35">
      <c r="B1290" s="7" t="s">
        <v>284</v>
      </c>
      <c r="C1290" s="16">
        <v>4.06820465251855</v>
      </c>
      <c r="D1290" s="16">
        <v>0.81052765967363138</v>
      </c>
      <c r="E1290" s="16">
        <v>3.1551326705158189</v>
      </c>
      <c r="F1290" s="16">
        <v>7.4505731593795979</v>
      </c>
    </row>
    <row r="1291" spans="2:6" x14ac:dyDescent="0.35">
      <c r="B1291" s="7" t="s">
        <v>285</v>
      </c>
      <c r="C1291" s="16">
        <v>4.7433053028109553</v>
      </c>
      <c r="D1291" s="16">
        <v>1.8961236232127181</v>
      </c>
      <c r="E1291" s="16">
        <v>5.0116281237196425</v>
      </c>
      <c r="F1291" s="16">
        <v>10.776270271039424</v>
      </c>
    </row>
    <row r="1292" spans="2:6" x14ac:dyDescent="0.35">
      <c r="B1292" s="7" t="s">
        <v>286</v>
      </c>
      <c r="C1292" s="16">
        <v>0.70073099273587092</v>
      </c>
      <c r="D1292" s="16">
        <v>-2.5005660588741203</v>
      </c>
      <c r="E1292" s="16">
        <v>-4.4477977656179606</v>
      </c>
      <c r="F1292" s="16">
        <v>-5.6717970470018217</v>
      </c>
    </row>
    <row r="1293" spans="2:6" x14ac:dyDescent="0.35">
      <c r="B1293" s="7" t="s">
        <v>287</v>
      </c>
      <c r="C1293" s="16">
        <v>2.4741192281385818</v>
      </c>
      <c r="D1293" s="16">
        <v>-0.1644235496986296</v>
      </c>
      <c r="E1293" s="16">
        <v>2.0741349547086121</v>
      </c>
      <c r="F1293" s="16">
        <v>4.0800451428203468</v>
      </c>
    </row>
    <row r="1294" spans="2:6" x14ac:dyDescent="0.35">
      <c r="B1294" s="7" t="s">
        <v>288</v>
      </c>
      <c r="C1294" s="16">
        <v>0.23926366803666402</v>
      </c>
      <c r="D1294" s="16">
        <v>-2.6782264985874296</v>
      </c>
      <c r="E1294" s="16">
        <v>-3.6409031116753239</v>
      </c>
      <c r="F1294" s="16">
        <v>-6.0023227021029806</v>
      </c>
    </row>
    <row r="1295" spans="2:6" x14ac:dyDescent="0.35">
      <c r="B1295" s="7" t="s">
        <v>289</v>
      </c>
      <c r="C1295" s="16">
        <v>1.9029759687875181</v>
      </c>
      <c r="D1295" s="16">
        <v>0.14557043054120367</v>
      </c>
      <c r="E1295" s="16">
        <v>1.0449932058291658</v>
      </c>
      <c r="F1295" s="16">
        <v>2.3839176998190399</v>
      </c>
    </row>
    <row r="1296" spans="2:6" x14ac:dyDescent="0.35">
      <c r="B1296" s="7" t="s">
        <v>290</v>
      </c>
      <c r="C1296" s="16">
        <v>3.3164245269024462</v>
      </c>
      <c r="D1296" s="16">
        <v>1.9047856440053597</v>
      </c>
      <c r="E1296" s="16">
        <v>4.3162970368980771</v>
      </c>
      <c r="F1296" s="16">
        <v>8.1968470242487683</v>
      </c>
    </row>
    <row r="1297" spans="2:6" x14ac:dyDescent="0.35">
      <c r="B1297" s="7" t="s">
        <v>291</v>
      </c>
      <c r="C1297" s="16">
        <v>3.3590624526149897</v>
      </c>
      <c r="D1297" s="16">
        <v>4.0816177909081075</v>
      </c>
      <c r="E1297" s="16">
        <v>7.9479023438296128</v>
      </c>
      <c r="F1297" s="16">
        <v>13.23802314491784</v>
      </c>
    </row>
    <row r="1298" spans="2:6" x14ac:dyDescent="0.35">
      <c r="B1298" s="7" t="s">
        <v>292</v>
      </c>
      <c r="C1298" s="16">
        <v>3.1392604586819646</v>
      </c>
      <c r="D1298" s="16">
        <v>3.9566924331267308</v>
      </c>
      <c r="E1298" s="16">
        <v>7.24854602722721</v>
      </c>
      <c r="F1298" s="16">
        <v>12.633897863805753</v>
      </c>
    </row>
    <row r="1299" spans="2:6" x14ac:dyDescent="0.35">
      <c r="B1299" s="7" t="s">
        <v>293</v>
      </c>
      <c r="C1299" s="16">
        <v>-0.63070290159114561</v>
      </c>
      <c r="D1299" s="16">
        <v>-0.24296477782655992</v>
      </c>
      <c r="E1299" s="16">
        <v>-2.4512702374705428</v>
      </c>
      <c r="F1299" s="16">
        <v>-0.39682320862641812</v>
      </c>
    </row>
    <row r="1300" spans="2:6" x14ac:dyDescent="0.35">
      <c r="B1300" s="7" t="s">
        <v>294</v>
      </c>
      <c r="C1300" s="16">
        <v>1.9723288992384624</v>
      </c>
      <c r="D1300" s="16">
        <v>2.0926497711292895</v>
      </c>
      <c r="E1300" s="16">
        <v>6.2562970181856832</v>
      </c>
      <c r="F1300" s="16">
        <v>11.166272125767616</v>
      </c>
    </row>
    <row r="1301" spans="2:6" x14ac:dyDescent="0.35">
      <c r="B1301" s="7" t="s">
        <v>295</v>
      </c>
      <c r="C1301" s="16">
        <v>1.5286821103954027</v>
      </c>
      <c r="D1301" s="16">
        <v>3.2512487634037583</v>
      </c>
      <c r="E1301" s="16">
        <v>7.4511333393432198</v>
      </c>
      <c r="F1301" s="16">
        <v>9.3711579943138297</v>
      </c>
    </row>
    <row r="1302" spans="2:6" x14ac:dyDescent="0.35">
      <c r="B1302" s="7" t="s">
        <v>296</v>
      </c>
      <c r="C1302" s="16">
        <v>-4.4559659209137665</v>
      </c>
      <c r="D1302" s="16">
        <v>-2.0614431338564172</v>
      </c>
      <c r="E1302" s="16">
        <v>-0.50082403856185487</v>
      </c>
      <c r="F1302" s="16">
        <v>-2.8536295529438118</v>
      </c>
    </row>
    <row r="1303" spans="2:6" x14ac:dyDescent="0.35">
      <c r="B1303" s="7" t="s">
        <v>297</v>
      </c>
      <c r="C1303" s="16">
        <v>-2.5586521585541608</v>
      </c>
      <c r="D1303" s="16">
        <v>-0.15213641807802789</v>
      </c>
      <c r="E1303" s="16">
        <v>4.2991860804955939</v>
      </c>
      <c r="F1303" s="16">
        <v>4.179592369237958</v>
      </c>
    </row>
    <row r="1304" spans="2:6" x14ac:dyDescent="0.35">
      <c r="B1304" s="7" t="s">
        <v>298</v>
      </c>
      <c r="C1304" s="16">
        <v>-2.8000636855947021</v>
      </c>
      <c r="D1304" s="16">
        <v>-0.61825753902381242</v>
      </c>
      <c r="E1304" s="16">
        <v>2.765090533867935</v>
      </c>
      <c r="F1304" s="16">
        <v>1.4402115982293562</v>
      </c>
    </row>
    <row r="1305" spans="2:6" x14ac:dyDescent="0.35">
      <c r="B1305" s="7" t="s">
        <v>299</v>
      </c>
      <c r="C1305" s="16">
        <v>-2.3054773838488227</v>
      </c>
      <c r="D1305" s="16">
        <v>1.7754373662824292E-2</v>
      </c>
      <c r="E1305" s="16">
        <v>3.1631897724617426</v>
      </c>
      <c r="F1305" s="16">
        <v>2.9266694059552418</v>
      </c>
    </row>
    <row r="1306" spans="2:6" x14ac:dyDescent="0.35">
      <c r="B1306" s="7" t="s">
        <v>300</v>
      </c>
      <c r="C1306" s="16">
        <v>-3.1032920235742729</v>
      </c>
      <c r="D1306" s="16">
        <v>-1.4779150763278706</v>
      </c>
      <c r="E1306" s="16">
        <v>0.10891942434466156</v>
      </c>
      <c r="F1306" s="16">
        <v>-3.1601346790216596</v>
      </c>
    </row>
    <row r="1307" spans="2:6" x14ac:dyDescent="0.35">
      <c r="B1307" s="7" t="s">
        <v>301</v>
      </c>
      <c r="C1307" s="16">
        <v>-3.6763858132239897</v>
      </c>
      <c r="D1307" s="16">
        <v>-1.9148541656194391</v>
      </c>
      <c r="E1307" s="16">
        <v>-9.7770987200468715E-2</v>
      </c>
      <c r="F1307" s="16">
        <v>-1.3792994281277724</v>
      </c>
    </row>
    <row r="1308" spans="2:6" x14ac:dyDescent="0.35">
      <c r="B1308" s="7" t="s">
        <v>302</v>
      </c>
      <c r="C1308" s="16">
        <v>-0.9909233463875925</v>
      </c>
      <c r="D1308" s="16">
        <v>0.92109718867442858</v>
      </c>
      <c r="E1308" s="16">
        <v>5.2827234015255629</v>
      </c>
      <c r="F1308" s="16">
        <v>8.1205407424223033</v>
      </c>
    </row>
    <row r="1309" spans="2:6" x14ac:dyDescent="0.35">
      <c r="B1309" s="7" t="s">
        <v>303</v>
      </c>
      <c r="C1309" s="16">
        <v>-2.157854905831095</v>
      </c>
      <c r="D1309" s="16">
        <v>0.46930283576765303</v>
      </c>
      <c r="E1309" s="16">
        <v>5.653693042298733</v>
      </c>
      <c r="F1309" s="16">
        <v>6.4381189666010394</v>
      </c>
    </row>
    <row r="1310" spans="2:6" x14ac:dyDescent="0.35">
      <c r="B1310" s="7" t="s">
        <v>304</v>
      </c>
      <c r="C1310" s="16">
        <v>-0.16297222872806069</v>
      </c>
      <c r="D1310" s="16">
        <v>3.4347301943787834</v>
      </c>
      <c r="E1310" s="16">
        <v>8.7733313046273675</v>
      </c>
      <c r="F1310" s="16">
        <v>10.662800040825068</v>
      </c>
    </row>
    <row r="1311" spans="2:6" x14ac:dyDescent="0.35">
      <c r="B1311" s="7" t="s">
        <v>305</v>
      </c>
      <c r="C1311" s="16">
        <v>-0.9909233463875925</v>
      </c>
      <c r="D1311" s="16">
        <v>1.8084682909188883</v>
      </c>
      <c r="E1311" s="16">
        <v>3.3212629008978083</v>
      </c>
      <c r="F1311" s="16">
        <v>2.7028592449607478</v>
      </c>
    </row>
    <row r="1312" spans="2:6" x14ac:dyDescent="0.35">
      <c r="B1312" s="7" t="s">
        <v>306</v>
      </c>
      <c r="C1312" s="16">
        <v>-1.0884922611310877</v>
      </c>
      <c r="D1312" s="16">
        <v>1.4056321807761414</v>
      </c>
      <c r="E1312" s="16">
        <v>3.0885544367699143</v>
      </c>
      <c r="F1312" s="16">
        <v>5.4871226450676431</v>
      </c>
    </row>
    <row r="1313" spans="2:6" x14ac:dyDescent="0.35">
      <c r="B1313" s="7" t="s">
        <v>307</v>
      </c>
      <c r="C1313" s="16">
        <v>4.1336167260680945</v>
      </c>
      <c r="D1313" s="16">
        <v>4.6399829836905822</v>
      </c>
      <c r="E1313" s="16">
        <v>2.1402125299366941</v>
      </c>
      <c r="F1313" s="16">
        <v>-0.95850189125524254</v>
      </c>
    </row>
    <row r="1314" spans="2:6" x14ac:dyDescent="0.35">
      <c r="B1314" s="7" t="s">
        <v>308</v>
      </c>
      <c r="C1314" s="16">
        <v>5.6359334646851185</v>
      </c>
      <c r="D1314" s="16">
        <v>3.5129148875903122</v>
      </c>
      <c r="E1314" s="16">
        <v>5.0545576201451112</v>
      </c>
      <c r="F1314" s="16">
        <v>4.6455738596469933</v>
      </c>
    </row>
    <row r="1315" spans="2:6" x14ac:dyDescent="0.35">
      <c r="B1315" s="7" t="s">
        <v>309</v>
      </c>
      <c r="C1315" s="16">
        <v>5.9172054064469943</v>
      </c>
      <c r="D1315" s="16">
        <v>4.335115114038592</v>
      </c>
      <c r="E1315" s="16">
        <v>7.2007416538413738</v>
      </c>
      <c r="F1315" s="16">
        <v>6.4460301303009375</v>
      </c>
    </row>
    <row r="1316" spans="2:6" x14ac:dyDescent="0.35">
      <c r="B1316" s="7" t="s">
        <v>310</v>
      </c>
      <c r="C1316" s="16">
        <v>4.8232909328295905</v>
      </c>
      <c r="D1316" s="16">
        <v>1.8107916089375573</v>
      </c>
      <c r="E1316" s="16">
        <v>2.2236364592463582</v>
      </c>
      <c r="F1316" s="16">
        <v>-0.20894746887234514</v>
      </c>
    </row>
    <row r="1317" spans="2:6" x14ac:dyDescent="0.35">
      <c r="B1317" s="7" t="s">
        <v>311</v>
      </c>
      <c r="C1317" s="16">
        <v>6.417464102673482</v>
      </c>
      <c r="D1317" s="16">
        <v>3.9115409415432962</v>
      </c>
      <c r="E1317" s="16">
        <v>6.3116184388739978</v>
      </c>
      <c r="F1317" s="16">
        <v>7.0302129905096198</v>
      </c>
    </row>
    <row r="1318" spans="2:6" x14ac:dyDescent="0.35">
      <c r="B1318" s="7" t="s">
        <v>312</v>
      </c>
      <c r="C1318" s="16">
        <v>7.1233098083370301</v>
      </c>
      <c r="D1318" s="16">
        <v>4.7319504107944308</v>
      </c>
      <c r="E1318" s="16">
        <v>7.5412676776236687</v>
      </c>
      <c r="F1318" s="16">
        <v>9.0036106388541306</v>
      </c>
    </row>
    <row r="1319" spans="2:6" x14ac:dyDescent="0.35">
      <c r="B1319" s="7" t="s">
        <v>313</v>
      </c>
      <c r="C1319" s="16">
        <v>2.9062309019589665</v>
      </c>
      <c r="D1319" s="16">
        <v>2.7660661947657563</v>
      </c>
      <c r="E1319" s="16">
        <v>2.7376681696073577</v>
      </c>
      <c r="F1319" s="16">
        <v>-1.3233847068453295</v>
      </c>
    </row>
    <row r="1320" spans="2:6" x14ac:dyDescent="0.35">
      <c r="B1320" s="7" t="s">
        <v>314</v>
      </c>
      <c r="C1320" s="16">
        <v>2.9455888807400683</v>
      </c>
      <c r="D1320" s="16">
        <v>0.81853227419480556</v>
      </c>
      <c r="E1320" s="16">
        <v>-1.1340322527731217</v>
      </c>
      <c r="F1320" s="16">
        <v>-5.5328931920674034</v>
      </c>
    </row>
    <row r="1321" spans="2:6" x14ac:dyDescent="0.35">
      <c r="B1321" s="7" t="s">
        <v>315</v>
      </c>
      <c r="C1321" s="16">
        <v>4.7719424280957012</v>
      </c>
      <c r="D1321" s="16">
        <v>2.6579973303106996</v>
      </c>
      <c r="E1321" s="16">
        <v>4.5913450980390618</v>
      </c>
      <c r="F1321" s="16">
        <v>7.257641771598923</v>
      </c>
    </row>
    <row r="1322" spans="2:6" x14ac:dyDescent="0.35">
      <c r="B1322" s="7" t="s">
        <v>316</v>
      </c>
      <c r="C1322" s="16">
        <v>5.4291368262428685</v>
      </c>
      <c r="D1322" s="16">
        <v>3.6439748940140277</v>
      </c>
      <c r="E1322" s="16">
        <v>6.0554549524903543</v>
      </c>
      <c r="F1322" s="16">
        <v>9.3956251838836451</v>
      </c>
    </row>
    <row r="1323" spans="2:6" x14ac:dyDescent="0.35">
      <c r="B1323" s="7" t="s">
        <v>317</v>
      </c>
      <c r="C1323" s="16">
        <v>4.4108583651845592</v>
      </c>
      <c r="D1323" s="16">
        <v>3.2305025831075564</v>
      </c>
      <c r="E1323" s="16">
        <v>5.0472617463903591</v>
      </c>
      <c r="F1323" s="16">
        <v>6.5319862838176359</v>
      </c>
    </row>
    <row r="1324" spans="2:6" x14ac:dyDescent="0.35">
      <c r="B1324" s="7" t="s">
        <v>318</v>
      </c>
      <c r="C1324" s="16">
        <v>1.9309180071601273</v>
      </c>
      <c r="D1324" s="16">
        <v>0.30168988700871024</v>
      </c>
      <c r="E1324" s="16">
        <v>-1.3536711554243539</v>
      </c>
      <c r="F1324" s="16">
        <v>-3.7083628721372612</v>
      </c>
    </row>
    <row r="1325" spans="2:6" x14ac:dyDescent="0.35">
      <c r="B1325" s="7" t="s">
        <v>319</v>
      </c>
      <c r="C1325" s="16">
        <v>2.1836536930942128</v>
      </c>
      <c r="D1325" s="16">
        <v>3.3375541229540051</v>
      </c>
      <c r="E1325" s="16">
        <v>0.67469231013533026</v>
      </c>
      <c r="F1325" s="16">
        <v>0.79916839750195134</v>
      </c>
    </row>
    <row r="1326" spans="2:6" x14ac:dyDescent="0.35">
      <c r="B1326" s="7" t="s">
        <v>320</v>
      </c>
      <c r="C1326" s="16">
        <v>-0.29548702194677745</v>
      </c>
      <c r="D1326" s="16">
        <v>4.4666656062323433</v>
      </c>
      <c r="E1326" s="16">
        <v>6.7486712211403965</v>
      </c>
      <c r="F1326" s="16">
        <v>14.27792627485441</v>
      </c>
    </row>
    <row r="1327" spans="2:6" x14ac:dyDescent="0.35">
      <c r="B1327" s="7" t="s">
        <v>321</v>
      </c>
      <c r="C1327" s="16">
        <v>-2.3054773838488227</v>
      </c>
      <c r="D1327" s="16">
        <v>2.2650772486965538</v>
      </c>
      <c r="E1327" s="16">
        <v>2.1116361113327131</v>
      </c>
      <c r="F1327" s="16">
        <v>6.1431152118396568</v>
      </c>
    </row>
    <row r="1328" spans="2:6" x14ac:dyDescent="0.35">
      <c r="B1328" s="7" t="s">
        <v>322</v>
      </c>
      <c r="C1328" s="16">
        <v>-0.41862911427753818</v>
      </c>
      <c r="D1328" s="16">
        <v>-2.1883429032418205</v>
      </c>
      <c r="E1328" s="16">
        <v>-3.7093713315825734</v>
      </c>
      <c r="F1328" s="16">
        <v>-3.1955063527219218</v>
      </c>
    </row>
    <row r="1329" spans="2:6" x14ac:dyDescent="0.35">
      <c r="B1329" s="7" t="s">
        <v>323</v>
      </c>
      <c r="C1329" s="16">
        <v>-2.7289981651821575</v>
      </c>
      <c r="D1329" s="16">
        <v>-3.9981978362582091</v>
      </c>
      <c r="E1329" s="16">
        <v>-8.4339983961425631</v>
      </c>
      <c r="F1329" s="16">
        <v>-11.208660749431679</v>
      </c>
    </row>
    <row r="1330" spans="2:6" x14ac:dyDescent="0.35">
      <c r="B1330" s="7" t="s">
        <v>324</v>
      </c>
      <c r="C1330" s="16">
        <v>-2.0727844558583697</v>
      </c>
      <c r="D1330" s="16">
        <v>0.46594519268399948</v>
      </c>
      <c r="E1330" s="16">
        <v>-3.61116774315505</v>
      </c>
      <c r="F1330" s="16">
        <v>-2.0358023737057755</v>
      </c>
    </row>
    <row r="1331" spans="2:6" x14ac:dyDescent="0.35">
      <c r="B1331" s="7" t="s">
        <v>325</v>
      </c>
      <c r="C1331" s="16">
        <v>-1.9631328185428136</v>
      </c>
      <c r="D1331" s="16">
        <v>-4.4551487019554772</v>
      </c>
      <c r="E1331" s="16">
        <v>-6.7650939031937805</v>
      </c>
      <c r="F1331" s="16">
        <v>-8.3566953539680782</v>
      </c>
    </row>
    <row r="1332" spans="2:6" x14ac:dyDescent="0.35">
      <c r="B1332" s="7" t="s">
        <v>326</v>
      </c>
      <c r="C1332" s="16">
        <v>-1.3807148214714</v>
      </c>
      <c r="D1332" s="16">
        <v>-2.0475700173473625</v>
      </c>
      <c r="E1332" s="16">
        <v>-2.2028808443890289</v>
      </c>
      <c r="F1332" s="16">
        <v>-1.9945407955484842</v>
      </c>
    </row>
    <row r="1333" spans="2:6" x14ac:dyDescent="0.35">
      <c r="B1333" s="7" t="s">
        <v>327</v>
      </c>
      <c r="C1333" s="16">
        <v>0.36175055095190028</v>
      </c>
      <c r="D1333" s="16">
        <v>-3.2709873308264674</v>
      </c>
      <c r="E1333" s="16">
        <v>-2.1699826646781148</v>
      </c>
      <c r="F1333" s="16">
        <v>0.10985138440059559</v>
      </c>
    </row>
    <row r="1334" spans="2:6" x14ac:dyDescent="0.35">
      <c r="B1334" s="7" t="s">
        <v>328</v>
      </c>
      <c r="C1334" s="16">
        <v>-1.402768625520054</v>
      </c>
      <c r="D1334" s="16">
        <v>-3.9047579953581644</v>
      </c>
      <c r="E1334" s="16">
        <v>-5.0617565135920541</v>
      </c>
      <c r="F1334" s="16">
        <v>-5.6616787912714086</v>
      </c>
    </row>
    <row r="1335" spans="2:6" x14ac:dyDescent="0.35">
      <c r="B1335" s="7" t="s">
        <v>329</v>
      </c>
      <c r="C1335" s="16">
        <v>-0.51457157667738684</v>
      </c>
      <c r="D1335" s="16">
        <v>-2.6279860950307659</v>
      </c>
      <c r="E1335" s="16">
        <v>-2.8766653140137595</v>
      </c>
      <c r="F1335" s="16">
        <v>-1.9198654409300895</v>
      </c>
    </row>
    <row r="1336" spans="2:6" x14ac:dyDescent="0.35">
      <c r="B1336" s="7" t="s">
        <v>330</v>
      </c>
      <c r="C1336" s="16">
        <v>-1.7059969634996925</v>
      </c>
      <c r="D1336" s="16">
        <v>-2.271700422520091</v>
      </c>
      <c r="E1336" s="16">
        <v>-2.8550005269866401</v>
      </c>
      <c r="F1336" s="16">
        <v>-3.2690155349139252</v>
      </c>
    </row>
    <row r="1337" spans="2:6" x14ac:dyDescent="0.35">
      <c r="B1337" s="7" t="s">
        <v>331</v>
      </c>
      <c r="C1337" s="16">
        <v>-0.63070290159114561</v>
      </c>
      <c r="D1337" s="16">
        <v>-0.80099288208916386</v>
      </c>
      <c r="E1337" s="16">
        <v>-1.1912109573090277</v>
      </c>
      <c r="F1337" s="16">
        <v>-3.9509491491576398E-2</v>
      </c>
    </row>
    <row r="1338" spans="2:6" x14ac:dyDescent="0.35">
      <c r="B1338" s="7" t="s">
        <v>332</v>
      </c>
      <c r="C1338" s="16">
        <v>-0.87804584584016088</v>
      </c>
      <c r="D1338" s="16">
        <v>1.0432792134829201</v>
      </c>
      <c r="E1338" s="16">
        <v>2.4665555658868636</v>
      </c>
      <c r="F1338" s="16">
        <v>5.8859245933688502</v>
      </c>
    </row>
    <row r="1339" spans="2:6" x14ac:dyDescent="0.35">
      <c r="B1339" s="7" t="s">
        <v>333</v>
      </c>
      <c r="C1339" s="16">
        <v>0.9943499483477044</v>
      </c>
      <c r="D1339" s="16">
        <v>4.1384387435242012</v>
      </c>
      <c r="E1339" s="16">
        <v>7.3571906494232495</v>
      </c>
      <c r="F1339" s="16">
        <v>15.157118210807878</v>
      </c>
    </row>
    <row r="1340" spans="2:6" x14ac:dyDescent="0.35">
      <c r="B1340" s="7" t="s">
        <v>334</v>
      </c>
      <c r="C1340" s="16">
        <v>-0.38734611773753819</v>
      </c>
      <c r="D1340" s="16">
        <v>1.4078614843244435</v>
      </c>
      <c r="E1340" s="16">
        <v>0.87945963324282772</v>
      </c>
      <c r="F1340" s="16">
        <v>5.0135533612812537</v>
      </c>
    </row>
    <row r="1341" spans="2:6" x14ac:dyDescent="0.35">
      <c r="B1341" s="7" t="s">
        <v>335</v>
      </c>
      <c r="C1341" s="16">
        <v>-1.9901565602411655</v>
      </c>
      <c r="D1341" s="16">
        <v>3.2857652488232851E-2</v>
      </c>
      <c r="E1341" s="16">
        <v>-4.0095049561324316</v>
      </c>
      <c r="F1341" s="16">
        <v>-2.6571785721272958</v>
      </c>
    </row>
    <row r="1342" spans="2:6" x14ac:dyDescent="0.35">
      <c r="B1342" s="7" t="s">
        <v>336</v>
      </c>
      <c r="C1342" s="16">
        <v>-2.6255855786941811</v>
      </c>
      <c r="D1342" s="16">
        <v>-0.56879495352558673</v>
      </c>
      <c r="E1342" s="16">
        <v>-5.5194168207994814</v>
      </c>
      <c r="F1342" s="16">
        <v>-5.2440179955513253</v>
      </c>
    </row>
    <row r="1343" spans="2:6" x14ac:dyDescent="0.35">
      <c r="B1343" s="7" t="s">
        <v>337</v>
      </c>
      <c r="C1343" s="16">
        <v>-0.9528034865093965</v>
      </c>
      <c r="D1343" s="16">
        <v>1.6450922670779822</v>
      </c>
      <c r="E1343" s="16">
        <v>-1.9204896145913102</v>
      </c>
      <c r="F1343" s="16">
        <v>1.6106135519556415</v>
      </c>
    </row>
    <row r="1344" spans="2:6" x14ac:dyDescent="0.35">
      <c r="B1344" s="7" t="s">
        <v>338</v>
      </c>
      <c r="C1344" s="16">
        <v>-1.424992730899951</v>
      </c>
      <c r="D1344" s="16">
        <v>0.64876211763058111</v>
      </c>
      <c r="E1344" s="16">
        <v>0.38997353109843719</v>
      </c>
      <c r="F1344" s="16">
        <v>8.7326925906297412E-2</v>
      </c>
    </row>
    <row r="1345" spans="2:6" x14ac:dyDescent="0.35">
      <c r="B1345" s="7" t="s">
        <v>339</v>
      </c>
      <c r="C1345" s="16">
        <v>-1.4927136752877124</v>
      </c>
      <c r="D1345" s="16">
        <v>-1.6144989750461336</v>
      </c>
      <c r="E1345" s="16">
        <v>-2.7913879218175555</v>
      </c>
      <c r="F1345" s="16">
        <v>-5.8487052071043228</v>
      </c>
    </row>
    <row r="1346" spans="2:6" x14ac:dyDescent="0.35">
      <c r="B1346" s="7" t="s">
        <v>340</v>
      </c>
      <c r="C1346" s="16">
        <v>1.1075976344182599</v>
      </c>
      <c r="D1346" s="16">
        <v>-1.5898889621631653</v>
      </c>
      <c r="E1346" s="16">
        <v>-3.1462123125477897</v>
      </c>
      <c r="F1346" s="16">
        <v>-4.3797225215128055</v>
      </c>
    </row>
    <row r="1347" spans="2:6" x14ac:dyDescent="0.35">
      <c r="B1347" s="7" t="s">
        <v>341</v>
      </c>
      <c r="C1347" s="16">
        <v>1.5997476308078826</v>
      </c>
      <c r="D1347" s="16">
        <v>-0.93024999632746086</v>
      </c>
      <c r="E1347" s="16">
        <v>-2.0262426335165293</v>
      </c>
      <c r="F1347" s="16">
        <v>-2.481044817479281</v>
      </c>
    </row>
    <row r="1348" spans="2:6" x14ac:dyDescent="0.35">
      <c r="B1348" s="7" t="s">
        <v>342</v>
      </c>
      <c r="C1348" s="16">
        <v>0.31337954098214482</v>
      </c>
      <c r="D1348" s="16">
        <v>0.92269533548317684</v>
      </c>
      <c r="E1348" s="16">
        <v>1.0124712105428006</v>
      </c>
      <c r="F1348" s="16">
        <v>0.88439967208240533</v>
      </c>
    </row>
    <row r="1349" spans="2:6" x14ac:dyDescent="0.35">
      <c r="B1349" s="7" t="s">
        <v>343</v>
      </c>
      <c r="C1349" s="16">
        <v>-4.0398600823866975</v>
      </c>
      <c r="D1349" s="16">
        <v>0.10641496194996568</v>
      </c>
      <c r="E1349" s="16">
        <v>-2.6980263762144112</v>
      </c>
      <c r="F1349" s="16">
        <v>-1.7474035896591316</v>
      </c>
    </row>
    <row r="1350" spans="2:6" x14ac:dyDescent="0.35">
      <c r="B1350" s="7" t="s">
        <v>344</v>
      </c>
      <c r="C1350" s="16">
        <v>-1.9631328185428136</v>
      </c>
      <c r="D1350" s="16">
        <v>2.1856439827361545</v>
      </c>
      <c r="E1350" s="16">
        <v>1.1690765175326006</v>
      </c>
      <c r="F1350" s="16">
        <v>4.767591192573934</v>
      </c>
    </row>
    <row r="1351" spans="2:6" x14ac:dyDescent="0.35">
      <c r="B1351" s="7" t="s">
        <v>345</v>
      </c>
      <c r="C1351" s="16">
        <v>0.53622865785242124</v>
      </c>
      <c r="D1351" s="16">
        <v>-2.4935047819303899</v>
      </c>
      <c r="E1351" s="16">
        <v>-4.0461744464612153</v>
      </c>
      <c r="F1351" s="16">
        <v>-6.0329905298827349</v>
      </c>
    </row>
    <row r="1352" spans="2:6" x14ac:dyDescent="0.35">
      <c r="B1352" s="7" t="s">
        <v>346</v>
      </c>
      <c r="C1352" s="16">
        <v>2.3204314004672715</v>
      </c>
      <c r="D1352" s="16">
        <v>-1.1579359403561842</v>
      </c>
      <c r="E1352" s="16">
        <v>-1.5203806241935272</v>
      </c>
      <c r="F1352" s="16">
        <v>-1.0151056051880423</v>
      </c>
    </row>
    <row r="1353" spans="2:6" x14ac:dyDescent="0.35">
      <c r="B1353" s="7" t="s">
        <v>347</v>
      </c>
      <c r="C1353" s="16">
        <v>1.3726320792241677</v>
      </c>
      <c r="D1353" s="16">
        <v>-0.16664839821872571</v>
      </c>
      <c r="E1353" s="16">
        <v>-2.1867623522760091</v>
      </c>
      <c r="F1353" s="16">
        <v>-1.1277412754120715</v>
      </c>
    </row>
    <row r="1354" spans="2:6" x14ac:dyDescent="0.35">
      <c r="B1354" s="7" t="s">
        <v>348</v>
      </c>
      <c r="C1354" s="16">
        <v>2.2341463451396977</v>
      </c>
      <c r="D1354" s="16">
        <v>1.9600187081781908</v>
      </c>
      <c r="E1354" s="16">
        <v>1.6108034078780427</v>
      </c>
      <c r="F1354" s="16">
        <v>4.3381719454543637</v>
      </c>
    </row>
    <row r="1355" spans="2:6" x14ac:dyDescent="0.35">
      <c r="B1355" s="7" t="s">
        <v>349</v>
      </c>
      <c r="C1355" s="16">
        <v>3.1301093942299234</v>
      </c>
      <c r="D1355" s="16">
        <v>-8.9032938911408344E-2</v>
      </c>
      <c r="E1355" s="16">
        <v>0.17405829923703023</v>
      </c>
      <c r="F1355" s="16">
        <v>1.1018050519126963</v>
      </c>
    </row>
    <row r="1356" spans="2:6" x14ac:dyDescent="0.35">
      <c r="B1356" s="7" t="s">
        <v>350</v>
      </c>
      <c r="C1356" s="16">
        <v>0.66857415154198452</v>
      </c>
      <c r="D1356" s="16">
        <v>-2.0915442666700796</v>
      </c>
      <c r="E1356" s="16">
        <v>-4.1843576752582017</v>
      </c>
      <c r="F1356" s="16">
        <v>-8.018166087559818</v>
      </c>
    </row>
    <row r="1357" spans="2:6" x14ac:dyDescent="0.35">
      <c r="B1357" s="7" t="s">
        <v>351</v>
      </c>
      <c r="C1357" s="16">
        <v>0.30115868463457501</v>
      </c>
      <c r="D1357" s="16">
        <v>-2.4595198802978504</v>
      </c>
      <c r="E1357" s="16">
        <v>-5.1050338852456685</v>
      </c>
      <c r="F1357" s="16">
        <v>-9.6573869238785868</v>
      </c>
    </row>
    <row r="1358" spans="2:6" x14ac:dyDescent="0.35">
      <c r="B1358" s="7" t="s">
        <v>352</v>
      </c>
      <c r="C1358" s="16">
        <v>0.64693489662547743</v>
      </c>
      <c r="D1358" s="16">
        <v>-2.7472334663676916</v>
      </c>
      <c r="E1358" s="16">
        <v>-4.8513132099731706</v>
      </c>
      <c r="F1358" s="16">
        <v>-7.1856429559253803</v>
      </c>
    </row>
    <row r="1359" spans="2:6" x14ac:dyDescent="0.35">
      <c r="B1359" s="7" t="s">
        <v>353</v>
      </c>
      <c r="C1359" s="16">
        <v>0.15031154818935369</v>
      </c>
      <c r="D1359" s="16">
        <v>-2.3847393652688584</v>
      </c>
      <c r="E1359" s="16">
        <v>-5.7827221897478669</v>
      </c>
      <c r="F1359" s="16">
        <v>-10.648113520113506</v>
      </c>
    </row>
    <row r="1360" spans="2:6" x14ac:dyDescent="0.35">
      <c r="B1360" s="7" t="s">
        <v>354</v>
      </c>
      <c r="C1360" s="16">
        <v>4.751143729840801</v>
      </c>
      <c r="D1360" s="16">
        <v>0.86497919851790561</v>
      </c>
      <c r="E1360" s="16">
        <v>0.376231060466233</v>
      </c>
      <c r="F1360" s="16">
        <v>-1.505522515485068</v>
      </c>
    </row>
    <row r="1361" spans="2:6" x14ac:dyDescent="0.35">
      <c r="B1361" s="7" t="s">
        <v>355</v>
      </c>
      <c r="C1361" s="16">
        <v>5.7098054283677149</v>
      </c>
      <c r="D1361" s="16">
        <v>2.1435247075735822</v>
      </c>
      <c r="E1361" s="16">
        <v>1.5359129985679647</v>
      </c>
      <c r="F1361" s="16">
        <v>0.31574340067869494</v>
      </c>
    </row>
    <row r="1362" spans="2:6" x14ac:dyDescent="0.35">
      <c r="B1362" s="7" t="s">
        <v>356</v>
      </c>
      <c r="C1362" s="16">
        <v>1.2165572974941588</v>
      </c>
      <c r="D1362" s="16">
        <v>-0.49950379579725462</v>
      </c>
      <c r="E1362" s="16">
        <v>-3.8621926601321501</v>
      </c>
      <c r="F1362" s="16">
        <v>-4.9637335323166489</v>
      </c>
    </row>
    <row r="1363" spans="2:6" x14ac:dyDescent="0.35">
      <c r="B1363" s="7" t="s">
        <v>357</v>
      </c>
      <c r="C1363" s="16">
        <v>2.4970516789184232</v>
      </c>
      <c r="D1363" s="16">
        <v>2.0371868255797474</v>
      </c>
      <c r="E1363" s="16">
        <v>-0.37945387074747899</v>
      </c>
      <c r="F1363" s="16">
        <v>0.89327137326185824</v>
      </c>
    </row>
    <row r="1364" spans="2:6" x14ac:dyDescent="0.35">
      <c r="B1364" s="7" t="s">
        <v>358</v>
      </c>
      <c r="C1364" s="16">
        <v>1.3043082213859252</v>
      </c>
      <c r="D1364" s="16">
        <v>0.62035547658831092</v>
      </c>
      <c r="E1364" s="16">
        <v>-2.0293276070246971</v>
      </c>
      <c r="F1364" s="16">
        <v>-0.67261429438265152</v>
      </c>
    </row>
    <row r="1365" spans="2:6" x14ac:dyDescent="0.35">
      <c r="B1365" s="7" t="s">
        <v>359</v>
      </c>
      <c r="C1365" s="16">
        <v>1.7664156722766777</v>
      </c>
      <c r="D1365" s="16">
        <v>1.3957422767456866</v>
      </c>
      <c r="E1365" s="16">
        <v>-2.2372276896602372</v>
      </c>
      <c r="F1365" s="16">
        <v>-0.26555279087254358</v>
      </c>
    </row>
    <row r="1366" spans="2:6" x14ac:dyDescent="0.35">
      <c r="B1366" s="7" t="s">
        <v>360</v>
      </c>
      <c r="C1366" s="16">
        <v>3.5075312789245023</v>
      </c>
      <c r="D1366" s="16">
        <v>4.5060713658389941</v>
      </c>
      <c r="E1366" s="16">
        <v>2.7656361691159361</v>
      </c>
      <c r="F1366" s="16">
        <v>4.5376473062471074</v>
      </c>
    </row>
    <row r="1367" spans="2:6" x14ac:dyDescent="0.35">
      <c r="B1367" s="7" t="s">
        <v>361</v>
      </c>
      <c r="C1367" s="16">
        <v>-9.0879400548834095</v>
      </c>
      <c r="D1367" s="16">
        <v>-5.6779538882992187</v>
      </c>
      <c r="E1367" s="16">
        <v>-15.237569907622879</v>
      </c>
      <c r="F1367" s="16">
        <v>-23.797048654338326</v>
      </c>
    </row>
    <row r="1368" spans="2:6" x14ac:dyDescent="0.35">
      <c r="B1368" s="7" t="s">
        <v>362</v>
      </c>
      <c r="C1368" s="16">
        <v>-2.9476861636124299</v>
      </c>
      <c r="D1368" s="16">
        <v>1.3879565825525069</v>
      </c>
      <c r="E1368" s="16">
        <v>-1.0842501173259567</v>
      </c>
      <c r="F1368" s="16">
        <v>0.94742501964109416</v>
      </c>
    </row>
    <row r="1369" spans="2:6" x14ac:dyDescent="0.35">
      <c r="B1369" s="7" t="s">
        <v>363</v>
      </c>
      <c r="C1369" s="16">
        <v>-5.2626770355607562</v>
      </c>
      <c r="D1369" s="16">
        <v>-1.0340359022049195</v>
      </c>
      <c r="E1369" s="16">
        <v>-6.4668526284969783</v>
      </c>
      <c r="F1369" s="16">
        <v>-8.3727903839119939</v>
      </c>
    </row>
    <row r="1370" spans="2:6" x14ac:dyDescent="0.35">
      <c r="B1370" s="7" t="s">
        <v>364</v>
      </c>
      <c r="C1370" s="16">
        <v>-7.4320378195643784</v>
      </c>
      <c r="D1370" s="16">
        <v>-3.3214300603755937</v>
      </c>
      <c r="E1370" s="16">
        <v>-11.369835826093899</v>
      </c>
      <c r="F1370" s="16">
        <v>-16.692934656847207</v>
      </c>
    </row>
    <row r="1371" spans="2:6" x14ac:dyDescent="0.35">
      <c r="B1371" s="7" t="s">
        <v>365</v>
      </c>
      <c r="C1371" s="16">
        <v>-1.0101743034189763</v>
      </c>
      <c r="D1371" s="16">
        <v>1.3873183708192531</v>
      </c>
      <c r="E1371" s="16">
        <v>1.5371179211435528</v>
      </c>
      <c r="F1371" s="16">
        <v>5.5201914820410654</v>
      </c>
    </row>
    <row r="1372" spans="2:6" x14ac:dyDescent="0.35">
      <c r="B1372" s="7" t="s">
        <v>366</v>
      </c>
      <c r="C1372" s="16">
        <v>0.44449157356525015</v>
      </c>
      <c r="D1372" s="16">
        <v>2.7732329686143018</v>
      </c>
      <c r="E1372" s="16">
        <v>3.4759798532799642</v>
      </c>
      <c r="F1372" s="16">
        <v>7.6241209423710981</v>
      </c>
    </row>
    <row r="1373" spans="2:6" x14ac:dyDescent="0.35">
      <c r="B1373" s="7" t="s">
        <v>367</v>
      </c>
      <c r="C1373" s="16">
        <v>5.4373714737646361</v>
      </c>
      <c r="D1373" s="16">
        <v>3.7299102856092898</v>
      </c>
      <c r="E1373" s="16">
        <v>4.9653715743190299</v>
      </c>
      <c r="F1373" s="16">
        <v>2.5142745225040173</v>
      </c>
    </row>
    <row r="1374" spans="2:6" ht="15" thickBot="1" x14ac:dyDescent="0.4">
      <c r="B1374" s="11" t="s">
        <v>368</v>
      </c>
      <c r="C1374" s="17">
        <v>0.70073099273587092</v>
      </c>
      <c r="D1374" s="17">
        <v>4.2358777751680528</v>
      </c>
      <c r="E1374" s="17">
        <v>13.690702724451535</v>
      </c>
      <c r="F1374" s="17">
        <v>20.35260649496276</v>
      </c>
    </row>
    <row r="1394" spans="2:7" x14ac:dyDescent="0.35">
      <c r="G1394" t="s">
        <v>103</v>
      </c>
    </row>
    <row r="1397" spans="2:7" x14ac:dyDescent="0.35">
      <c r="B1397" s="6" t="s">
        <v>376</v>
      </c>
    </row>
    <row r="1398" spans="2:7" ht="15" thickBot="1" x14ac:dyDescent="0.4"/>
    <row r="1399" spans="2:7" ht="29" x14ac:dyDescent="0.35">
      <c r="B1399" s="8" t="s">
        <v>377</v>
      </c>
      <c r="C1399" s="9" t="s">
        <v>96</v>
      </c>
      <c r="D1399" s="9" t="s">
        <v>97</v>
      </c>
      <c r="E1399" s="9" t="s">
        <v>98</v>
      </c>
      <c r="F1399" s="9" t="s">
        <v>99</v>
      </c>
    </row>
    <row r="1400" spans="2:7" x14ac:dyDescent="0.35">
      <c r="B1400" s="22" t="s">
        <v>0</v>
      </c>
      <c r="C1400" s="23">
        <v>0.40732147287652853</v>
      </c>
      <c r="D1400" s="23">
        <v>0.1450062887223682</v>
      </c>
      <c r="E1400" s="23">
        <v>4.1413021129475536E-2</v>
      </c>
      <c r="F1400" s="23">
        <v>-1.7108067672723326E-2</v>
      </c>
    </row>
    <row r="1401" spans="2:7" ht="15" thickBot="1" x14ac:dyDescent="0.4">
      <c r="B1401" s="34" t="s">
        <v>378</v>
      </c>
      <c r="C1401" s="35">
        <v>0.40732147287652853</v>
      </c>
      <c r="D1401" s="35">
        <v>0.1450062887223682</v>
      </c>
      <c r="E1401" s="35">
        <v>4.1413021129475536E-2</v>
      </c>
      <c r="F1401" s="35">
        <v>-1.7108067672723326E-2</v>
      </c>
    </row>
    <row r="1402" spans="2:7" x14ac:dyDescent="0.35">
      <c r="B1402" s="24"/>
      <c r="C1402" s="24"/>
      <c r="D1402" s="24"/>
      <c r="E1402" s="24"/>
      <c r="F1402" s="24"/>
    </row>
    <row r="1404" spans="2:7" x14ac:dyDescent="0.35">
      <c r="B1404" s="6" t="s">
        <v>379</v>
      </c>
    </row>
    <row r="1405" spans="2:7" ht="15" thickBot="1" x14ac:dyDescent="0.4"/>
    <row r="1406" spans="2:7" ht="29" x14ac:dyDescent="0.35">
      <c r="B1406" s="8" t="s">
        <v>377</v>
      </c>
      <c r="C1406" s="9" t="s">
        <v>96</v>
      </c>
      <c r="D1406" s="9" t="s">
        <v>97</v>
      </c>
      <c r="E1406" s="9" t="s">
        <v>98</v>
      </c>
      <c r="F1406" s="9" t="s">
        <v>99</v>
      </c>
    </row>
    <row r="1407" spans="2:7" x14ac:dyDescent="0.35">
      <c r="B1407" s="22" t="s">
        <v>0</v>
      </c>
      <c r="C1407" s="23">
        <v>0.40732147287652853</v>
      </c>
      <c r="D1407" s="23">
        <v>0.49326358650014257</v>
      </c>
      <c r="E1407" s="23">
        <v>0.5142490722994868</v>
      </c>
      <c r="F1407" s="23">
        <v>0.50593881255629825</v>
      </c>
    </row>
    <row r="1408" spans="2:7" ht="15" thickBot="1" x14ac:dyDescent="0.4">
      <c r="B1408" s="34" t="s">
        <v>378</v>
      </c>
      <c r="C1408" s="35">
        <v>0.40732147287652853</v>
      </c>
      <c r="D1408" s="35">
        <v>0.49326358650014257</v>
      </c>
      <c r="E1408" s="35">
        <v>0.5142490722994868</v>
      </c>
      <c r="F1408" s="35">
        <v>0.50593881255629825</v>
      </c>
    </row>
    <row r="1409" spans="2:19" x14ac:dyDescent="0.35">
      <c r="B1409" s="24"/>
      <c r="C1409" s="24"/>
      <c r="D1409" s="24"/>
      <c r="E1409" s="24"/>
      <c r="F1409" s="24"/>
    </row>
    <row r="1411" spans="2:19" x14ac:dyDescent="0.35">
      <c r="B1411" s="6" t="s">
        <v>380</v>
      </c>
    </row>
    <row r="1412" spans="2:19" ht="15" thickBot="1" x14ac:dyDescent="0.4"/>
    <row r="1413" spans="2:19" ht="43.5" x14ac:dyDescent="0.35">
      <c r="B1413" s="8" t="s">
        <v>56</v>
      </c>
      <c r="C1413" s="36" t="s">
        <v>381</v>
      </c>
      <c r="D1413" s="9" t="s">
        <v>382</v>
      </c>
      <c r="E1413" s="9" t="s">
        <v>383</v>
      </c>
      <c r="F1413" s="9" t="s">
        <v>384</v>
      </c>
      <c r="G1413" s="36" t="s">
        <v>385</v>
      </c>
      <c r="H1413" s="9" t="s">
        <v>382</v>
      </c>
      <c r="I1413" s="9" t="s">
        <v>383</v>
      </c>
      <c r="J1413" s="9" t="s">
        <v>384</v>
      </c>
      <c r="K1413" s="36" t="s">
        <v>386</v>
      </c>
      <c r="L1413" s="9" t="s">
        <v>382</v>
      </c>
      <c r="M1413" s="9" t="s">
        <v>383</v>
      </c>
      <c r="N1413" s="9" t="s">
        <v>384</v>
      </c>
      <c r="O1413" s="36" t="s">
        <v>387</v>
      </c>
      <c r="P1413" s="9" t="s">
        <v>382</v>
      </c>
      <c r="Q1413" s="9" t="s">
        <v>383</v>
      </c>
      <c r="R1413" s="9" t="s">
        <v>384</v>
      </c>
      <c r="S1413" s="40"/>
    </row>
    <row r="1414" spans="2:19" x14ac:dyDescent="0.35">
      <c r="B1414" s="22" t="s">
        <v>17</v>
      </c>
      <c r="C1414" s="37">
        <v>2.1637548278031211</v>
      </c>
      <c r="D1414" s="23">
        <v>0.13151455882513205</v>
      </c>
      <c r="E1414" s="23">
        <v>1.8662482281018029</v>
      </c>
      <c r="F1414" s="23">
        <v>2.4612614275044393</v>
      </c>
      <c r="G1414" s="37">
        <v>1.9220768187937816</v>
      </c>
      <c r="H1414" s="23">
        <v>0.13025403562546334</v>
      </c>
      <c r="I1414" s="23">
        <v>1.6274217206625421</v>
      </c>
      <c r="J1414" s="23">
        <v>2.216731916925021</v>
      </c>
      <c r="K1414" s="37">
        <v>1.8528629477093743</v>
      </c>
      <c r="L1414" s="23">
        <v>0.12978328661907143</v>
      </c>
      <c r="M1414" s="23">
        <v>1.5592727578092505</v>
      </c>
      <c r="N1414" s="23">
        <v>2.1464531376094982</v>
      </c>
      <c r="O1414" s="37">
        <v>1.8288958278566565</v>
      </c>
      <c r="P1414" s="23">
        <v>0.13176127053309969</v>
      </c>
      <c r="Q1414" s="23">
        <v>1.5308311275009343</v>
      </c>
      <c r="R1414" s="23">
        <v>2.1269605282123787</v>
      </c>
      <c r="S1414" s="40"/>
    </row>
    <row r="1415" spans="2:19" x14ac:dyDescent="0.35">
      <c r="B1415" s="7" t="s">
        <v>82</v>
      </c>
      <c r="C1415" s="38">
        <v>1.6294859418658492</v>
      </c>
      <c r="D1415" s="16">
        <v>0.35315147360776911</v>
      </c>
      <c r="E1415" s="16">
        <v>0.8306018104727888</v>
      </c>
      <c r="F1415" s="16">
        <v>2.4283700732589093</v>
      </c>
      <c r="G1415" s="38">
        <v>1.8622783292916072</v>
      </c>
      <c r="H1415" s="16">
        <v>0.48093581019978687</v>
      </c>
      <c r="I1415" s="16">
        <v>0.77432594709652958</v>
      </c>
      <c r="J1415" s="16">
        <v>2.950230711486685</v>
      </c>
      <c r="K1415" s="38">
        <v>1.8412444784858404</v>
      </c>
      <c r="L1415" s="16">
        <v>0.47628776887836632</v>
      </c>
      <c r="M1415" s="16">
        <v>0.76380669620396113</v>
      </c>
      <c r="N1415" s="16">
        <v>2.9186822607677199</v>
      </c>
      <c r="O1415" s="38">
        <v>1.8210388974776208</v>
      </c>
      <c r="P1415" s="16">
        <v>0.46949809555823541</v>
      </c>
      <c r="Q1415" s="16">
        <v>0.75896042324954238</v>
      </c>
      <c r="R1415" s="16">
        <v>2.8831173717056995</v>
      </c>
      <c r="S1415" s="40"/>
    </row>
    <row r="1416" spans="2:19" x14ac:dyDescent="0.35">
      <c r="B1416" s="7" t="s">
        <v>18</v>
      </c>
      <c r="C1416" s="38">
        <v>2.0325731016140542</v>
      </c>
      <c r="D1416" s="16">
        <v>0.15947269419720841</v>
      </c>
      <c r="E1416" s="16">
        <v>1.6718208060533506</v>
      </c>
      <c r="F1416" s="16">
        <v>2.3933253971747579</v>
      </c>
      <c r="G1416" s="38">
        <v>1.8198025251105054</v>
      </c>
      <c r="H1416" s="16">
        <v>0.13010336978651335</v>
      </c>
      <c r="I1416" s="16">
        <v>1.5254882567842518</v>
      </c>
      <c r="J1416" s="16">
        <v>2.1141167934367591</v>
      </c>
      <c r="K1416" s="38">
        <v>1.7835440340318833</v>
      </c>
      <c r="L1416" s="16">
        <v>0.12987814929550717</v>
      </c>
      <c r="M1416" s="16">
        <v>1.4897392498499014</v>
      </c>
      <c r="N1416" s="16">
        <v>2.0773488182138653</v>
      </c>
      <c r="O1416" s="38">
        <v>1.7682056812564453</v>
      </c>
      <c r="P1416" s="16">
        <v>0.12475744640435114</v>
      </c>
      <c r="Q1416" s="16">
        <v>1.4859847317376218</v>
      </c>
      <c r="R1416" s="16">
        <v>2.0504266307752688</v>
      </c>
      <c r="S1416" s="40"/>
    </row>
    <row r="1417" spans="2:19" x14ac:dyDescent="0.35">
      <c r="B1417" s="7" t="s">
        <v>4</v>
      </c>
      <c r="C1417" s="38">
        <v>2.0443284834217712</v>
      </c>
      <c r="D1417" s="16">
        <v>0.19540662102184297</v>
      </c>
      <c r="E1417" s="16">
        <v>1.6022879983327301</v>
      </c>
      <c r="F1417" s="16">
        <v>2.4863689685108121</v>
      </c>
      <c r="G1417" s="38">
        <v>1.7816672476196131</v>
      </c>
      <c r="H1417" s="16">
        <v>0.2161935668548686</v>
      </c>
      <c r="I1417" s="16">
        <v>1.2926034243678231</v>
      </c>
      <c r="J1417" s="16">
        <v>2.2707310708714035</v>
      </c>
      <c r="K1417" s="38">
        <v>1.7138518140088661</v>
      </c>
      <c r="L1417" s="16">
        <v>0.21983390044106302</v>
      </c>
      <c r="M1417" s="16">
        <v>1.2165529841031948</v>
      </c>
      <c r="N1417" s="16">
        <v>2.2111506439145376</v>
      </c>
      <c r="O1417" s="38">
        <v>1.7030398207781308</v>
      </c>
      <c r="P1417" s="16">
        <v>0.21105428105330198</v>
      </c>
      <c r="Q1417" s="16">
        <v>1.2256018696531699</v>
      </c>
      <c r="R1417" s="16">
        <v>2.1804777719030914</v>
      </c>
      <c r="S1417" s="40"/>
    </row>
    <row r="1418" spans="2:19" x14ac:dyDescent="0.35">
      <c r="B1418" s="7" t="s">
        <v>7</v>
      </c>
      <c r="C1418" s="38">
        <v>1.8895602483425362</v>
      </c>
      <c r="D1418" s="16">
        <v>0.19069926102654258</v>
      </c>
      <c r="E1418" s="16">
        <v>1.4581685513289959</v>
      </c>
      <c r="F1418" s="16">
        <v>2.3209519453560765</v>
      </c>
      <c r="G1418" s="38">
        <v>1.7165580795069992</v>
      </c>
      <c r="H1418" s="16">
        <v>0.15667703258242585</v>
      </c>
      <c r="I1418" s="16">
        <v>1.3621300098598339</v>
      </c>
      <c r="J1418" s="16">
        <v>2.0709861491541646</v>
      </c>
      <c r="K1418" s="38">
        <v>1.6575758516131911</v>
      </c>
      <c r="L1418" s="16">
        <v>0.15671902424287898</v>
      </c>
      <c r="M1418" s="16">
        <v>1.3030527902310509</v>
      </c>
      <c r="N1418" s="16">
        <v>2.0120989129953313</v>
      </c>
      <c r="O1418" s="38">
        <v>1.6367896616226354</v>
      </c>
      <c r="P1418" s="16">
        <v>0.15728602862772986</v>
      </c>
      <c r="Q1418" s="16">
        <v>1.2809839472166806</v>
      </c>
      <c r="R1418" s="16">
        <v>1.9925953760285902</v>
      </c>
      <c r="S1418" s="40"/>
    </row>
    <row r="1419" spans="2:19" x14ac:dyDescent="0.35">
      <c r="B1419" s="7" t="s">
        <v>90</v>
      </c>
      <c r="C1419" s="38">
        <v>1.5333321728781468</v>
      </c>
      <c r="D1419" s="16">
        <v>0.21937566380192325</v>
      </c>
      <c r="E1419" s="16">
        <v>1.0370699462625363</v>
      </c>
      <c r="F1419" s="16">
        <v>2.0295943994937575</v>
      </c>
      <c r="G1419" s="38">
        <v>1.5308207847709787</v>
      </c>
      <c r="H1419" s="16">
        <v>0.25122297019286233</v>
      </c>
      <c r="I1419" s="16">
        <v>0.96251494626436496</v>
      </c>
      <c r="J1419" s="16">
        <v>2.0991266232775923</v>
      </c>
      <c r="K1419" s="38">
        <v>1.5095726765199147</v>
      </c>
      <c r="L1419" s="16">
        <v>0.2151771577360046</v>
      </c>
      <c r="M1419" s="16">
        <v>1.0228081304246612</v>
      </c>
      <c r="N1419" s="16">
        <v>1.9963372226151681</v>
      </c>
      <c r="O1419" s="38">
        <v>1.4900400137250689</v>
      </c>
      <c r="P1419" s="16">
        <v>0.21121609038798644</v>
      </c>
      <c r="Q1419" s="16">
        <v>1.0122360244565598</v>
      </c>
      <c r="R1419" s="16">
        <v>1.967844002993578</v>
      </c>
      <c r="S1419" s="40"/>
    </row>
    <row r="1420" spans="2:19" x14ac:dyDescent="0.35">
      <c r="B1420" s="7" t="s">
        <v>5</v>
      </c>
      <c r="C1420" s="38">
        <v>1.5035440932398147</v>
      </c>
      <c r="D1420" s="16">
        <v>0.25968844083890968</v>
      </c>
      <c r="E1420" s="16">
        <v>0.91608802977502246</v>
      </c>
      <c r="F1420" s="16">
        <v>2.0910001567046068</v>
      </c>
      <c r="G1420" s="38">
        <v>1.3256272921147076</v>
      </c>
      <c r="H1420" s="16">
        <v>0.2330493248715633</v>
      </c>
      <c r="I1420" s="16">
        <v>0.79843309533063922</v>
      </c>
      <c r="J1420" s="16">
        <v>1.8528214888987762</v>
      </c>
      <c r="K1420" s="38">
        <v>1.3334197020708036</v>
      </c>
      <c r="L1420" s="16">
        <v>0.24849011316811925</v>
      </c>
      <c r="M1420" s="16">
        <v>0.77129601562525729</v>
      </c>
      <c r="N1420" s="16">
        <v>1.89554338851635</v>
      </c>
      <c r="O1420" s="38">
        <v>1.3329277080373001</v>
      </c>
      <c r="P1420" s="16">
        <v>0.25136500321116012</v>
      </c>
      <c r="Q1420" s="16">
        <v>0.76430056852267181</v>
      </c>
      <c r="R1420" s="16">
        <v>1.9015548475519284</v>
      </c>
      <c r="S1420" s="40"/>
    </row>
    <row r="1421" spans="2:19" x14ac:dyDescent="0.35">
      <c r="B1421" s="7" t="s">
        <v>11</v>
      </c>
      <c r="C1421" s="38">
        <v>0.98922113035823556</v>
      </c>
      <c r="D1421" s="16">
        <v>0.1618208100454851</v>
      </c>
      <c r="E1421" s="16">
        <v>0.62315702774007564</v>
      </c>
      <c r="F1421" s="16">
        <v>1.3552852329763954</v>
      </c>
      <c r="G1421" s="38">
        <v>1.2702113184200643</v>
      </c>
      <c r="H1421" s="16">
        <v>9.679462849379257E-2</v>
      </c>
      <c r="I1421" s="16">
        <v>1.0512466573985386</v>
      </c>
      <c r="J1421" s="16">
        <v>1.48917597944159</v>
      </c>
      <c r="K1421" s="38">
        <v>1.3350696536951321</v>
      </c>
      <c r="L1421" s="16">
        <v>0.10127993043794337</v>
      </c>
      <c r="M1421" s="16">
        <v>1.1059585348064411</v>
      </c>
      <c r="N1421" s="16">
        <v>1.564180772583823</v>
      </c>
      <c r="O1421" s="38">
        <v>1.3206076235599939</v>
      </c>
      <c r="P1421" s="16">
        <v>9.9255156084398957E-2</v>
      </c>
      <c r="Q1421" s="16">
        <v>1.0960768624542494</v>
      </c>
      <c r="R1421" s="16">
        <v>1.5451383846657385</v>
      </c>
      <c r="S1421" s="40"/>
    </row>
    <row r="1422" spans="2:19" x14ac:dyDescent="0.35">
      <c r="B1422" s="7" t="s">
        <v>19</v>
      </c>
      <c r="C1422" s="38">
        <v>1.4828548706794487</v>
      </c>
      <c r="D1422" s="16">
        <v>0.20783460515155702</v>
      </c>
      <c r="E1422" s="16">
        <v>1.0127003324193862</v>
      </c>
      <c r="F1422" s="16">
        <v>1.9530094089395111</v>
      </c>
      <c r="G1422" s="38">
        <v>1.2923638092569996</v>
      </c>
      <c r="H1422" s="16">
        <v>0.14890198386288828</v>
      </c>
      <c r="I1422" s="16">
        <v>0.95552412166978051</v>
      </c>
      <c r="J1422" s="16">
        <v>1.6292034968442186</v>
      </c>
      <c r="K1422" s="38">
        <v>1.2814605279581162</v>
      </c>
      <c r="L1422" s="16">
        <v>0.12725045525607223</v>
      </c>
      <c r="M1422" s="16">
        <v>0.99360000063797094</v>
      </c>
      <c r="N1422" s="16">
        <v>1.5693210552782615</v>
      </c>
      <c r="O1422" s="38">
        <v>1.26610394722138</v>
      </c>
      <c r="P1422" s="16">
        <v>0.12161978456685504</v>
      </c>
      <c r="Q1422" s="16">
        <v>0.99098088186553523</v>
      </c>
      <c r="R1422" s="16">
        <v>1.5412270125772247</v>
      </c>
      <c r="S1422" s="40"/>
    </row>
    <row r="1423" spans="2:19" x14ac:dyDescent="0.35">
      <c r="B1423" s="7" t="s">
        <v>77</v>
      </c>
      <c r="C1423" s="38">
        <v>1.395138127616067</v>
      </c>
      <c r="D1423" s="16">
        <v>0.20617434591031686</v>
      </c>
      <c r="E1423" s="16">
        <v>0.92873935667101959</v>
      </c>
      <c r="F1423" s="16">
        <v>1.8615368985611145</v>
      </c>
      <c r="G1423" s="38">
        <v>1.2651312474609975</v>
      </c>
      <c r="H1423" s="16">
        <v>0.17714982924610043</v>
      </c>
      <c r="I1423" s="16">
        <v>0.86439049444099791</v>
      </c>
      <c r="J1423" s="16">
        <v>1.665872000480997</v>
      </c>
      <c r="K1423" s="38">
        <v>1.2472663861715214</v>
      </c>
      <c r="L1423" s="16">
        <v>0.17312981617278117</v>
      </c>
      <c r="M1423" s="16">
        <v>0.85561953447227435</v>
      </c>
      <c r="N1423" s="16">
        <v>1.6389132378707685</v>
      </c>
      <c r="O1423" s="38">
        <v>1.2564772980263026</v>
      </c>
      <c r="P1423" s="16">
        <v>0.17012166803088538</v>
      </c>
      <c r="Q1423" s="16">
        <v>0.87163535015738525</v>
      </c>
      <c r="R1423" s="16">
        <v>1.6413192458952199</v>
      </c>
      <c r="S1423" s="40"/>
    </row>
    <row r="1424" spans="2:19" x14ac:dyDescent="0.35">
      <c r="B1424" s="7" t="s">
        <v>16</v>
      </c>
      <c r="C1424" s="38">
        <v>1.3152746884145068</v>
      </c>
      <c r="D1424" s="16">
        <v>9.4320789526258011E-2</v>
      </c>
      <c r="E1424" s="16">
        <v>1.1019062399037072</v>
      </c>
      <c r="F1424" s="16">
        <v>1.5286431369253064</v>
      </c>
      <c r="G1424" s="38">
        <v>1.2446937705538743</v>
      </c>
      <c r="H1424" s="16">
        <v>9.8266699720538656E-2</v>
      </c>
      <c r="I1424" s="16">
        <v>1.022399053080046</v>
      </c>
      <c r="J1424" s="16">
        <v>1.4669884880277027</v>
      </c>
      <c r="K1424" s="38">
        <v>1.2444997172950409</v>
      </c>
      <c r="L1424" s="16">
        <v>9.1255052601006553E-2</v>
      </c>
      <c r="M1424" s="16">
        <v>1.038066447492654</v>
      </c>
      <c r="N1424" s="16">
        <v>1.4509329870974279</v>
      </c>
      <c r="O1424" s="38">
        <v>1.2499238787325628</v>
      </c>
      <c r="P1424" s="16">
        <v>8.9157442959433897E-2</v>
      </c>
      <c r="Q1424" s="16">
        <v>1.0482357315807773</v>
      </c>
      <c r="R1424" s="16">
        <v>1.4516120258843483</v>
      </c>
      <c r="S1424" s="40"/>
    </row>
    <row r="1425" spans="2:19" x14ac:dyDescent="0.35">
      <c r="B1425" s="7" t="s">
        <v>20</v>
      </c>
      <c r="C1425" s="38">
        <v>1.4018637012035475</v>
      </c>
      <c r="D1425" s="16">
        <v>0.18464766746485883</v>
      </c>
      <c r="E1425" s="16">
        <v>0.98416165984025983</v>
      </c>
      <c r="F1425" s="16">
        <v>1.8195657425668352</v>
      </c>
      <c r="G1425" s="38">
        <v>1.2348975705744267</v>
      </c>
      <c r="H1425" s="16">
        <v>0.1289572376974181</v>
      </c>
      <c r="I1425" s="16">
        <v>0.94317603314946197</v>
      </c>
      <c r="J1425" s="16">
        <v>1.5266191079993914</v>
      </c>
      <c r="K1425" s="38">
        <v>1.2612288072510074</v>
      </c>
      <c r="L1425" s="16">
        <v>9.9359927309675744E-2</v>
      </c>
      <c r="M1425" s="16">
        <v>1.0364610371687883</v>
      </c>
      <c r="N1425" s="16">
        <v>1.4859965773332264</v>
      </c>
      <c r="O1425" s="38">
        <v>1.2468629822541173</v>
      </c>
      <c r="P1425" s="16">
        <v>0.10488292083753036</v>
      </c>
      <c r="Q1425" s="16">
        <v>1.0096013328681688</v>
      </c>
      <c r="R1425" s="16">
        <v>1.4841246316400658</v>
      </c>
      <c r="S1425" s="40"/>
    </row>
    <row r="1426" spans="2:19" x14ac:dyDescent="0.35">
      <c r="B1426" s="7" t="s">
        <v>89</v>
      </c>
      <c r="C1426" s="38">
        <v>1.1316499750092073</v>
      </c>
      <c r="D1426" s="16">
        <v>0.2631712359446679</v>
      </c>
      <c r="E1426" s="16">
        <v>0.53631528169060361</v>
      </c>
      <c r="F1426" s="16">
        <v>1.7269846683278109</v>
      </c>
      <c r="G1426" s="38">
        <v>1.2816486744637052</v>
      </c>
      <c r="H1426" s="16">
        <v>0.26603941153463473</v>
      </c>
      <c r="I1426" s="16">
        <v>0.67982571722405583</v>
      </c>
      <c r="J1426" s="16">
        <v>1.8834716317033546</v>
      </c>
      <c r="K1426" s="38">
        <v>1.2384416491386891</v>
      </c>
      <c r="L1426" s="16">
        <v>0.25743529469607235</v>
      </c>
      <c r="M1426" s="16">
        <v>0.65608255633306911</v>
      </c>
      <c r="N1426" s="16">
        <v>1.8208007419443093</v>
      </c>
      <c r="O1426" s="38">
        <v>1.2307335370459724</v>
      </c>
      <c r="P1426" s="16">
        <v>0.25605872560824244</v>
      </c>
      <c r="Q1426" s="16">
        <v>0.65148845984617409</v>
      </c>
      <c r="R1426" s="16">
        <v>1.8099786142457708</v>
      </c>
      <c r="S1426" s="40"/>
    </row>
    <row r="1427" spans="2:19" x14ac:dyDescent="0.35">
      <c r="B1427" s="7" t="s">
        <v>2</v>
      </c>
      <c r="C1427" s="38">
        <v>3.8495988788279117E-2</v>
      </c>
      <c r="D1427" s="16">
        <v>0.16555333333559896</v>
      </c>
      <c r="E1427" s="16">
        <v>-0.336011668081728</v>
      </c>
      <c r="F1427" s="16">
        <v>0.41300364565828618</v>
      </c>
      <c r="G1427" s="38">
        <v>1.1701473323235079</v>
      </c>
      <c r="H1427" s="16">
        <v>0.23558041638354274</v>
      </c>
      <c r="I1427" s="16">
        <v>0.63722740877588679</v>
      </c>
      <c r="J1427" s="16">
        <v>1.7030672558711291</v>
      </c>
      <c r="K1427" s="38">
        <v>1.1283346979671902</v>
      </c>
      <c r="L1427" s="16">
        <v>0.21436460345188726</v>
      </c>
      <c r="M1427" s="16">
        <v>0.64340827735629413</v>
      </c>
      <c r="N1427" s="16">
        <v>1.6132611185780863</v>
      </c>
      <c r="O1427" s="38">
        <v>1.1587379739843453</v>
      </c>
      <c r="P1427" s="16">
        <v>0.21890950610576135</v>
      </c>
      <c r="Q1427" s="16">
        <v>0.66353026933458148</v>
      </c>
      <c r="R1427" s="16">
        <v>1.6539456786341091</v>
      </c>
      <c r="S1427" s="40"/>
    </row>
    <row r="1428" spans="2:19" x14ac:dyDescent="0.35">
      <c r="B1428" s="7" t="s">
        <v>12</v>
      </c>
      <c r="C1428" s="38">
        <v>0.84025914594540574</v>
      </c>
      <c r="D1428" s="16">
        <v>0.16110015768353445</v>
      </c>
      <c r="E1428" s="16">
        <v>0.47582527222118703</v>
      </c>
      <c r="F1428" s="16">
        <v>1.2046930196696244</v>
      </c>
      <c r="G1428" s="38">
        <v>1.0069345293562324</v>
      </c>
      <c r="H1428" s="16">
        <v>7.3584008851226887E-2</v>
      </c>
      <c r="I1428" s="16">
        <v>0.84047593753729566</v>
      </c>
      <c r="J1428" s="16">
        <v>1.1733931211751691</v>
      </c>
      <c r="K1428" s="38">
        <v>1.0832737069298715</v>
      </c>
      <c r="L1428" s="16">
        <v>9.4503847323489515E-2</v>
      </c>
      <c r="M1428" s="16">
        <v>0.86949115291402601</v>
      </c>
      <c r="N1428" s="16">
        <v>1.297056260945717</v>
      </c>
      <c r="O1428" s="38">
        <v>1.0812931512383146</v>
      </c>
      <c r="P1428" s="16">
        <v>9.0849172109042323E-2</v>
      </c>
      <c r="Q1428" s="16">
        <v>0.87577804689325867</v>
      </c>
      <c r="R1428" s="16">
        <v>1.2868082555833704</v>
      </c>
      <c r="S1428" s="40"/>
    </row>
    <row r="1429" spans="2:19" x14ac:dyDescent="0.35">
      <c r="B1429" s="7" t="s">
        <v>81</v>
      </c>
      <c r="C1429" s="38">
        <v>1.1624989012335827</v>
      </c>
      <c r="D1429" s="16">
        <v>0.20723446006783983</v>
      </c>
      <c r="E1429" s="16">
        <v>0.69370198546626316</v>
      </c>
      <c r="F1429" s="16">
        <v>1.6312958170009022</v>
      </c>
      <c r="G1429" s="38">
        <v>1.0277586109931782</v>
      </c>
      <c r="H1429" s="16">
        <v>0.2005901595230859</v>
      </c>
      <c r="I1429" s="16">
        <v>0.57399214721628589</v>
      </c>
      <c r="J1429" s="16">
        <v>1.4815250747700706</v>
      </c>
      <c r="K1429" s="38">
        <v>1.0738714386271968</v>
      </c>
      <c r="L1429" s="16">
        <v>0.21178627093234276</v>
      </c>
      <c r="M1429" s="16">
        <v>0.59477761136293517</v>
      </c>
      <c r="N1429" s="16">
        <v>1.5529652658914586</v>
      </c>
      <c r="O1429" s="38">
        <v>1.0674987597165022</v>
      </c>
      <c r="P1429" s="16">
        <v>0.21119997702736024</v>
      </c>
      <c r="Q1429" s="16">
        <v>0.58973122140195966</v>
      </c>
      <c r="R1429" s="16">
        <v>1.5452662980310448</v>
      </c>
      <c r="S1429" s="40"/>
    </row>
    <row r="1430" spans="2:19" x14ac:dyDescent="0.35">
      <c r="B1430" s="7" t="s">
        <v>72</v>
      </c>
      <c r="C1430" s="38">
        <v>0.7304922906390009</v>
      </c>
      <c r="D1430" s="16">
        <v>0.14358976018162348</v>
      </c>
      <c r="E1430" s="16">
        <v>0.40566968783984175</v>
      </c>
      <c r="F1430" s="16">
        <v>1.05531489343816</v>
      </c>
      <c r="G1430" s="38">
        <v>1.047080776257606</v>
      </c>
      <c r="H1430" s="16">
        <v>8.4102270071465923E-2</v>
      </c>
      <c r="I1430" s="16">
        <v>0.85682822460366448</v>
      </c>
      <c r="J1430" s="16">
        <v>1.2373333279115475</v>
      </c>
      <c r="K1430" s="38">
        <v>1.0512981011406681</v>
      </c>
      <c r="L1430" s="16">
        <v>6.290891656166589E-2</v>
      </c>
      <c r="M1430" s="16">
        <v>0.90898824568169512</v>
      </c>
      <c r="N1430" s="16">
        <v>1.1936079565996411</v>
      </c>
      <c r="O1430" s="38">
        <v>1.0377062761347193</v>
      </c>
      <c r="P1430" s="16">
        <v>6.7905433305208054E-2</v>
      </c>
      <c r="Q1430" s="16">
        <v>0.8840935145944625</v>
      </c>
      <c r="R1430" s="16">
        <v>1.191319037674976</v>
      </c>
      <c r="S1430" s="40"/>
    </row>
    <row r="1431" spans="2:19" x14ac:dyDescent="0.35">
      <c r="B1431" s="7" t="s">
        <v>3</v>
      </c>
      <c r="C1431" s="38">
        <v>0.10661823111313912</v>
      </c>
      <c r="D1431" s="16">
        <v>0.30305606326845363</v>
      </c>
      <c r="E1431" s="16">
        <v>-0.5789422095506791</v>
      </c>
      <c r="F1431" s="16">
        <v>0.79217867177695722</v>
      </c>
      <c r="G1431" s="38">
        <v>0.89565419200107066</v>
      </c>
      <c r="H1431" s="16">
        <v>0.23825624458183586</v>
      </c>
      <c r="I1431" s="16">
        <v>0.35668112455994661</v>
      </c>
      <c r="J1431" s="16">
        <v>1.4346272594421947</v>
      </c>
      <c r="K1431" s="38">
        <v>0.93116087975690698</v>
      </c>
      <c r="L1431" s="16">
        <v>0.19546782960089432</v>
      </c>
      <c r="M1431" s="16">
        <v>0.48898193124306488</v>
      </c>
      <c r="N1431" s="16">
        <v>1.373339828270749</v>
      </c>
      <c r="O1431" s="38">
        <v>0.92230195942486337</v>
      </c>
      <c r="P1431" s="16">
        <v>0.19341987800882246</v>
      </c>
      <c r="Q1431" s="16">
        <v>0.48475579924984186</v>
      </c>
      <c r="R1431" s="16">
        <v>1.3598481195998848</v>
      </c>
      <c r="S1431" s="40"/>
    </row>
    <row r="1432" spans="2:19" x14ac:dyDescent="0.35">
      <c r="B1432" s="7" t="s">
        <v>84</v>
      </c>
      <c r="C1432" s="38">
        <v>0.87850475710124554</v>
      </c>
      <c r="D1432" s="16">
        <v>0.31988994812395766</v>
      </c>
      <c r="E1432" s="16">
        <v>0.15486342343315063</v>
      </c>
      <c r="F1432" s="16">
        <v>1.6021460907693403</v>
      </c>
      <c r="G1432" s="38">
        <v>0.92319885545119673</v>
      </c>
      <c r="H1432" s="16">
        <v>0.37337872865244787</v>
      </c>
      <c r="I1432" s="16">
        <v>7.8557494414571272E-2</v>
      </c>
      <c r="J1432" s="16">
        <v>1.7678402164878222</v>
      </c>
      <c r="K1432" s="38">
        <v>0.91611766403331696</v>
      </c>
      <c r="L1432" s="16">
        <v>0.38761124482543513</v>
      </c>
      <c r="M1432" s="16">
        <v>3.9280114759847495E-2</v>
      </c>
      <c r="N1432" s="16">
        <v>1.7929552133067865</v>
      </c>
      <c r="O1432" s="38">
        <v>0.90623202520612567</v>
      </c>
      <c r="P1432" s="16">
        <v>0.37707176570960338</v>
      </c>
      <c r="Q1432" s="16">
        <v>5.3236433981904141E-2</v>
      </c>
      <c r="R1432" s="16">
        <v>1.7592276164303473</v>
      </c>
      <c r="S1432" s="40"/>
    </row>
    <row r="1433" spans="2:19" x14ac:dyDescent="0.35">
      <c r="B1433" s="7" t="s">
        <v>83</v>
      </c>
      <c r="C1433" s="38">
        <v>0.98784716835469832</v>
      </c>
      <c r="D1433" s="16">
        <v>0.17162279738185937</v>
      </c>
      <c r="E1433" s="16">
        <v>0.59960942998996258</v>
      </c>
      <c r="F1433" s="16">
        <v>1.3760849067194341</v>
      </c>
      <c r="G1433" s="38">
        <v>0.89122662315709589</v>
      </c>
      <c r="H1433" s="16">
        <v>0.18444903474757274</v>
      </c>
      <c r="I1433" s="16">
        <v>0.47397392021563101</v>
      </c>
      <c r="J1433" s="16">
        <v>1.3084793260985608</v>
      </c>
      <c r="K1433" s="38">
        <v>0.86406157286172214</v>
      </c>
      <c r="L1433" s="16">
        <v>0.16943144278644848</v>
      </c>
      <c r="M1433" s="16">
        <v>0.48078102296527919</v>
      </c>
      <c r="N1433" s="16">
        <v>1.2473421227581651</v>
      </c>
      <c r="O1433" s="38">
        <v>0.86250975433392985</v>
      </c>
      <c r="P1433" s="16">
        <v>0.15773241902048535</v>
      </c>
      <c r="Q1433" s="16">
        <v>0.50569423470888442</v>
      </c>
      <c r="R1433" s="16">
        <v>1.2193252739589753</v>
      </c>
      <c r="S1433" s="40"/>
    </row>
    <row r="1434" spans="2:19" x14ac:dyDescent="0.35">
      <c r="B1434" s="7" t="s">
        <v>13</v>
      </c>
      <c r="C1434" s="38">
        <v>0.42984356546120567</v>
      </c>
      <c r="D1434" s="16">
        <v>0.25841761875813585</v>
      </c>
      <c r="E1434" s="16">
        <v>-0.15473769874596915</v>
      </c>
      <c r="F1434" s="16">
        <v>1.0144248296683804</v>
      </c>
      <c r="G1434" s="38">
        <v>0.69033896302692777</v>
      </c>
      <c r="H1434" s="16">
        <v>0.33876805245517655</v>
      </c>
      <c r="I1434" s="16">
        <v>-7.600760935055928E-2</v>
      </c>
      <c r="J1434" s="16">
        <v>1.4566855354044148</v>
      </c>
      <c r="K1434" s="38">
        <v>0.85256387379482257</v>
      </c>
      <c r="L1434" s="16">
        <v>0.18823232820357744</v>
      </c>
      <c r="M1434" s="16">
        <v>0.42675276650768523</v>
      </c>
      <c r="N1434" s="16">
        <v>1.27837498108196</v>
      </c>
      <c r="O1434" s="38">
        <v>0.84376251952390413</v>
      </c>
      <c r="P1434" s="16">
        <v>0.18764471883887943</v>
      </c>
      <c r="Q1434" s="16">
        <v>0.41928067696308807</v>
      </c>
      <c r="R1434" s="16">
        <v>1.2682443620847201</v>
      </c>
      <c r="S1434" s="40"/>
    </row>
    <row r="1435" spans="2:19" x14ac:dyDescent="0.35">
      <c r="B1435" s="7" t="s">
        <v>15</v>
      </c>
      <c r="C1435" s="38">
        <v>0.74262932772514556</v>
      </c>
      <c r="D1435" s="16">
        <v>0.17968399793898421</v>
      </c>
      <c r="E1435" s="16">
        <v>0.3361558868748058</v>
      </c>
      <c r="F1435" s="16">
        <v>1.1491027685754853</v>
      </c>
      <c r="G1435" s="38">
        <v>0.65561947927974318</v>
      </c>
      <c r="H1435" s="16">
        <v>0.1274720397500255</v>
      </c>
      <c r="I1435" s="16">
        <v>0.36725769301206024</v>
      </c>
      <c r="J1435" s="16">
        <v>0.94398126554742612</v>
      </c>
      <c r="K1435" s="38">
        <v>0.65933581164414068</v>
      </c>
      <c r="L1435" s="16">
        <v>9.4219757381662814E-2</v>
      </c>
      <c r="M1435" s="16">
        <v>0.44619591372171363</v>
      </c>
      <c r="N1435" s="16">
        <v>0.87247570956656773</v>
      </c>
      <c r="O1435" s="38">
        <v>0.72536125682236685</v>
      </c>
      <c r="P1435" s="16">
        <v>9.588515224452844E-2</v>
      </c>
      <c r="Q1435" s="16">
        <v>0.50845397400174019</v>
      </c>
      <c r="R1435" s="16">
        <v>0.94226853964299351</v>
      </c>
      <c r="S1435" s="40"/>
    </row>
    <row r="1436" spans="2:19" x14ac:dyDescent="0.35">
      <c r="B1436" s="7" t="s">
        <v>76</v>
      </c>
      <c r="C1436" s="38">
        <v>0.62932954160721222</v>
      </c>
      <c r="D1436" s="16">
        <v>0.26271323931098051</v>
      </c>
      <c r="E1436" s="16">
        <v>3.5030908648619019E-2</v>
      </c>
      <c r="F1436" s="16">
        <v>1.2236281745658055</v>
      </c>
      <c r="G1436" s="38">
        <v>0.58455420447782769</v>
      </c>
      <c r="H1436" s="16">
        <v>0.33572733045799014</v>
      </c>
      <c r="I1436" s="16">
        <v>-0.17491377688964982</v>
      </c>
      <c r="J1436" s="16">
        <v>1.3440221858453052</v>
      </c>
      <c r="K1436" s="38">
        <v>0.71531115446733329</v>
      </c>
      <c r="L1436" s="16">
        <v>0.14384938158739202</v>
      </c>
      <c r="M1436" s="16">
        <v>0.38990124724857311</v>
      </c>
      <c r="N1436" s="16">
        <v>1.0407210616860936</v>
      </c>
      <c r="O1436" s="38">
        <v>0.71744416268241529</v>
      </c>
      <c r="P1436" s="16">
        <v>0.12472086700382991</v>
      </c>
      <c r="Q1436" s="16">
        <v>0.4353059615160586</v>
      </c>
      <c r="R1436" s="16">
        <v>0.99958236384877197</v>
      </c>
      <c r="S1436" s="40"/>
    </row>
    <row r="1437" spans="2:19" x14ac:dyDescent="0.35">
      <c r="B1437" s="7" t="s">
        <v>85</v>
      </c>
      <c r="C1437" s="38">
        <v>0.75999872145629455</v>
      </c>
      <c r="D1437" s="16">
        <v>0.13469863170238069</v>
      </c>
      <c r="E1437" s="16">
        <v>0.45528924852653802</v>
      </c>
      <c r="F1437" s="16">
        <v>1.064708194386051</v>
      </c>
      <c r="G1437" s="38">
        <v>0.69541688210015906</v>
      </c>
      <c r="H1437" s="16">
        <v>7.9296621135064554E-2</v>
      </c>
      <c r="I1437" s="16">
        <v>0.51603546355269014</v>
      </c>
      <c r="J1437" s="16">
        <v>0.87479830064762798</v>
      </c>
      <c r="K1437" s="38">
        <v>0.66951582854064018</v>
      </c>
      <c r="L1437" s="16">
        <v>8.0158422285897077E-2</v>
      </c>
      <c r="M1437" s="16">
        <v>0.48818488035711194</v>
      </c>
      <c r="N1437" s="16">
        <v>0.85084677672416842</v>
      </c>
      <c r="O1437" s="38">
        <v>0.70090279863398475</v>
      </c>
      <c r="P1437" s="16">
        <v>9.328834370709603E-2</v>
      </c>
      <c r="Q1437" s="16">
        <v>0.48986990481597875</v>
      </c>
      <c r="R1437" s="16">
        <v>0.9119356924519908</v>
      </c>
      <c r="S1437" s="40"/>
    </row>
    <row r="1438" spans="2:19" x14ac:dyDescent="0.35">
      <c r="B1438" s="7" t="s">
        <v>8</v>
      </c>
      <c r="C1438" s="38">
        <v>0.40798111317226965</v>
      </c>
      <c r="D1438" s="16">
        <v>0.35372634252674567</v>
      </c>
      <c r="E1438" s="16">
        <v>-0.39220346205671691</v>
      </c>
      <c r="F1438" s="16">
        <v>1.2081656884012562</v>
      </c>
      <c r="G1438" s="38">
        <v>0.70057257872338308</v>
      </c>
      <c r="H1438" s="16">
        <v>7.7320336165248846E-2</v>
      </c>
      <c r="I1438" s="16">
        <v>0.52566182735271294</v>
      </c>
      <c r="J1438" s="16">
        <v>0.87548333009405321</v>
      </c>
      <c r="K1438" s="38">
        <v>0.68946760241038862</v>
      </c>
      <c r="L1438" s="16">
        <v>5.8044235591467978E-2</v>
      </c>
      <c r="M1438" s="16">
        <v>0.55816241979527659</v>
      </c>
      <c r="N1438" s="16">
        <v>0.82077278502550066</v>
      </c>
      <c r="O1438" s="38">
        <v>0.69123004213432415</v>
      </c>
      <c r="P1438" s="16">
        <v>5.8096375169701946E-2</v>
      </c>
      <c r="Q1438" s="16">
        <v>0.55980691159946216</v>
      </c>
      <c r="R1438" s="16">
        <v>0.82265317266918614</v>
      </c>
      <c r="S1438" s="40"/>
    </row>
    <row r="1439" spans="2:19" x14ac:dyDescent="0.35">
      <c r="B1439" s="7" t="s">
        <v>80</v>
      </c>
      <c r="C1439" s="38">
        <v>0.53482658595239341</v>
      </c>
      <c r="D1439" s="16">
        <v>0.19271587791461767</v>
      </c>
      <c r="E1439" s="16">
        <v>9.8872984624752136E-2</v>
      </c>
      <c r="F1439" s="16">
        <v>0.97078018728003468</v>
      </c>
      <c r="G1439" s="38">
        <v>0.6202393767523624</v>
      </c>
      <c r="H1439" s="16">
        <v>0.15125186566636961</v>
      </c>
      <c r="I1439" s="16">
        <v>0.27808388723949268</v>
      </c>
      <c r="J1439" s="16">
        <v>0.96239486626523219</v>
      </c>
      <c r="K1439" s="38">
        <v>0.60503891121836528</v>
      </c>
      <c r="L1439" s="16">
        <v>0.14345988192968329</v>
      </c>
      <c r="M1439" s="16">
        <v>0.28051011343558652</v>
      </c>
      <c r="N1439" s="16">
        <v>0.92956770900114405</v>
      </c>
      <c r="O1439" s="38">
        <v>0.59938769435278494</v>
      </c>
      <c r="P1439" s="16">
        <v>0.14209865750417891</v>
      </c>
      <c r="Q1439" s="16">
        <v>0.27793820013821918</v>
      </c>
      <c r="R1439" s="16">
        <v>0.92083718856735075</v>
      </c>
      <c r="S1439" s="40"/>
    </row>
    <row r="1440" spans="2:19" x14ac:dyDescent="0.35">
      <c r="B1440" s="7" t="s">
        <v>79</v>
      </c>
      <c r="C1440" s="38">
        <v>0.64370963688890848</v>
      </c>
      <c r="D1440" s="16">
        <v>0.39473052888821547</v>
      </c>
      <c r="E1440" s="16">
        <v>-0.2492328517368787</v>
      </c>
      <c r="F1440" s="16">
        <v>1.5366521255146957</v>
      </c>
      <c r="G1440" s="38">
        <v>0.58928801146488141</v>
      </c>
      <c r="H1440" s="16">
        <v>0.3783009040930404</v>
      </c>
      <c r="I1440" s="16">
        <v>-0.26648808394294876</v>
      </c>
      <c r="J1440" s="16">
        <v>1.4450641068727115</v>
      </c>
      <c r="K1440" s="38">
        <v>0.59880792695194196</v>
      </c>
      <c r="L1440" s="16">
        <v>0.28757890453533208</v>
      </c>
      <c r="M1440" s="16">
        <v>-5.1740748407237969E-2</v>
      </c>
      <c r="N1440" s="16">
        <v>1.249356602311122</v>
      </c>
      <c r="O1440" s="38">
        <v>0.59135643063364174</v>
      </c>
      <c r="P1440" s="16">
        <v>0.26077594750228189</v>
      </c>
      <c r="Q1440" s="16">
        <v>1.4402561935878966E-3</v>
      </c>
      <c r="R1440" s="16">
        <v>1.1812726050736955</v>
      </c>
      <c r="S1440" s="40"/>
    </row>
    <row r="1441" spans="2:19" x14ac:dyDescent="0.35">
      <c r="B1441" s="7" t="s">
        <v>86</v>
      </c>
      <c r="C1441" s="38">
        <v>0.26705478302136898</v>
      </c>
      <c r="D1441" s="16">
        <v>0.14982542014926251</v>
      </c>
      <c r="E1441" s="16">
        <v>-7.1873862564525381E-2</v>
      </c>
      <c r="F1441" s="16">
        <v>0.6059834286072634</v>
      </c>
      <c r="G1441" s="38">
        <v>0.48756475770297719</v>
      </c>
      <c r="H1441" s="16">
        <v>0.29764763385324511</v>
      </c>
      <c r="I1441" s="16">
        <v>-0.18576096568377704</v>
      </c>
      <c r="J1441" s="16">
        <v>1.1608904810897314</v>
      </c>
      <c r="K1441" s="38">
        <v>0.48391321113801283</v>
      </c>
      <c r="L1441" s="16">
        <v>0.30843470325047123</v>
      </c>
      <c r="M1441" s="16">
        <v>-0.2138145584235534</v>
      </c>
      <c r="N1441" s="16">
        <v>1.1816409806995791</v>
      </c>
      <c r="O1441" s="38">
        <v>0.54212536522393862</v>
      </c>
      <c r="P1441" s="16">
        <v>0.21203976429414917</v>
      </c>
      <c r="Q1441" s="16">
        <v>6.2458096138546249E-2</v>
      </c>
      <c r="R1441" s="16">
        <v>1.0217926343093309</v>
      </c>
      <c r="S1441" s="40"/>
    </row>
    <row r="1442" spans="2:19" x14ac:dyDescent="0.35">
      <c r="B1442" s="7" t="s">
        <v>14</v>
      </c>
      <c r="C1442" s="38">
        <v>5.2098093346443872E-2</v>
      </c>
      <c r="D1442" s="16">
        <v>0.12760338310236552</v>
      </c>
      <c r="E1442" s="16">
        <v>-0.23656081222496578</v>
      </c>
      <c r="F1442" s="16">
        <v>0.34075699891785355</v>
      </c>
      <c r="G1442" s="38">
        <v>0.4326640922501479</v>
      </c>
      <c r="H1442" s="16">
        <v>0.23294159076081922</v>
      </c>
      <c r="I1442" s="16">
        <v>-9.428639304489872E-2</v>
      </c>
      <c r="J1442" s="16">
        <v>0.95961457754519452</v>
      </c>
      <c r="K1442" s="38">
        <v>0.42238245349605591</v>
      </c>
      <c r="L1442" s="16">
        <v>0.18940584852940559</v>
      </c>
      <c r="M1442" s="16">
        <v>-6.0833411879477883E-3</v>
      </c>
      <c r="N1442" s="16">
        <v>0.85084824818005966</v>
      </c>
      <c r="O1442" s="38">
        <v>0.52731104598681555</v>
      </c>
      <c r="P1442" s="16">
        <v>0.20747587759854075</v>
      </c>
      <c r="Q1442" s="16">
        <v>5.7968005826054436E-2</v>
      </c>
      <c r="R1442" s="16">
        <v>0.99665408614757667</v>
      </c>
      <c r="S1442" s="40"/>
    </row>
    <row r="1443" spans="2:19" x14ac:dyDescent="0.35">
      <c r="B1443" s="7" t="s">
        <v>75</v>
      </c>
      <c r="C1443" s="38">
        <v>0.24665789709330121</v>
      </c>
      <c r="D1443" s="16">
        <v>0.21455512204161464</v>
      </c>
      <c r="E1443" s="16">
        <v>-0.23869950650773697</v>
      </c>
      <c r="F1443" s="16">
        <v>0.7320153006943394</v>
      </c>
      <c r="G1443" s="38">
        <v>0.54711028090963887</v>
      </c>
      <c r="H1443" s="16">
        <v>0.46821360692527975</v>
      </c>
      <c r="I1443" s="16">
        <v>-0.51206247817207506</v>
      </c>
      <c r="J1443" s="16">
        <v>1.6062830399913528</v>
      </c>
      <c r="K1443" s="38">
        <v>0.52837199971221249</v>
      </c>
      <c r="L1443" s="16">
        <v>0.38362234536549222</v>
      </c>
      <c r="M1443" s="16">
        <v>-0.33944203212349588</v>
      </c>
      <c r="N1443" s="16">
        <v>1.3961860315479209</v>
      </c>
      <c r="O1443" s="38">
        <v>0.52265821197087436</v>
      </c>
      <c r="P1443" s="16">
        <v>0.31870996169734145</v>
      </c>
      <c r="Q1443" s="16">
        <v>-0.19831380696421763</v>
      </c>
      <c r="R1443" s="16">
        <v>1.2436302309059664</v>
      </c>
      <c r="S1443" s="40"/>
    </row>
    <row r="1444" spans="2:19" x14ac:dyDescent="0.35">
      <c r="B1444" s="7" t="s">
        <v>9</v>
      </c>
      <c r="C1444" s="38">
        <v>0.44254234087443728</v>
      </c>
      <c r="D1444" s="16">
        <v>8.009605677840248E-2</v>
      </c>
      <c r="E1444" s="16">
        <v>0.26135247326966105</v>
      </c>
      <c r="F1444" s="16">
        <v>0.62373220847921351</v>
      </c>
      <c r="G1444" s="38">
        <v>0.39338841150240883</v>
      </c>
      <c r="H1444" s="16">
        <v>5.9754409956308298E-2</v>
      </c>
      <c r="I1444" s="16">
        <v>0.25821454571848867</v>
      </c>
      <c r="J1444" s="16">
        <v>0.52856227728632899</v>
      </c>
      <c r="K1444" s="38">
        <v>0.49736313401091026</v>
      </c>
      <c r="L1444" s="16">
        <v>7.4487770411338861E-2</v>
      </c>
      <c r="M1444" s="16">
        <v>0.32886009151600548</v>
      </c>
      <c r="N1444" s="16">
        <v>0.66586617650581503</v>
      </c>
      <c r="O1444" s="38">
        <v>0.4977253601906157</v>
      </c>
      <c r="P1444" s="16">
        <v>7.8750945084694005E-2</v>
      </c>
      <c r="Q1444" s="16">
        <v>0.31957834662259887</v>
      </c>
      <c r="R1444" s="16">
        <v>0.67587237375863252</v>
      </c>
      <c r="S1444" s="40"/>
    </row>
    <row r="1445" spans="2:19" x14ac:dyDescent="0.35">
      <c r="B1445" s="7" t="s">
        <v>6</v>
      </c>
      <c r="C1445" s="38">
        <v>0.35271761791386136</v>
      </c>
      <c r="D1445" s="16">
        <v>0.18397002598946829</v>
      </c>
      <c r="E1445" s="16">
        <v>-6.3451491940086202E-2</v>
      </c>
      <c r="F1445" s="16">
        <v>0.76888672776780886</v>
      </c>
      <c r="G1445" s="38">
        <v>0.35014332113895652</v>
      </c>
      <c r="H1445" s="16">
        <v>0.27184628238558639</v>
      </c>
      <c r="I1445" s="16">
        <v>-0.26481569052086096</v>
      </c>
      <c r="J1445" s="16">
        <v>0.965102332798774</v>
      </c>
      <c r="K1445" s="38">
        <v>0.3523730800452689</v>
      </c>
      <c r="L1445" s="16">
        <v>0.2063814704662473</v>
      </c>
      <c r="M1445" s="16">
        <v>-0.11449423919511548</v>
      </c>
      <c r="N1445" s="16">
        <v>0.81924039928565329</v>
      </c>
      <c r="O1445" s="38">
        <v>0.4826217705813084</v>
      </c>
      <c r="P1445" s="16">
        <v>0.21168780154741845</v>
      </c>
      <c r="Q1445" s="16">
        <v>3.750696540303633E-3</v>
      </c>
      <c r="R1445" s="16">
        <v>0.96149284462231321</v>
      </c>
      <c r="S1445" s="40"/>
    </row>
    <row r="1446" spans="2:19" x14ac:dyDescent="0.35">
      <c r="B1446" s="7" t="s">
        <v>10</v>
      </c>
      <c r="C1446" s="38">
        <v>0.27595075777917666</v>
      </c>
      <c r="D1446" s="16">
        <v>0.11726124266936895</v>
      </c>
      <c r="E1446" s="16">
        <v>1.0687399144478804E-2</v>
      </c>
      <c r="F1446" s="16">
        <v>0.54121411641387451</v>
      </c>
      <c r="G1446" s="38">
        <v>0.24054704128043217</v>
      </c>
      <c r="H1446" s="16">
        <v>0.10573064322879813</v>
      </c>
      <c r="I1446" s="16">
        <v>1.367710625050339E-3</v>
      </c>
      <c r="J1446" s="16">
        <v>0.47972637193581402</v>
      </c>
      <c r="K1446" s="38">
        <v>0.4662449346777775</v>
      </c>
      <c r="L1446" s="16">
        <v>7.6541729055618887E-2</v>
      </c>
      <c r="M1446" s="16">
        <v>0.29309551494794334</v>
      </c>
      <c r="N1446" s="16">
        <v>0.63939435440761172</v>
      </c>
      <c r="O1446" s="38">
        <v>0.47086787200873675</v>
      </c>
      <c r="P1446" s="16">
        <v>6.137787771886842E-2</v>
      </c>
      <c r="Q1446" s="16">
        <v>0.33202146701639196</v>
      </c>
      <c r="R1446" s="16">
        <v>0.60971427700108149</v>
      </c>
      <c r="S1446" s="40"/>
    </row>
    <row r="1447" spans="2:19" x14ac:dyDescent="0.35">
      <c r="B1447" s="7" t="s">
        <v>1</v>
      </c>
      <c r="C1447" s="38">
        <v>0.16173737387766424</v>
      </c>
      <c r="D1447" s="16">
        <v>0.20895639295851215</v>
      </c>
      <c r="E1447" s="16">
        <v>-0.31095482469175889</v>
      </c>
      <c r="F1447" s="16">
        <v>0.63442957244708742</v>
      </c>
      <c r="G1447" s="38">
        <v>0.37136376736412213</v>
      </c>
      <c r="H1447" s="16">
        <v>0.1234782792834806</v>
      </c>
      <c r="I1447" s="16">
        <v>9.2036494895045839E-2</v>
      </c>
      <c r="J1447" s="16">
        <v>0.65069103983319843</v>
      </c>
      <c r="K1447" s="38">
        <v>0.45017353851881353</v>
      </c>
      <c r="L1447" s="16">
        <v>7.5435835314718119E-2</v>
      </c>
      <c r="M1447" s="16">
        <v>0.27952582422315742</v>
      </c>
      <c r="N1447" s="16">
        <v>0.62082125281446965</v>
      </c>
      <c r="O1447" s="38">
        <v>0.44562111542182409</v>
      </c>
      <c r="P1447" s="16">
        <v>7.8059274652725746E-2</v>
      </c>
      <c r="Q1447" s="16">
        <v>0.26903876906759028</v>
      </c>
      <c r="R1447" s="16">
        <v>0.6222034617760579</v>
      </c>
      <c r="S1447" s="40"/>
    </row>
    <row r="1448" spans="2:19" x14ac:dyDescent="0.35">
      <c r="B1448" s="7" t="s">
        <v>92</v>
      </c>
      <c r="C1448" s="38">
        <v>0.40338015533510085</v>
      </c>
      <c r="D1448" s="16">
        <v>0.28891412928542459</v>
      </c>
      <c r="E1448" s="16">
        <v>-0.25018900824063661</v>
      </c>
      <c r="F1448" s="16">
        <v>1.0569493189108383</v>
      </c>
      <c r="G1448" s="38">
        <v>0.38112030304181899</v>
      </c>
      <c r="H1448" s="16">
        <v>0.24902479289284188</v>
      </c>
      <c r="I1448" s="16">
        <v>-0.18221291296648068</v>
      </c>
      <c r="J1448" s="16">
        <v>0.94445351905011865</v>
      </c>
      <c r="K1448" s="38">
        <v>0.39030839509324139</v>
      </c>
      <c r="L1448" s="16">
        <v>0.24095436115354918</v>
      </c>
      <c r="M1448" s="16">
        <v>-0.15476823604470141</v>
      </c>
      <c r="N1448" s="16">
        <v>0.93538502623118425</v>
      </c>
      <c r="O1448" s="38">
        <v>0.40220286150891926</v>
      </c>
      <c r="P1448" s="16">
        <v>0.23556211866048396</v>
      </c>
      <c r="Q1448" s="16">
        <v>-0.1306756697136382</v>
      </c>
      <c r="R1448" s="16">
        <v>0.93508139273147672</v>
      </c>
      <c r="S1448" s="40"/>
    </row>
    <row r="1449" spans="2:19" x14ac:dyDescent="0.35">
      <c r="B1449" s="7" t="s">
        <v>87</v>
      </c>
      <c r="C1449" s="38">
        <v>0.32180828662184319</v>
      </c>
      <c r="D1449" s="16">
        <v>0.20607562242628802</v>
      </c>
      <c r="E1449" s="16">
        <v>-0.14436715628784091</v>
      </c>
      <c r="F1449" s="16">
        <v>0.78798372953152729</v>
      </c>
      <c r="G1449" s="38">
        <v>0.33484346837476281</v>
      </c>
      <c r="H1449" s="16">
        <v>0.1097460399040269</v>
      </c>
      <c r="I1449" s="16">
        <v>8.6580679416580486E-2</v>
      </c>
      <c r="J1449" s="16">
        <v>0.58310625733294508</v>
      </c>
      <c r="K1449" s="38">
        <v>0.37349012851614627</v>
      </c>
      <c r="L1449" s="16">
        <v>0.12882808775347995</v>
      </c>
      <c r="M1449" s="16">
        <v>8.206074856040696E-2</v>
      </c>
      <c r="N1449" s="16">
        <v>0.66491950847188552</v>
      </c>
      <c r="O1449" s="38">
        <v>0.39432668992846032</v>
      </c>
      <c r="P1449" s="16">
        <v>0.14492242558494714</v>
      </c>
      <c r="Q1449" s="16">
        <v>6.6489388557338658E-2</v>
      </c>
      <c r="R1449" s="16">
        <v>0.72216399129958198</v>
      </c>
      <c r="S1449" s="40"/>
    </row>
    <row r="1450" spans="2:19" x14ac:dyDescent="0.35">
      <c r="B1450" s="7" t="s">
        <v>74</v>
      </c>
      <c r="C1450" s="38">
        <v>0.38813676346766141</v>
      </c>
      <c r="D1450" s="16">
        <v>0.249634517793447</v>
      </c>
      <c r="E1450" s="16">
        <v>-0.17657574608465915</v>
      </c>
      <c r="F1450" s="16">
        <v>0.95284927301998201</v>
      </c>
      <c r="G1450" s="38">
        <v>0.34132241569196947</v>
      </c>
      <c r="H1450" s="16">
        <v>0.15985913033070479</v>
      </c>
      <c r="I1450" s="16">
        <v>-2.0304059131511509E-2</v>
      </c>
      <c r="J1450" s="16">
        <v>0.7029488905154504</v>
      </c>
      <c r="K1450" s="38">
        <v>0.33295091563449936</v>
      </c>
      <c r="L1450" s="16">
        <v>0.13654012144477107</v>
      </c>
      <c r="M1450" s="16">
        <v>2.4075703515579194E-2</v>
      </c>
      <c r="N1450" s="16">
        <v>0.64182612775341952</v>
      </c>
      <c r="O1450" s="38">
        <v>0.33671711033648949</v>
      </c>
      <c r="P1450" s="16">
        <v>0.13226003859149776</v>
      </c>
      <c r="Q1450" s="16">
        <v>3.7524118250792937E-2</v>
      </c>
      <c r="R1450" s="16">
        <v>0.63591010242218604</v>
      </c>
      <c r="S1450" s="40"/>
    </row>
    <row r="1451" spans="2:19" x14ac:dyDescent="0.35">
      <c r="B1451" s="7" t="s">
        <v>93</v>
      </c>
      <c r="C1451" s="38">
        <v>0.3321982205292322</v>
      </c>
      <c r="D1451" s="16">
        <v>0.28160335167140305</v>
      </c>
      <c r="E1451" s="16">
        <v>-0.30483281518788496</v>
      </c>
      <c r="F1451" s="16">
        <v>0.96922925624634937</v>
      </c>
      <c r="G1451" s="38">
        <v>0.30050089466145424</v>
      </c>
      <c r="H1451" s="16">
        <v>5.3070055034152928E-2</v>
      </c>
      <c r="I1451" s="16">
        <v>0.18044809016422711</v>
      </c>
      <c r="J1451" s="16">
        <v>0.42055369915868135</v>
      </c>
      <c r="K1451" s="38">
        <v>0.32687243556190221</v>
      </c>
      <c r="L1451" s="16">
        <v>0.10816437537836958</v>
      </c>
      <c r="M1451" s="16">
        <v>8.2187620320851695E-2</v>
      </c>
      <c r="N1451" s="16">
        <v>0.57155725080295272</v>
      </c>
      <c r="O1451" s="38">
        <v>0.32264205816917707</v>
      </c>
      <c r="P1451" s="16">
        <v>0.11374026929560201</v>
      </c>
      <c r="Q1451" s="16">
        <v>6.5343694630277727E-2</v>
      </c>
      <c r="R1451" s="16">
        <v>0.57994042170807636</v>
      </c>
      <c r="S1451" s="40"/>
    </row>
    <row r="1452" spans="2:19" x14ac:dyDescent="0.35">
      <c r="B1452" s="7" t="s">
        <v>73</v>
      </c>
      <c r="C1452" s="38">
        <v>0.10928139607532154</v>
      </c>
      <c r="D1452" s="16">
        <v>8.4653029247882178E-2</v>
      </c>
      <c r="E1452" s="16">
        <v>-8.2217059388005512E-2</v>
      </c>
      <c r="F1452" s="16">
        <v>0.30077985153864861</v>
      </c>
      <c r="G1452" s="38">
        <v>9.5255859339339777E-2</v>
      </c>
      <c r="H1452" s="16">
        <v>7.594357379056621E-2</v>
      </c>
      <c r="I1452" s="16">
        <v>-7.6540439180272479E-2</v>
      </c>
      <c r="J1452" s="16">
        <v>0.26705215785895203</v>
      </c>
      <c r="K1452" s="38">
        <v>9.500879847186619E-2</v>
      </c>
      <c r="L1452" s="16">
        <v>9.9394670153309786E-2</v>
      </c>
      <c r="M1452" s="16">
        <v>-0.12983756538252431</v>
      </c>
      <c r="N1452" s="16">
        <v>0.31985516232625666</v>
      </c>
      <c r="O1452" s="38">
        <v>0.28042509323101855</v>
      </c>
      <c r="P1452" s="16">
        <v>0.10816466696233633</v>
      </c>
      <c r="Q1452" s="16">
        <v>3.5739618381212562E-2</v>
      </c>
      <c r="R1452" s="16">
        <v>0.52511056808082457</v>
      </c>
      <c r="S1452" s="40"/>
    </row>
    <row r="1453" spans="2:19" x14ac:dyDescent="0.35">
      <c r="B1453" s="7" t="s">
        <v>88</v>
      </c>
      <c r="C1453" s="38">
        <v>7.3773913570604505E-2</v>
      </c>
      <c r="D1453" s="16">
        <v>0.10440443059731967</v>
      </c>
      <c r="E1453" s="16">
        <v>-0.1624053156967879</v>
      </c>
      <c r="F1453" s="16">
        <v>0.30995314283799691</v>
      </c>
      <c r="G1453" s="38">
        <v>0.23354639240887867</v>
      </c>
      <c r="H1453" s="16">
        <v>0.17450197202183987</v>
      </c>
      <c r="I1453" s="16">
        <v>-0.16120449145654495</v>
      </c>
      <c r="J1453" s="16">
        <v>0.62829727627430232</v>
      </c>
      <c r="K1453" s="38">
        <v>0.23238618764240904</v>
      </c>
      <c r="L1453" s="16">
        <v>0.1299606985238651</v>
      </c>
      <c r="M1453" s="16">
        <v>-6.1605335866808775E-2</v>
      </c>
      <c r="N1453" s="16">
        <v>0.52637771115162679</v>
      </c>
      <c r="O1453" s="38">
        <v>0.2686201754374678</v>
      </c>
      <c r="P1453" s="16">
        <v>0.15739221171840351</v>
      </c>
      <c r="Q1453" s="16">
        <v>-8.7425741806365254E-2</v>
      </c>
      <c r="R1453" s="16">
        <v>0.6246660926813008</v>
      </c>
      <c r="S1453" s="40"/>
    </row>
    <row r="1454" spans="2:19" x14ac:dyDescent="0.35">
      <c r="B1454" s="7" t="s">
        <v>78</v>
      </c>
      <c r="C1454" s="38">
        <v>0.16460635037841398</v>
      </c>
      <c r="D1454" s="16">
        <v>0.16181226619835098</v>
      </c>
      <c r="E1454" s="16">
        <v>-0.20143842471485479</v>
      </c>
      <c r="F1454" s="16">
        <v>0.53065112547168281</v>
      </c>
      <c r="G1454" s="38">
        <v>0.15608984445792518</v>
      </c>
      <c r="H1454" s="16">
        <v>0.15070115938590681</v>
      </c>
      <c r="I1454" s="16">
        <v>-0.18481986090451835</v>
      </c>
      <c r="J1454" s="16">
        <v>0.4969995498203687</v>
      </c>
      <c r="K1454" s="38">
        <v>0.22734937198825136</v>
      </c>
      <c r="L1454" s="16">
        <v>0.21883307018521178</v>
      </c>
      <c r="M1454" s="16">
        <v>-0.26768542259725125</v>
      </c>
      <c r="N1454" s="16">
        <v>0.72238416657375404</v>
      </c>
      <c r="O1454" s="38">
        <v>0.23273023986015484</v>
      </c>
      <c r="P1454" s="16">
        <v>0.22470557146706266</v>
      </c>
      <c r="Q1454" s="16">
        <v>-0.27558907549409495</v>
      </c>
      <c r="R1454" s="16">
        <v>0.74104955521440463</v>
      </c>
      <c r="S1454" s="40"/>
    </row>
    <row r="1455" spans="2:19" ht="15" thickBot="1" x14ac:dyDescent="0.4">
      <c r="B1455" s="11" t="s">
        <v>91</v>
      </c>
      <c r="C1455" s="39">
        <v>0.11404231488347596</v>
      </c>
      <c r="D1455" s="17">
        <v>0.17823777299852631</v>
      </c>
      <c r="E1455" s="17">
        <v>-0.28915953787591353</v>
      </c>
      <c r="F1455" s="17">
        <v>0.51724416764286552</v>
      </c>
      <c r="G1455" s="39">
        <v>0.12076146792287971</v>
      </c>
      <c r="H1455" s="17">
        <v>0.21597134915581154</v>
      </c>
      <c r="I1455" s="17">
        <v>-0.36779966397191916</v>
      </c>
      <c r="J1455" s="17">
        <v>0.60932259981767856</v>
      </c>
      <c r="K1455" s="39">
        <v>0.11616051919868928</v>
      </c>
      <c r="L1455" s="17">
        <v>0.23218823315907333</v>
      </c>
      <c r="M1455" s="17">
        <v>-0.40908575281033954</v>
      </c>
      <c r="N1455" s="17">
        <v>0.64140679120771815</v>
      </c>
      <c r="O1455" s="39">
        <v>0.13391312159136465</v>
      </c>
      <c r="P1455" s="17">
        <v>0.20889627999914756</v>
      </c>
      <c r="Q1455" s="17">
        <v>-0.33864309201716664</v>
      </c>
      <c r="R1455" s="17">
        <v>0.60646933519989599</v>
      </c>
      <c r="S1455" s="40"/>
    </row>
    <row r="1475" spans="2:7" x14ac:dyDescent="0.35">
      <c r="G1475" t="s">
        <v>103</v>
      </c>
    </row>
    <row r="1478" spans="2:7" x14ac:dyDescent="0.35">
      <c r="B1478" s="6" t="s">
        <v>388</v>
      </c>
    </row>
    <row r="1479" spans="2:7" ht="15" thickBot="1" x14ac:dyDescent="0.4"/>
    <row r="1480" spans="2:7" x14ac:dyDescent="0.35">
      <c r="B1480" s="41" t="s">
        <v>56</v>
      </c>
      <c r="C1480" s="42" t="s">
        <v>0</v>
      </c>
    </row>
    <row r="1481" spans="2:7" x14ac:dyDescent="0.35">
      <c r="B1481" s="43" t="s">
        <v>389</v>
      </c>
      <c r="C1481" s="23">
        <v>1.7202768056818956</v>
      </c>
    </row>
    <row r="1482" spans="2:7" x14ac:dyDescent="0.35">
      <c r="B1482" s="1" t="s">
        <v>1</v>
      </c>
      <c r="C1482" s="16">
        <v>9.485405511478981E-8</v>
      </c>
    </row>
    <row r="1483" spans="2:7" x14ac:dyDescent="0.35">
      <c r="B1483" s="1" t="s">
        <v>2</v>
      </c>
      <c r="C1483" s="16">
        <v>-1.504185668228921E-4</v>
      </c>
    </row>
    <row r="1484" spans="2:7" x14ac:dyDescent="0.35">
      <c r="B1484" s="1" t="s">
        <v>3</v>
      </c>
      <c r="C1484" s="16">
        <v>0.22633542470448101</v>
      </c>
    </row>
    <row r="1485" spans="2:7" x14ac:dyDescent="0.35">
      <c r="B1485" s="1" t="s">
        <v>4</v>
      </c>
      <c r="C1485" s="16">
        <v>6.2093452165178755E-3</v>
      </c>
    </row>
    <row r="1486" spans="2:7" x14ac:dyDescent="0.35">
      <c r="B1486" s="1" t="s">
        <v>5</v>
      </c>
      <c r="C1486" s="16">
        <v>-4.0502753407263819E-3</v>
      </c>
    </row>
    <row r="1487" spans="2:7" x14ac:dyDescent="0.35">
      <c r="B1487" s="1" t="s">
        <v>6</v>
      </c>
      <c r="C1487" s="16">
        <v>9.3750879598791933E-4</v>
      </c>
    </row>
    <row r="1488" spans="2:7" x14ac:dyDescent="0.35">
      <c r="B1488" s="1" t="s">
        <v>7</v>
      </c>
      <c r="C1488" s="16">
        <v>2.1241367467967308E-2</v>
      </c>
    </row>
    <row r="1489" spans="2:3" x14ac:dyDescent="0.35">
      <c r="B1489" s="1" t="s">
        <v>8</v>
      </c>
      <c r="C1489" s="16">
        <v>2.5662110333275469E-4</v>
      </c>
    </row>
    <row r="1490" spans="2:3" x14ac:dyDescent="0.35">
      <c r="B1490" s="1" t="s">
        <v>9</v>
      </c>
      <c r="C1490" s="16">
        <v>-8.5005089062738457E-5</v>
      </c>
    </row>
    <row r="1491" spans="2:3" x14ac:dyDescent="0.35">
      <c r="B1491" s="1" t="s">
        <v>10</v>
      </c>
      <c r="C1491" s="16">
        <v>-1.4688835720672296E-5</v>
      </c>
    </row>
    <row r="1492" spans="2:3" x14ac:dyDescent="0.35">
      <c r="B1492" s="1" t="s">
        <v>11</v>
      </c>
      <c r="C1492" s="16">
        <v>-1.8891434374672055E-3</v>
      </c>
    </row>
    <row r="1493" spans="2:3" x14ac:dyDescent="0.35">
      <c r="B1493" s="1" t="s">
        <v>12</v>
      </c>
      <c r="C1493" s="16">
        <v>-9.2517569037110342E-5</v>
      </c>
    </row>
    <row r="1494" spans="2:3" x14ac:dyDescent="0.35">
      <c r="B1494" s="1" t="s">
        <v>13</v>
      </c>
      <c r="C1494" s="16">
        <v>-2.9444648468347832E-3</v>
      </c>
    </row>
    <row r="1495" spans="2:3" x14ac:dyDescent="0.35">
      <c r="B1495" s="1" t="s">
        <v>14</v>
      </c>
      <c r="C1495" s="16">
        <v>4.2081968682676505E-3</v>
      </c>
    </row>
    <row r="1496" spans="2:3" x14ac:dyDescent="0.35">
      <c r="B1496" s="1" t="s">
        <v>15</v>
      </c>
      <c r="C1496" s="16">
        <v>2.8011926784078699E-3</v>
      </c>
    </row>
    <row r="1497" spans="2:3" x14ac:dyDescent="0.35">
      <c r="B1497" s="1" t="s">
        <v>16</v>
      </c>
      <c r="C1497" s="16">
        <v>9.9158461730150665E-3</v>
      </c>
    </row>
    <row r="1498" spans="2:3" x14ac:dyDescent="0.35">
      <c r="B1498" s="1" t="s">
        <v>17</v>
      </c>
      <c r="C1498" s="16">
        <v>7.3845507360371422E-4</v>
      </c>
    </row>
    <row r="1499" spans="2:3" x14ac:dyDescent="0.35">
      <c r="B1499" s="1" t="s">
        <v>18</v>
      </c>
      <c r="C1499" s="16">
        <v>0.17067492332772272</v>
      </c>
    </row>
    <row r="1500" spans="2:3" x14ac:dyDescent="0.35">
      <c r="B1500" s="1" t="s">
        <v>19</v>
      </c>
      <c r="C1500" s="16">
        <v>-8.8275981514559423E-3</v>
      </c>
    </row>
    <row r="1501" spans="2:3" x14ac:dyDescent="0.35">
      <c r="B1501" s="1" t="s">
        <v>20</v>
      </c>
      <c r="C1501" s="16">
        <v>4.1187309523523098E-2</v>
      </c>
    </row>
    <row r="1502" spans="2:3" x14ac:dyDescent="0.35">
      <c r="B1502" s="1" t="s">
        <v>72</v>
      </c>
      <c r="C1502" s="16">
        <v>2.6298438561267481E-2</v>
      </c>
    </row>
    <row r="1503" spans="2:3" x14ac:dyDescent="0.35">
      <c r="B1503" s="1" t="s">
        <v>73</v>
      </c>
      <c r="C1503" s="16">
        <v>6.7482782987095327E-2</v>
      </c>
    </row>
    <row r="1504" spans="2:3" x14ac:dyDescent="0.35">
      <c r="B1504" s="1" t="s">
        <v>74</v>
      </c>
      <c r="C1504" s="16">
        <v>-0.16422596999499203</v>
      </c>
    </row>
    <row r="1505" spans="2:3" x14ac:dyDescent="0.35">
      <c r="B1505" s="1" t="s">
        <v>75</v>
      </c>
      <c r="C1505" s="16">
        <v>0.43211690321573587</v>
      </c>
    </row>
    <row r="1506" spans="2:3" x14ac:dyDescent="0.35">
      <c r="B1506" s="1" t="s">
        <v>76</v>
      </c>
      <c r="C1506" s="16">
        <v>-1.4278131594409148E-2</v>
      </c>
    </row>
    <row r="1507" spans="2:3" x14ac:dyDescent="0.35">
      <c r="B1507" s="1" t="s">
        <v>77</v>
      </c>
      <c r="C1507" s="16">
        <v>9.231415091712528E-3</v>
      </c>
    </row>
    <row r="1508" spans="2:3" x14ac:dyDescent="0.35">
      <c r="B1508" s="1" t="s">
        <v>78</v>
      </c>
      <c r="C1508" s="16">
        <v>2.1118153357041539E-2</v>
      </c>
    </row>
    <row r="1509" spans="2:3" x14ac:dyDescent="0.35">
      <c r="B1509" s="1" t="s">
        <v>79</v>
      </c>
      <c r="C1509" s="16">
        <v>-0.17333577068336548</v>
      </c>
    </row>
    <row r="1510" spans="2:3" x14ac:dyDescent="0.35">
      <c r="B1510" s="1" t="s">
        <v>80</v>
      </c>
      <c r="C1510" s="16">
        <v>-5.2721911990773501E-2</v>
      </c>
    </row>
    <row r="1511" spans="2:3" x14ac:dyDescent="0.35">
      <c r="B1511" s="1" t="s">
        <v>81</v>
      </c>
      <c r="C1511" s="16">
        <v>-0.18622319115071198</v>
      </c>
    </row>
    <row r="1512" spans="2:3" x14ac:dyDescent="0.35">
      <c r="B1512" s="1" t="s">
        <v>82</v>
      </c>
      <c r="C1512" s="16">
        <v>0.47745800890264101</v>
      </c>
    </row>
    <row r="1513" spans="2:3" x14ac:dyDescent="0.35">
      <c r="B1513" s="1" t="s">
        <v>83</v>
      </c>
      <c r="C1513" s="16">
        <v>9.4245339434559317E-2</v>
      </c>
    </row>
    <row r="1514" spans="2:3" x14ac:dyDescent="0.35">
      <c r="B1514" s="1" t="s">
        <v>84</v>
      </c>
      <c r="C1514" s="16">
        <v>0.34562743388249278</v>
      </c>
    </row>
    <row r="1515" spans="2:3" x14ac:dyDescent="0.35">
      <c r="B1515" s="1" t="s">
        <v>85</v>
      </c>
      <c r="C1515" s="16">
        <v>5.9753136604895146E-2</v>
      </c>
    </row>
    <row r="1516" spans="2:3" x14ac:dyDescent="0.35">
      <c r="B1516" s="1" t="s">
        <v>86</v>
      </c>
      <c r="C1516" s="16">
        <v>-8.5707812806454051E-2</v>
      </c>
    </row>
    <row r="1517" spans="2:3" x14ac:dyDescent="0.35">
      <c r="B1517" s="1" t="s">
        <v>87</v>
      </c>
      <c r="C1517" s="16">
        <v>-9.0360434982805535E-2</v>
      </c>
    </row>
    <row r="1518" spans="2:3" x14ac:dyDescent="0.35">
      <c r="B1518" s="1" t="s">
        <v>88</v>
      </c>
      <c r="C1518" s="16">
        <v>0.16063431031983785</v>
      </c>
    </row>
    <row r="1519" spans="2:3" x14ac:dyDescent="0.35">
      <c r="B1519" s="1" t="s">
        <v>89</v>
      </c>
      <c r="C1519" s="16">
        <v>-0.44723198157098504</v>
      </c>
    </row>
    <row r="1520" spans="2:3" x14ac:dyDescent="0.35">
      <c r="B1520" s="1" t="s">
        <v>90</v>
      </c>
      <c r="C1520" s="16">
        <v>-0.2567707336584843</v>
      </c>
    </row>
    <row r="1521" spans="2:3" x14ac:dyDescent="0.35">
      <c r="B1521" s="1" t="s">
        <v>91</v>
      </c>
      <c r="C1521" s="16">
        <v>-2.608891708783663E-2</v>
      </c>
    </row>
    <row r="1522" spans="2:3" x14ac:dyDescent="0.35">
      <c r="B1522" s="1" t="s">
        <v>92</v>
      </c>
      <c r="C1522" s="16">
        <v>-0.29622894542336159</v>
      </c>
    </row>
    <row r="1523" spans="2:3" ht="15" thickBot="1" x14ac:dyDescent="0.4">
      <c r="B1523" s="44" t="s">
        <v>93</v>
      </c>
      <c r="C1523" s="17">
        <v>1.0387362801070133E-2</v>
      </c>
    </row>
    <row r="1526" spans="2:3" x14ac:dyDescent="0.35">
      <c r="B1526" s="6" t="s">
        <v>390</v>
      </c>
    </row>
    <row r="1528" spans="2:3" x14ac:dyDescent="0.35">
      <c r="B1528" s="6" t="s">
        <v>391</v>
      </c>
    </row>
    <row r="1531" spans="2:3" x14ac:dyDescent="0.35">
      <c r="B1531" s="5" t="s">
        <v>392</v>
      </c>
    </row>
    <row r="1533" spans="2:3" x14ac:dyDescent="0.35">
      <c r="B1533" s="6" t="s">
        <v>393</v>
      </c>
    </row>
    <row r="1534" spans="2:3" ht="15" thickBot="1" x14ac:dyDescent="0.4"/>
    <row r="1535" spans="2:3" x14ac:dyDescent="0.35">
      <c r="B1535" s="45" t="s">
        <v>57</v>
      </c>
      <c r="C1535" s="46">
        <v>234</v>
      </c>
    </row>
    <row r="1536" spans="2:3" x14ac:dyDescent="0.35">
      <c r="B1536" s="1" t="s">
        <v>394</v>
      </c>
      <c r="C1536" s="16">
        <v>234</v>
      </c>
    </row>
    <row r="1537" spans="2:6" x14ac:dyDescent="0.35">
      <c r="B1537" s="1" t="s">
        <v>395</v>
      </c>
      <c r="C1537" s="16">
        <v>229</v>
      </c>
    </row>
    <row r="1538" spans="2:6" x14ac:dyDescent="0.35">
      <c r="B1538" s="1" t="s">
        <v>396</v>
      </c>
      <c r="C1538" s="16">
        <v>0.64027721801542758</v>
      </c>
    </row>
    <row r="1539" spans="2:6" x14ac:dyDescent="0.35">
      <c r="B1539" s="1" t="s">
        <v>63</v>
      </c>
      <c r="C1539" s="16">
        <v>0.32565033492522505</v>
      </c>
    </row>
    <row r="1540" spans="2:6" x14ac:dyDescent="0.35">
      <c r="B1540" s="1" t="s">
        <v>397</v>
      </c>
      <c r="C1540" s="16">
        <v>0.10378215472586615</v>
      </c>
    </row>
    <row r="1541" spans="2:6" ht="15" thickBot="1" x14ac:dyDescent="0.4">
      <c r="B1541" s="44" t="s">
        <v>398</v>
      </c>
      <c r="C1541" s="17">
        <v>0.32215237811611164</v>
      </c>
    </row>
    <row r="1544" spans="2:6" x14ac:dyDescent="0.35">
      <c r="B1544" s="6" t="s">
        <v>399</v>
      </c>
    </row>
    <row r="1545" spans="2:6" ht="15" thickBot="1" x14ac:dyDescent="0.4"/>
    <row r="1546" spans="2:6" ht="43.5" x14ac:dyDescent="0.35">
      <c r="B1546" s="8" t="s">
        <v>56</v>
      </c>
      <c r="C1546" s="9" t="s">
        <v>400</v>
      </c>
      <c r="D1546" s="9" t="s">
        <v>63</v>
      </c>
      <c r="E1546" s="9" t="s">
        <v>401</v>
      </c>
      <c r="F1546" s="9" t="s">
        <v>402</v>
      </c>
    </row>
    <row r="1547" spans="2:6" x14ac:dyDescent="0.35">
      <c r="B1547" s="22" t="s">
        <v>1</v>
      </c>
      <c r="C1547" s="23">
        <v>-8.897423420518312E-2</v>
      </c>
      <c r="D1547" s="23">
        <v>0.11826594252491247</v>
      </c>
      <c r="E1547" s="23">
        <v>-0.35651038180266492</v>
      </c>
      <c r="F1547" s="23">
        <v>0.17856191339229865</v>
      </c>
    </row>
    <row r="1548" spans="2:6" x14ac:dyDescent="0.35">
      <c r="B1548" s="7" t="s">
        <v>2</v>
      </c>
      <c r="C1548" s="16">
        <v>2.2465154197620671E-2</v>
      </c>
      <c r="D1548" s="16">
        <v>0.18905388710816354</v>
      </c>
      <c r="E1548" s="16">
        <v>-0.40520444844045905</v>
      </c>
      <c r="F1548" s="16">
        <v>0.45013475683570042</v>
      </c>
    </row>
    <row r="1549" spans="2:6" x14ac:dyDescent="0.35">
      <c r="B1549" s="7" t="s">
        <v>3</v>
      </c>
      <c r="C1549" s="16">
        <v>3.8637886036564151E-2</v>
      </c>
      <c r="D1549" s="16">
        <v>0.14058908353729963</v>
      </c>
      <c r="E1549" s="16">
        <v>-0.27939671463392607</v>
      </c>
      <c r="F1549" s="16">
        <v>0.35667248670705437</v>
      </c>
    </row>
    <row r="1550" spans="2:6" x14ac:dyDescent="0.35">
      <c r="B1550" s="7" t="s">
        <v>4</v>
      </c>
      <c r="C1550" s="16">
        <v>0.59779600347950179</v>
      </c>
      <c r="D1550" s="16">
        <v>0.17547807547246896</v>
      </c>
      <c r="E1550" s="16">
        <v>0.20083702021316313</v>
      </c>
      <c r="F1550" s="16">
        <v>0.99475498674584051</v>
      </c>
    </row>
    <row r="1551" spans="2:6" x14ac:dyDescent="0.35">
      <c r="B1551" s="7" t="s">
        <v>5</v>
      </c>
      <c r="C1551" s="16">
        <v>-0.46876274549312474</v>
      </c>
      <c r="D1551" s="16">
        <v>0.15305995798004648</v>
      </c>
      <c r="E1551" s="16">
        <v>-0.81500842396297024</v>
      </c>
      <c r="F1551" s="16">
        <v>-0.12251706702327925</v>
      </c>
    </row>
    <row r="1552" spans="2:6" x14ac:dyDescent="0.35">
      <c r="B1552" s="7" t="s">
        <v>6</v>
      </c>
      <c r="C1552" s="16">
        <v>0.13614501493765113</v>
      </c>
      <c r="D1552" s="16">
        <v>0.2963824745395095</v>
      </c>
      <c r="E1552" s="16">
        <v>-0.5343187192604355</v>
      </c>
      <c r="F1552" s="16">
        <v>0.80660874913573766</v>
      </c>
    </row>
    <row r="1553" spans="2:6" x14ac:dyDescent="0.35">
      <c r="B1553" s="7" t="s">
        <v>7</v>
      </c>
      <c r="C1553" s="16">
        <v>0.56469593782591165</v>
      </c>
      <c r="D1553" s="16">
        <v>8.3030348572126364E-2</v>
      </c>
      <c r="E1553" s="16">
        <v>0.37686824105696648</v>
      </c>
      <c r="F1553" s="16">
        <v>0.75252363459485683</v>
      </c>
    </row>
    <row r="1554" spans="2:6" x14ac:dyDescent="0.35">
      <c r="B1554" s="7" t="s">
        <v>8</v>
      </c>
      <c r="C1554" s="16">
        <v>-6.1318706886202556E-2</v>
      </c>
      <c r="D1554" s="16">
        <v>0.10079335741959992</v>
      </c>
      <c r="E1554" s="16">
        <v>-0.28932912114198472</v>
      </c>
      <c r="F1554" s="16">
        <v>0.16669170736957964</v>
      </c>
    </row>
    <row r="1555" spans="2:6" x14ac:dyDescent="0.35">
      <c r="B1555" s="7" t="s">
        <v>9</v>
      </c>
      <c r="C1555" s="16">
        <v>0.11114479359551135</v>
      </c>
      <c r="D1555" s="16">
        <v>8.5342840888877239E-2</v>
      </c>
      <c r="E1555" s="16">
        <v>-8.1914124204306521E-2</v>
      </c>
      <c r="F1555" s="16">
        <v>0.3042037113953292</v>
      </c>
    </row>
    <row r="1556" spans="2:6" x14ac:dyDescent="0.35">
      <c r="B1556" s="7" t="s">
        <v>10</v>
      </c>
      <c r="C1556" s="16">
        <v>0.13024486714331474</v>
      </c>
      <c r="D1556" s="16">
        <v>0.19855672927394979</v>
      </c>
      <c r="E1556" s="16">
        <v>-0.31892165785452065</v>
      </c>
      <c r="F1556" s="16">
        <v>0.57941139214115012</v>
      </c>
    </row>
    <row r="1557" spans="2:6" x14ac:dyDescent="0.35">
      <c r="B1557" s="7" t="s">
        <v>11</v>
      </c>
      <c r="C1557" s="16">
        <v>0.32441431048485697</v>
      </c>
      <c r="D1557" s="16">
        <v>0.19322647999240977</v>
      </c>
      <c r="E1557" s="16">
        <v>-0.11269435298435559</v>
      </c>
      <c r="F1557" s="16">
        <v>0.76152297395406954</v>
      </c>
    </row>
    <row r="1558" spans="2:6" x14ac:dyDescent="0.35">
      <c r="B1558" s="7" t="s">
        <v>12</v>
      </c>
      <c r="C1558" s="16">
        <v>0.2819703579928195</v>
      </c>
      <c r="D1558" s="16">
        <v>0.23227192739195257</v>
      </c>
      <c r="E1558" s="16">
        <v>-0.24346524352361104</v>
      </c>
      <c r="F1558" s="16">
        <v>0.80740595950924998</v>
      </c>
    </row>
    <row r="1559" spans="2:6" x14ac:dyDescent="0.35">
      <c r="B1559" s="7" t="s">
        <v>13</v>
      </c>
      <c r="C1559" s="16">
        <v>-0.1334774280523662</v>
      </c>
      <c r="D1559" s="16">
        <v>0.1961038046135728</v>
      </c>
      <c r="E1559" s="16">
        <v>-0.57709505198896927</v>
      </c>
      <c r="F1559" s="16">
        <v>0.31014019588423691</v>
      </c>
    </row>
    <row r="1560" spans="2:6" x14ac:dyDescent="0.35">
      <c r="B1560" s="7" t="s">
        <v>14</v>
      </c>
      <c r="C1560" s="16">
        <v>6.2225617254049364E-3</v>
      </c>
      <c r="D1560" s="16">
        <v>0.26695114261715147</v>
      </c>
      <c r="E1560" s="16">
        <v>-0.59766287450231015</v>
      </c>
      <c r="F1560" s="16">
        <v>0.61010799795311998</v>
      </c>
    </row>
    <row r="1561" spans="2:6" x14ac:dyDescent="0.35">
      <c r="B1561" s="7" t="s">
        <v>15</v>
      </c>
      <c r="C1561" s="16">
        <v>0.23696717383349344</v>
      </c>
      <c r="D1561" s="16">
        <v>0.27104606100925027</v>
      </c>
      <c r="E1561" s="16">
        <v>-0.37618161131749606</v>
      </c>
      <c r="F1561" s="16">
        <v>0.85011595898448289</v>
      </c>
    </row>
    <row r="1562" spans="2:6" x14ac:dyDescent="0.35">
      <c r="B1562" s="7" t="s">
        <v>16</v>
      </c>
      <c r="C1562" s="16">
        <v>0.39002135513526343</v>
      </c>
      <c r="D1562" s="16">
        <v>0.1149734354155784</v>
      </c>
      <c r="E1562" s="16">
        <v>0.12993337603974076</v>
      </c>
      <c r="F1562" s="16">
        <v>0.6501093342307861</v>
      </c>
    </row>
    <row r="1563" spans="2:6" x14ac:dyDescent="0.35">
      <c r="B1563" s="7" t="s">
        <v>17</v>
      </c>
      <c r="C1563" s="16">
        <v>0.64059215116031354</v>
      </c>
      <c r="D1563" s="16">
        <v>6.8506831911564203E-2</v>
      </c>
      <c r="E1563" s="16">
        <v>0.48561893146211221</v>
      </c>
      <c r="F1563" s="16">
        <v>0.79556537085851486</v>
      </c>
    </row>
    <row r="1564" spans="2:6" x14ac:dyDescent="0.35">
      <c r="B1564" s="7" t="s">
        <v>18</v>
      </c>
      <c r="C1564" s="16">
        <v>0.62114656618658315</v>
      </c>
      <c r="D1564" s="16">
        <v>0.13843559737015301</v>
      </c>
      <c r="E1564" s="16">
        <v>0.30798348964859212</v>
      </c>
      <c r="F1564" s="16">
        <v>0.93430964272457417</v>
      </c>
    </row>
    <row r="1565" spans="2:6" x14ac:dyDescent="0.35">
      <c r="B1565" s="7" t="s">
        <v>19</v>
      </c>
      <c r="C1565" s="16">
        <v>-0.42189664685655182</v>
      </c>
      <c r="D1565" s="16">
        <v>0.11036176897821225</v>
      </c>
      <c r="E1565" s="16">
        <v>-0.67155231174295504</v>
      </c>
      <c r="F1565" s="16">
        <v>-0.17224098197014856</v>
      </c>
    </row>
    <row r="1566" spans="2:6" x14ac:dyDescent="0.35">
      <c r="B1566" s="7" t="s">
        <v>20</v>
      </c>
      <c r="C1566" s="16">
        <v>0.40558781400333938</v>
      </c>
      <c r="D1566" s="16">
        <v>0.10494750170116841</v>
      </c>
      <c r="E1566" s="16">
        <v>0.16818007255489703</v>
      </c>
      <c r="F1566" s="16">
        <v>0.64299555545178166</v>
      </c>
    </row>
    <row r="1567" spans="2:6" x14ac:dyDescent="0.35">
      <c r="B1567" s="7" t="s">
        <v>72</v>
      </c>
      <c r="C1567" s="16">
        <v>-0.23657344327889299</v>
      </c>
      <c r="D1567" s="16">
        <v>7.7844363148109386E-2</v>
      </c>
      <c r="E1567" s="16">
        <v>-0.41266962603613577</v>
      </c>
      <c r="F1567" s="16">
        <v>-6.0477260521650172E-2</v>
      </c>
    </row>
    <row r="1568" spans="2:6" x14ac:dyDescent="0.35">
      <c r="B1568" s="7" t="s">
        <v>73</v>
      </c>
      <c r="C1568" s="16">
        <v>3.2352670957626131E-2</v>
      </c>
      <c r="D1568" s="16">
        <v>0.1499096284064004</v>
      </c>
      <c r="E1568" s="16">
        <v>-0.30676646693932241</v>
      </c>
      <c r="F1568" s="16">
        <v>0.37147180885457465</v>
      </c>
    </row>
    <row r="1569" spans="2:6" x14ac:dyDescent="0.35">
      <c r="B1569" s="7" t="s">
        <v>74</v>
      </c>
      <c r="C1569" s="16">
        <v>-0.1141450717743677</v>
      </c>
      <c r="D1569" s="16">
        <v>0.14537558202007939</v>
      </c>
      <c r="E1569" s="16">
        <v>-0.44300748421572633</v>
      </c>
      <c r="F1569" s="16">
        <v>0.21471734066699091</v>
      </c>
    </row>
    <row r="1570" spans="2:6" x14ac:dyDescent="0.35">
      <c r="B1570" s="7" t="s">
        <v>75</v>
      </c>
      <c r="C1570" s="16">
        <v>7.8329303675422859E-2</v>
      </c>
      <c r="D1570" s="16">
        <v>9.1064734418189811E-2</v>
      </c>
      <c r="E1570" s="16">
        <v>-0.12767343648874796</v>
      </c>
      <c r="F1570" s="16">
        <v>0.28433204383959371</v>
      </c>
    </row>
    <row r="1571" spans="2:6" x14ac:dyDescent="0.35">
      <c r="B1571" s="7" t="s">
        <v>76</v>
      </c>
      <c r="C1571" s="16">
        <v>-0.17466872467562194</v>
      </c>
      <c r="D1571" s="16">
        <v>0.15834785225364276</v>
      </c>
      <c r="E1571" s="16">
        <v>-0.53287645098999148</v>
      </c>
      <c r="F1571" s="16">
        <v>0.18353900163874759</v>
      </c>
    </row>
    <row r="1572" spans="2:6" x14ac:dyDescent="0.35">
      <c r="B1572" s="7" t="s">
        <v>77</v>
      </c>
      <c r="C1572" s="16">
        <v>0.43097951008307323</v>
      </c>
      <c r="D1572" s="16">
        <v>0.13815527010615458</v>
      </c>
      <c r="E1572" s="16">
        <v>0.11845057786994462</v>
      </c>
      <c r="F1572" s="16">
        <v>0.74350844229620183</v>
      </c>
    </row>
    <row r="1573" spans="2:6" x14ac:dyDescent="0.35">
      <c r="B1573" s="7" t="s">
        <v>78</v>
      </c>
      <c r="C1573" s="16">
        <v>-6.3988158373312662E-2</v>
      </c>
      <c r="D1573" s="16">
        <v>2.8851560630333121E-2</v>
      </c>
      <c r="E1573" s="16">
        <v>-0.12925492256951004</v>
      </c>
      <c r="F1573" s="16">
        <v>1.2786058228847347E-3</v>
      </c>
    </row>
    <row r="1574" spans="2:6" x14ac:dyDescent="0.35">
      <c r="B1574" s="7" t="s">
        <v>79</v>
      </c>
      <c r="C1574" s="16">
        <v>-0.19943159853479989</v>
      </c>
      <c r="D1574" s="16">
        <v>0.15930968735470605</v>
      </c>
      <c r="E1574" s="16">
        <v>-0.55981514700108181</v>
      </c>
      <c r="F1574" s="16">
        <v>0.16095194993148207</v>
      </c>
    </row>
    <row r="1575" spans="2:6" x14ac:dyDescent="0.35">
      <c r="B1575" s="7" t="s">
        <v>80</v>
      </c>
      <c r="C1575" s="16">
        <v>0.14498531619431715</v>
      </c>
      <c r="D1575" s="16">
        <v>6.3030257439716714E-2</v>
      </c>
      <c r="E1575" s="16">
        <v>2.4009686003579334E-3</v>
      </c>
      <c r="F1575" s="16">
        <v>0.28756966378827636</v>
      </c>
    </row>
    <row r="1576" spans="2:6" x14ac:dyDescent="0.35">
      <c r="B1576" s="7" t="s">
        <v>81</v>
      </c>
      <c r="C1576" s="16">
        <v>-0.3831719170092216</v>
      </c>
      <c r="D1576" s="16">
        <v>0.13247468754639435</v>
      </c>
      <c r="E1576" s="16">
        <v>-0.68285047876318306</v>
      </c>
      <c r="F1576" s="16">
        <v>-8.3493355255260138E-2</v>
      </c>
    </row>
    <row r="1577" spans="2:6" x14ac:dyDescent="0.35">
      <c r="B1577" s="7" t="s">
        <v>82</v>
      </c>
      <c r="C1577" s="16">
        <v>0.52335178979154273</v>
      </c>
      <c r="D1577" s="16">
        <v>0.14142570602849328</v>
      </c>
      <c r="E1577" s="16">
        <v>0.20342461756994673</v>
      </c>
      <c r="F1577" s="16">
        <v>0.84327896201313868</v>
      </c>
    </row>
    <row r="1578" spans="2:6" x14ac:dyDescent="0.35">
      <c r="B1578" s="7" t="s">
        <v>83</v>
      </c>
      <c r="C1578" s="16">
        <v>0.2921824176582859</v>
      </c>
      <c r="D1578" s="16">
        <v>9.0010748152780359E-2</v>
      </c>
      <c r="E1578" s="16">
        <v>8.8563960061422226E-2</v>
      </c>
      <c r="F1578" s="16">
        <v>0.4958008752551496</v>
      </c>
    </row>
    <row r="1579" spans="2:6" x14ac:dyDescent="0.35">
      <c r="B1579" s="7" t="s">
        <v>84</v>
      </c>
      <c r="C1579" s="16">
        <v>0.26705159328301764</v>
      </c>
      <c r="D1579" s="16">
        <v>8.911403749378248E-2</v>
      </c>
      <c r="E1579" s="16">
        <v>6.5461636115746014E-2</v>
      </c>
      <c r="F1579" s="16">
        <v>0.46864155045028927</v>
      </c>
    </row>
    <row r="1580" spans="2:6" x14ac:dyDescent="0.35">
      <c r="B1580" s="7" t="s">
        <v>85</v>
      </c>
      <c r="C1580" s="16">
        <v>0.21954263257912113</v>
      </c>
      <c r="D1580" s="16">
        <v>0.14379843979812962</v>
      </c>
      <c r="E1580" s="16">
        <v>-0.10575203630677651</v>
      </c>
      <c r="F1580" s="16">
        <v>0.54483730146501874</v>
      </c>
    </row>
    <row r="1581" spans="2:6" x14ac:dyDescent="0.35">
      <c r="B1581" s="7" t="s">
        <v>86</v>
      </c>
      <c r="C1581" s="16">
        <v>-0.11876572776939587</v>
      </c>
      <c r="D1581" s="16">
        <v>0.14060514583579073</v>
      </c>
      <c r="E1581" s="16">
        <v>-0.43683666388327858</v>
      </c>
      <c r="F1581" s="16">
        <v>0.19930520834448684</v>
      </c>
    </row>
    <row r="1582" spans="2:6" x14ac:dyDescent="0.35">
      <c r="B1582" s="7" t="s">
        <v>87</v>
      </c>
      <c r="C1582" s="16">
        <v>-4.4684932523308483E-2</v>
      </c>
      <c r="D1582" s="16">
        <v>6.5769512796790136E-2</v>
      </c>
      <c r="E1582" s="16">
        <v>-0.1934659062115705</v>
      </c>
      <c r="F1582" s="16">
        <v>0.10409604116495352</v>
      </c>
    </row>
    <row r="1583" spans="2:6" x14ac:dyDescent="0.35">
      <c r="B1583" s="7" t="s">
        <v>88</v>
      </c>
      <c r="C1583" s="16">
        <v>7.6005843848588883E-3</v>
      </c>
      <c r="D1583" s="16">
        <v>5.8077281271435362E-2</v>
      </c>
      <c r="E1583" s="16">
        <v>-0.12377935275149968</v>
      </c>
      <c r="F1583" s="16">
        <v>0.13898052152121745</v>
      </c>
    </row>
    <row r="1584" spans="2:6" x14ac:dyDescent="0.35">
      <c r="B1584" s="7" t="s">
        <v>89</v>
      </c>
      <c r="C1584" s="16">
        <v>-0.31661345854079753</v>
      </c>
      <c r="D1584" s="16">
        <v>5.893851359828492E-2</v>
      </c>
      <c r="E1584" s="16">
        <v>-0.44994163854397473</v>
      </c>
      <c r="F1584" s="16">
        <v>-0.18328527853762033</v>
      </c>
    </row>
    <row r="1585" spans="2:6" x14ac:dyDescent="0.35">
      <c r="B1585" s="7" t="s">
        <v>90</v>
      </c>
      <c r="C1585" s="16">
        <v>-0.46287831397912982</v>
      </c>
      <c r="D1585" s="16">
        <v>0.12357299178424425</v>
      </c>
      <c r="E1585" s="16">
        <v>-0.74241984100909364</v>
      </c>
      <c r="F1585" s="16">
        <v>-0.183336786949166</v>
      </c>
    </row>
    <row r="1586" spans="2:6" x14ac:dyDescent="0.35">
      <c r="B1586" s="7" t="s">
        <v>91</v>
      </c>
      <c r="C1586" s="16">
        <v>-9.5238300890301449E-3</v>
      </c>
      <c r="D1586" s="16">
        <v>0.13471816870260903</v>
      </c>
      <c r="E1586" s="16">
        <v>-0.31427749878356143</v>
      </c>
      <c r="F1586" s="16">
        <v>0.29522983860550117</v>
      </c>
    </row>
    <row r="1587" spans="2:6" x14ac:dyDescent="0.35">
      <c r="B1587" s="7" t="s">
        <v>92</v>
      </c>
      <c r="C1587" s="16">
        <v>-0.10860874690797415</v>
      </c>
      <c r="D1587" s="16">
        <v>0.15220701153499488</v>
      </c>
      <c r="E1587" s="16">
        <v>-0.45292492647776228</v>
      </c>
      <c r="F1587" s="16">
        <v>0.23570743266181396</v>
      </c>
    </row>
    <row r="1588" spans="2:6" ht="15" thickBot="1" x14ac:dyDescent="0.4">
      <c r="B1588" s="11" t="s">
        <v>93</v>
      </c>
      <c r="C1588" s="17">
        <v>-9.7138339512858385E-2</v>
      </c>
      <c r="D1588" s="17">
        <v>0.12941329910251367</v>
      </c>
      <c r="E1588" s="17">
        <v>-0.38989155950663595</v>
      </c>
      <c r="F1588" s="17">
        <v>0.19561488048091918</v>
      </c>
    </row>
    <row r="1591" spans="2:6" x14ac:dyDescent="0.35">
      <c r="B1591" s="6" t="s">
        <v>403</v>
      </c>
    </row>
    <row r="1592" spans="2:6" ht="15" thickBot="1" x14ac:dyDescent="0.4"/>
    <row r="1593" spans="2:6" ht="43.5" x14ac:dyDescent="0.35">
      <c r="B1593" s="8" t="s">
        <v>56</v>
      </c>
      <c r="C1593" s="9" t="s">
        <v>404</v>
      </c>
      <c r="D1593" s="9" t="s">
        <v>63</v>
      </c>
      <c r="E1593" s="9" t="s">
        <v>401</v>
      </c>
      <c r="F1593" s="9" t="s">
        <v>402</v>
      </c>
    </row>
    <row r="1594" spans="2:6" x14ac:dyDescent="0.35">
      <c r="B1594" s="22" t="s">
        <v>389</v>
      </c>
      <c r="C1594" s="23">
        <v>1.7202768056818956</v>
      </c>
      <c r="D1594" s="23">
        <v>0.60217731798962404</v>
      </c>
      <c r="E1594" s="23">
        <v>0.35805707964714539</v>
      </c>
      <c r="F1594" s="23">
        <v>3.0824965317166457</v>
      </c>
    </row>
    <row r="1595" spans="2:6" x14ac:dyDescent="0.35">
      <c r="B1595" s="7" t="s">
        <v>1</v>
      </c>
      <c r="C1595" s="16">
        <v>9.485405511478981E-8</v>
      </c>
      <c r="D1595" s="16">
        <v>5.7545789314633379E-6</v>
      </c>
      <c r="E1595" s="16">
        <v>-1.2922907825445456E-5</v>
      </c>
      <c r="F1595" s="16">
        <v>1.3112615935675035E-5</v>
      </c>
    </row>
    <row r="1596" spans="2:6" x14ac:dyDescent="0.35">
      <c r="B1596" s="7" t="s">
        <v>2</v>
      </c>
      <c r="C1596" s="16">
        <v>-1.504185668228921E-4</v>
      </c>
      <c r="D1596" s="16">
        <v>5.3799848374134145E-5</v>
      </c>
      <c r="E1596" s="16">
        <v>-2.7212227854287905E-4</v>
      </c>
      <c r="F1596" s="16">
        <v>-2.8714855102905161E-5</v>
      </c>
    </row>
    <row r="1597" spans="2:6" x14ac:dyDescent="0.35">
      <c r="B1597" s="7" t="s">
        <v>3</v>
      </c>
      <c r="C1597" s="16">
        <v>0.22633542470448101</v>
      </c>
      <c r="D1597" s="16">
        <v>0.14125896389823711</v>
      </c>
      <c r="E1597" s="16">
        <v>-9.3214550614790087E-2</v>
      </c>
      <c r="F1597" s="16">
        <v>0.54588540002375208</v>
      </c>
    </row>
    <row r="1598" spans="2:6" x14ac:dyDescent="0.35">
      <c r="B1598" s="7" t="s">
        <v>4</v>
      </c>
      <c r="C1598" s="16">
        <v>6.2093452165178755E-3</v>
      </c>
      <c r="D1598" s="16">
        <v>2.9013837635205437E-3</v>
      </c>
      <c r="E1598" s="16">
        <v>-3.5404081180265452E-4</v>
      </c>
      <c r="F1598" s="16">
        <v>1.2772731244838405E-2</v>
      </c>
    </row>
    <row r="1599" spans="2:6" x14ac:dyDescent="0.35">
      <c r="B1599" s="7" t="s">
        <v>5</v>
      </c>
      <c r="C1599" s="16">
        <v>-4.0502753407263819E-3</v>
      </c>
      <c r="D1599" s="16">
        <v>1.8670380911014598E-3</v>
      </c>
      <c r="E1599" s="16">
        <v>-8.2738089096219408E-3</v>
      </c>
      <c r="F1599" s="16">
        <v>1.7325822816917791E-4</v>
      </c>
    </row>
    <row r="1600" spans="2:6" x14ac:dyDescent="0.35">
      <c r="B1600" s="7" t="s">
        <v>6</v>
      </c>
      <c r="C1600" s="16">
        <v>9.3750879598791933E-4</v>
      </c>
      <c r="D1600" s="16">
        <v>1.159833424201701E-3</v>
      </c>
      <c r="E1600" s="16">
        <v>-1.686216678489701E-3</v>
      </c>
      <c r="F1600" s="16">
        <v>3.5612342704655396E-3</v>
      </c>
    </row>
    <row r="1601" spans="2:6" x14ac:dyDescent="0.35">
      <c r="B1601" s="7" t="s">
        <v>7</v>
      </c>
      <c r="C1601" s="16">
        <v>2.1241367467967308E-2</v>
      </c>
      <c r="D1601" s="16">
        <v>1.0968282350682312E-2</v>
      </c>
      <c r="E1601" s="16">
        <v>-3.5706108853516931E-3</v>
      </c>
      <c r="F1601" s="16">
        <v>4.6053345821286312E-2</v>
      </c>
    </row>
    <row r="1602" spans="2:6" x14ac:dyDescent="0.35">
      <c r="B1602" s="7" t="s">
        <v>8</v>
      </c>
      <c r="C1602" s="16">
        <v>2.5662110333275469E-4</v>
      </c>
      <c r="D1602" s="16">
        <v>8.0855956705663909E-4</v>
      </c>
      <c r="E1602" s="16">
        <v>-1.5724677032596742E-3</v>
      </c>
      <c r="F1602" s="16">
        <v>2.0857099099251836E-3</v>
      </c>
    </row>
    <row r="1603" spans="2:6" x14ac:dyDescent="0.35">
      <c r="B1603" s="7" t="s">
        <v>9</v>
      </c>
      <c r="C1603" s="16">
        <v>-8.5005089062738457E-5</v>
      </c>
      <c r="D1603" s="16">
        <v>7.5627953278620713E-5</v>
      </c>
      <c r="E1603" s="16">
        <v>-2.560874043842643E-4</v>
      </c>
      <c r="F1603" s="16">
        <v>8.6077226258787377E-5</v>
      </c>
    </row>
    <row r="1604" spans="2:6" x14ac:dyDescent="0.35">
      <c r="B1604" s="7" t="s">
        <v>10</v>
      </c>
      <c r="C1604" s="16">
        <v>-1.4688835720672296E-5</v>
      </c>
      <c r="D1604" s="16">
        <v>2.8412589279693948E-5</v>
      </c>
      <c r="E1604" s="16">
        <v>-7.8962577736955722E-5</v>
      </c>
      <c r="F1604" s="16">
        <v>4.9584906295611134E-5</v>
      </c>
    </row>
    <row r="1605" spans="2:6" x14ac:dyDescent="0.35">
      <c r="B1605" s="7" t="s">
        <v>11</v>
      </c>
      <c r="C1605" s="16">
        <v>-1.8891434374672055E-3</v>
      </c>
      <c r="D1605" s="16">
        <v>1.0119390963828027E-3</v>
      </c>
      <c r="E1605" s="16">
        <v>-4.1783087006832245E-3</v>
      </c>
      <c r="F1605" s="16">
        <v>4.0002182574881348E-4</v>
      </c>
    </row>
    <row r="1606" spans="2:6" x14ac:dyDescent="0.35">
      <c r="B1606" s="7" t="s">
        <v>12</v>
      </c>
      <c r="C1606" s="16">
        <v>-9.2517569037110342E-5</v>
      </c>
      <c r="D1606" s="16">
        <v>7.2774574151491749E-5</v>
      </c>
      <c r="E1606" s="16">
        <v>-2.5714509236180795E-4</v>
      </c>
      <c r="F1606" s="16">
        <v>7.2109954287587289E-5</v>
      </c>
    </row>
    <row r="1607" spans="2:6" x14ac:dyDescent="0.35">
      <c r="B1607" s="7" t="s">
        <v>13</v>
      </c>
      <c r="C1607" s="16">
        <v>-2.9444648468347832E-3</v>
      </c>
      <c r="D1607" s="16">
        <v>3.5202677928812486E-3</v>
      </c>
      <c r="E1607" s="16">
        <v>-1.090786380778714E-2</v>
      </c>
      <c r="F1607" s="16">
        <v>5.0189341141175722E-3</v>
      </c>
    </row>
    <row r="1608" spans="2:6" x14ac:dyDescent="0.35">
      <c r="B1608" s="7" t="s">
        <v>14</v>
      </c>
      <c r="C1608" s="16">
        <v>4.2081968682676505E-3</v>
      </c>
      <c r="D1608" s="16">
        <v>3.8446052714946445E-3</v>
      </c>
      <c r="E1608" s="16">
        <v>-4.4889044392535859E-3</v>
      </c>
      <c r="F1608" s="16">
        <v>1.2905298175788886E-2</v>
      </c>
    </row>
    <row r="1609" spans="2:6" x14ac:dyDescent="0.35">
      <c r="B1609" s="7" t="s">
        <v>15</v>
      </c>
      <c r="C1609" s="16">
        <v>2.8011926784078699E-3</v>
      </c>
      <c r="D1609" s="16">
        <v>4.1236286347333794E-3</v>
      </c>
      <c r="E1609" s="16">
        <v>-6.5271033255481356E-3</v>
      </c>
      <c r="F1609" s="16">
        <v>1.2129488682363875E-2</v>
      </c>
    </row>
    <row r="1610" spans="2:6" x14ac:dyDescent="0.35">
      <c r="B1610" s="7" t="s">
        <v>16</v>
      </c>
      <c r="C1610" s="16">
        <v>9.9158461730150665E-3</v>
      </c>
      <c r="D1610" s="16">
        <v>5.4255959341787049E-3</v>
      </c>
      <c r="E1610" s="16">
        <v>-2.3577044676942518E-3</v>
      </c>
      <c r="F1610" s="16">
        <v>2.2189396813724387E-2</v>
      </c>
    </row>
    <row r="1611" spans="2:6" x14ac:dyDescent="0.35">
      <c r="B1611" s="7" t="s">
        <v>17</v>
      </c>
      <c r="C1611" s="16">
        <v>7.3845507360371422E-4</v>
      </c>
      <c r="D1611" s="16">
        <v>1.7035792712978537E-4</v>
      </c>
      <c r="E1611" s="16">
        <v>3.5307867052474136E-4</v>
      </c>
      <c r="F1611" s="16">
        <v>1.1238314766826871E-3</v>
      </c>
    </row>
    <row r="1612" spans="2:6" x14ac:dyDescent="0.35">
      <c r="B1612" s="7" t="s">
        <v>18</v>
      </c>
      <c r="C1612" s="16">
        <v>0.17067492332772272</v>
      </c>
      <c r="D1612" s="16">
        <v>4.619537182595123E-2</v>
      </c>
      <c r="E1612" s="16">
        <v>6.617373261049779E-2</v>
      </c>
      <c r="F1612" s="16">
        <v>0.27517611404494763</v>
      </c>
    </row>
    <row r="1613" spans="2:6" x14ac:dyDescent="0.35">
      <c r="B1613" s="7" t="s">
        <v>19</v>
      </c>
      <c r="C1613" s="16">
        <v>-8.8275981514559423E-3</v>
      </c>
      <c r="D1613" s="16">
        <v>7.5322446511235314E-3</v>
      </c>
      <c r="E1613" s="16">
        <v>-2.586671925175784E-2</v>
      </c>
      <c r="F1613" s="16">
        <v>8.2115229488459573E-3</v>
      </c>
    </row>
    <row r="1614" spans="2:6" x14ac:dyDescent="0.35">
      <c r="B1614" s="7" t="s">
        <v>20</v>
      </c>
      <c r="C1614" s="16">
        <v>4.1187309523523098E-2</v>
      </c>
      <c r="D1614" s="16">
        <v>8.4936086592144702E-2</v>
      </c>
      <c r="E1614" s="16">
        <v>-0.15095146613525851</v>
      </c>
      <c r="F1614" s="16">
        <v>0.23332608518230469</v>
      </c>
    </row>
    <row r="1615" spans="2:6" x14ac:dyDescent="0.35">
      <c r="B1615" s="7" t="s">
        <v>72</v>
      </c>
      <c r="C1615" s="16">
        <v>2.6298438561267481E-2</v>
      </c>
      <c r="D1615" s="16">
        <v>5.5757168753881522E-2</v>
      </c>
      <c r="E1615" s="16">
        <v>-9.9833039452480205E-2</v>
      </c>
      <c r="F1615" s="16">
        <v>0.15242991657501517</v>
      </c>
    </row>
    <row r="1616" spans="2:6" x14ac:dyDescent="0.35">
      <c r="B1616" s="7" t="s">
        <v>73</v>
      </c>
      <c r="C1616" s="16">
        <v>6.7482782987095327E-2</v>
      </c>
      <c r="D1616" s="16">
        <v>7.5355146743557908E-2</v>
      </c>
      <c r="E1616" s="16">
        <v>-0.10298240108031019</v>
      </c>
      <c r="F1616" s="16">
        <v>0.23794796705450083</v>
      </c>
    </row>
    <row r="1617" spans="2:6" x14ac:dyDescent="0.35">
      <c r="B1617" s="7" t="s">
        <v>74</v>
      </c>
      <c r="C1617" s="16">
        <v>-0.16422596999499203</v>
      </c>
      <c r="D1617" s="16">
        <v>0.31591434740982721</v>
      </c>
      <c r="E1617" s="16">
        <v>-0.87887387007826434</v>
      </c>
      <c r="F1617" s="16">
        <v>0.55042193008828022</v>
      </c>
    </row>
    <row r="1618" spans="2:6" x14ac:dyDescent="0.35">
      <c r="B1618" s="7" t="s">
        <v>75</v>
      </c>
      <c r="C1618" s="16">
        <v>0.43211690321573587</v>
      </c>
      <c r="D1618" s="16">
        <v>0.54227711880180229</v>
      </c>
      <c r="E1618" s="16">
        <v>-0.79459915888249322</v>
      </c>
      <c r="F1618" s="16">
        <v>1.6588329653139651</v>
      </c>
    </row>
    <row r="1619" spans="2:6" x14ac:dyDescent="0.35">
      <c r="B1619" s="7" t="s">
        <v>76</v>
      </c>
      <c r="C1619" s="16">
        <v>-1.4278131594409148E-2</v>
      </c>
      <c r="D1619" s="16">
        <v>9.5061327925188288E-2</v>
      </c>
      <c r="E1619" s="16">
        <v>-0.22932179433990768</v>
      </c>
      <c r="F1619" s="16">
        <v>0.20076553115108936</v>
      </c>
    </row>
    <row r="1620" spans="2:6" x14ac:dyDescent="0.35">
      <c r="B1620" s="7" t="s">
        <v>77</v>
      </c>
      <c r="C1620" s="16">
        <v>9.231415091712528E-3</v>
      </c>
      <c r="D1620" s="16">
        <v>7.9870813961753412E-2</v>
      </c>
      <c r="E1620" s="16">
        <v>-0.17144891786467917</v>
      </c>
      <c r="F1620" s="16">
        <v>0.18991174804810421</v>
      </c>
    </row>
    <row r="1621" spans="2:6" x14ac:dyDescent="0.35">
      <c r="B1621" s="7" t="s">
        <v>78</v>
      </c>
      <c r="C1621" s="16">
        <v>2.1118153357041539E-2</v>
      </c>
      <c r="D1621" s="16">
        <v>0.10367054887899491</v>
      </c>
      <c r="E1621" s="16">
        <v>-0.2134009201332854</v>
      </c>
      <c r="F1621" s="16">
        <v>0.2556372268473685</v>
      </c>
    </row>
    <row r="1622" spans="2:6" x14ac:dyDescent="0.35">
      <c r="B1622" s="7" t="s">
        <v>79</v>
      </c>
      <c r="C1622" s="16">
        <v>-0.17333577068336548</v>
      </c>
      <c r="D1622" s="16">
        <v>0.38291674359494043</v>
      </c>
      <c r="E1622" s="16">
        <v>-1.0395536204280917</v>
      </c>
      <c r="F1622" s="16">
        <v>0.69288207906136079</v>
      </c>
    </row>
    <row r="1623" spans="2:6" x14ac:dyDescent="0.35">
      <c r="B1623" s="7" t="s">
        <v>80</v>
      </c>
      <c r="C1623" s="16">
        <v>-5.2721911990773501E-2</v>
      </c>
      <c r="D1623" s="16">
        <v>5.5430463969196681E-2</v>
      </c>
      <c r="E1623" s="16">
        <v>-0.17811433243959429</v>
      </c>
      <c r="F1623" s="16">
        <v>7.2670508458047289E-2</v>
      </c>
    </row>
    <row r="1624" spans="2:6" x14ac:dyDescent="0.35">
      <c r="B1624" s="7" t="s">
        <v>81</v>
      </c>
      <c r="C1624" s="16">
        <v>-0.18622319115071198</v>
      </c>
      <c r="D1624" s="16">
        <v>7.3214520400623984E-2</v>
      </c>
      <c r="E1624" s="16">
        <v>-0.35184594202892111</v>
      </c>
      <c r="F1624" s="16">
        <v>-2.0600440272502851E-2</v>
      </c>
    </row>
    <row r="1625" spans="2:6" x14ac:dyDescent="0.35">
      <c r="B1625" s="7" t="s">
        <v>82</v>
      </c>
      <c r="C1625" s="16">
        <v>0.47745800890264101</v>
      </c>
      <c r="D1625" s="16">
        <v>0.1582030929168653</v>
      </c>
      <c r="E1625" s="16">
        <v>0.11957775095713052</v>
      </c>
      <c r="F1625" s="16">
        <v>0.83533826684815149</v>
      </c>
    </row>
    <row r="1626" spans="2:6" x14ac:dyDescent="0.35">
      <c r="B1626" s="7" t="s">
        <v>83</v>
      </c>
      <c r="C1626" s="16">
        <v>9.4245339434559317E-2</v>
      </c>
      <c r="D1626" s="16">
        <v>6.8322415068104478E-2</v>
      </c>
      <c r="E1626" s="16">
        <v>-6.0310700382452564E-2</v>
      </c>
      <c r="F1626" s="16">
        <v>0.2488013792515712</v>
      </c>
    </row>
    <row r="1627" spans="2:6" x14ac:dyDescent="0.35">
      <c r="B1627" s="7" t="s">
        <v>84</v>
      </c>
      <c r="C1627" s="16">
        <v>0.34562743388249278</v>
      </c>
      <c r="D1627" s="16">
        <v>0.21098893719244133</v>
      </c>
      <c r="E1627" s="16">
        <v>-0.131662699160351</v>
      </c>
      <c r="F1627" s="16">
        <v>0.82291756692533657</v>
      </c>
    </row>
    <row r="1628" spans="2:6" x14ac:dyDescent="0.35">
      <c r="B1628" s="7" t="s">
        <v>85</v>
      </c>
      <c r="C1628" s="16">
        <v>5.9753136604895146E-2</v>
      </c>
      <c r="D1628" s="16">
        <v>8.904874717243165E-2</v>
      </c>
      <c r="E1628" s="16">
        <v>-0.14168912359504438</v>
      </c>
      <c r="F1628" s="16">
        <v>0.26119539680483467</v>
      </c>
    </row>
    <row r="1629" spans="2:6" x14ac:dyDescent="0.35">
      <c r="B1629" s="7" t="s">
        <v>86</v>
      </c>
      <c r="C1629" s="16">
        <v>-8.5707812806454051E-2</v>
      </c>
      <c r="D1629" s="16">
        <v>8.8487984557156396E-2</v>
      </c>
      <c r="E1629" s="16">
        <v>-0.28588153984625891</v>
      </c>
      <c r="F1629" s="16">
        <v>0.11446591423335083</v>
      </c>
    </row>
    <row r="1630" spans="2:6" x14ac:dyDescent="0.35">
      <c r="B1630" s="7" t="s">
        <v>87</v>
      </c>
      <c r="C1630" s="16">
        <v>-9.0360434982805535E-2</v>
      </c>
      <c r="D1630" s="16">
        <v>0.16985542775625778</v>
      </c>
      <c r="E1630" s="16">
        <v>-0.47460010551060117</v>
      </c>
      <c r="F1630" s="16">
        <v>0.29387923554499007</v>
      </c>
    </row>
    <row r="1631" spans="2:6" x14ac:dyDescent="0.35">
      <c r="B1631" s="7" t="s">
        <v>88</v>
      </c>
      <c r="C1631" s="16">
        <v>0.16063431031983785</v>
      </c>
      <c r="D1631" s="16">
        <v>0.16790168463759406</v>
      </c>
      <c r="E1631" s="16">
        <v>-0.21918568624093823</v>
      </c>
      <c r="F1631" s="16">
        <v>0.54045430688061391</v>
      </c>
    </row>
    <row r="1632" spans="2:6" x14ac:dyDescent="0.35">
      <c r="B1632" s="7" t="s">
        <v>89</v>
      </c>
      <c r="C1632" s="16">
        <v>-0.44723198157098504</v>
      </c>
      <c r="D1632" s="16">
        <v>0.12020967663675432</v>
      </c>
      <c r="E1632" s="16">
        <v>-0.71916516118913021</v>
      </c>
      <c r="F1632" s="16">
        <v>-0.17529880195283987</v>
      </c>
    </row>
    <row r="1633" spans="2:6" x14ac:dyDescent="0.35">
      <c r="B1633" s="7" t="s">
        <v>90</v>
      </c>
      <c r="C1633" s="16">
        <v>-0.2567707336584843</v>
      </c>
      <c r="D1633" s="16">
        <v>9.4390731629633587E-2</v>
      </c>
      <c r="E1633" s="16">
        <v>-0.47029740219858801</v>
      </c>
      <c r="F1633" s="16">
        <v>-4.3244065118380581E-2</v>
      </c>
    </row>
    <row r="1634" spans="2:6" x14ac:dyDescent="0.35">
      <c r="B1634" s="7" t="s">
        <v>91</v>
      </c>
      <c r="C1634" s="16">
        <v>-2.608891708783663E-2</v>
      </c>
      <c r="D1634" s="16">
        <v>0.18193926006186026</v>
      </c>
      <c r="E1634" s="16">
        <v>-0.43766411527672444</v>
      </c>
      <c r="F1634" s="16">
        <v>0.38548628110105121</v>
      </c>
    </row>
    <row r="1635" spans="2:6" x14ac:dyDescent="0.35">
      <c r="B1635" s="7" t="s">
        <v>92</v>
      </c>
      <c r="C1635" s="16">
        <v>-0.29622894542336159</v>
      </c>
      <c r="D1635" s="16">
        <v>0.40073716234249962</v>
      </c>
      <c r="E1635" s="16">
        <v>-1.2027593828709393</v>
      </c>
      <c r="F1635" s="16">
        <v>0.61030149202421624</v>
      </c>
    </row>
    <row r="1636" spans="2:6" ht="15" thickBot="1" x14ac:dyDescent="0.4">
      <c r="B1636" s="11" t="s">
        <v>93</v>
      </c>
      <c r="C1636" s="17">
        <v>1.0387362801070133E-2</v>
      </c>
      <c r="D1636" s="17">
        <v>0.41041669641264117</v>
      </c>
      <c r="E1636" s="17">
        <v>-0.91803970186121697</v>
      </c>
      <c r="F1636" s="17">
        <v>0.93881442746335719</v>
      </c>
    </row>
    <row r="1639" spans="2:6" x14ac:dyDescent="0.35">
      <c r="B1639" s="6" t="s">
        <v>405</v>
      </c>
    </row>
    <row r="1640" spans="2:6" ht="15" thickBot="1" x14ac:dyDescent="0.4"/>
    <row r="1641" spans="2:6" ht="43.5" x14ac:dyDescent="0.35">
      <c r="B1641" s="8" t="s">
        <v>56</v>
      </c>
      <c r="C1641" s="9" t="s">
        <v>404</v>
      </c>
      <c r="D1641" s="9" t="s">
        <v>63</v>
      </c>
      <c r="E1641" s="9" t="s">
        <v>401</v>
      </c>
      <c r="F1641" s="9" t="s">
        <v>402</v>
      </c>
    </row>
    <row r="1642" spans="2:6" x14ac:dyDescent="0.35">
      <c r="B1642" s="22" t="s">
        <v>1</v>
      </c>
      <c r="C1642" s="23">
        <v>7.6825708024185445E-4</v>
      </c>
      <c r="D1642" s="23">
        <v>4.6608402798985704E-2</v>
      </c>
      <c r="E1642" s="23">
        <v>-0.10466727460620001</v>
      </c>
      <c r="F1642" s="23">
        <v>0.10620378876668371</v>
      </c>
    </row>
    <row r="1643" spans="2:6" x14ac:dyDescent="0.35">
      <c r="B1643" s="7" t="s">
        <v>2</v>
      </c>
      <c r="C1643" s="16">
        <v>-0.14754652875902313</v>
      </c>
      <c r="D1643" s="16">
        <v>5.2772613401587017E-2</v>
      </c>
      <c r="E1643" s="16">
        <v>-0.26692647354014876</v>
      </c>
      <c r="F1643" s="16">
        <v>-2.8166583977897508E-2</v>
      </c>
    </row>
    <row r="1644" spans="2:6" x14ac:dyDescent="0.35">
      <c r="B1644" s="7" t="s">
        <v>3</v>
      </c>
      <c r="C1644" s="16">
        <v>7.9093893417501879E-2</v>
      </c>
      <c r="D1644" s="16">
        <v>4.9363556100074826E-2</v>
      </c>
      <c r="E1644" s="16">
        <v>-3.2574228010983433E-2</v>
      </c>
      <c r="F1644" s="16">
        <v>0.1907620148459872</v>
      </c>
    </row>
    <row r="1645" spans="2:6" x14ac:dyDescent="0.35">
      <c r="B1645" s="7" t="s">
        <v>4</v>
      </c>
      <c r="C1645" s="16">
        <v>0.11663341168614262</v>
      </c>
      <c r="D1645" s="16">
        <v>5.4498224071998225E-2</v>
      </c>
      <c r="E1645" s="16">
        <v>-6.6501356128226136E-3</v>
      </c>
      <c r="F1645" s="16">
        <v>0.23991695898510784</v>
      </c>
    </row>
    <row r="1646" spans="2:6" x14ac:dyDescent="0.35">
      <c r="B1646" s="7" t="s">
        <v>5</v>
      </c>
      <c r="C1646" s="16">
        <v>-0.1224893565206302</v>
      </c>
      <c r="D1646" s="16">
        <v>5.6463394495424445E-2</v>
      </c>
      <c r="E1646" s="16">
        <v>-0.25021842814579964</v>
      </c>
      <c r="F1646" s="16">
        <v>5.2397151045392165E-3</v>
      </c>
    </row>
    <row r="1647" spans="2:6" x14ac:dyDescent="0.35">
      <c r="B1647" s="7" t="s">
        <v>6</v>
      </c>
      <c r="C1647" s="16">
        <v>5.3784945341371918E-2</v>
      </c>
      <c r="D1647" s="16">
        <v>6.6539724846046727E-2</v>
      </c>
      <c r="E1647" s="16">
        <v>-9.6738369041869679E-2</v>
      </c>
      <c r="F1647" s="16">
        <v>0.20430825972461353</v>
      </c>
    </row>
    <row r="1648" spans="2:6" x14ac:dyDescent="0.35">
      <c r="B1648" s="7" t="s">
        <v>7</v>
      </c>
      <c r="C1648" s="16">
        <v>7.5388881636574923E-2</v>
      </c>
      <c r="D1648" s="16">
        <v>3.8928121795317336E-2</v>
      </c>
      <c r="E1648" s="16">
        <v>-1.2672647456054051E-2</v>
      </c>
      <c r="F1648" s="16">
        <v>0.16345041072920391</v>
      </c>
    </row>
    <row r="1649" spans="2:6" x14ac:dyDescent="0.35">
      <c r="B1649" s="7" t="s">
        <v>8</v>
      </c>
      <c r="C1649" s="16">
        <v>2.0382433591636651E-2</v>
      </c>
      <c r="D1649" s="16">
        <v>6.42207966000546E-2</v>
      </c>
      <c r="E1649" s="16">
        <v>-0.12489510067737609</v>
      </c>
      <c r="F1649" s="16">
        <v>0.1656599678606494</v>
      </c>
    </row>
    <row r="1650" spans="2:6" x14ac:dyDescent="0.35">
      <c r="B1650" s="7" t="s">
        <v>9</v>
      </c>
      <c r="C1650" s="16">
        <v>-1.5984791841261357E-2</v>
      </c>
      <c r="D1650" s="16">
        <v>1.4221467254121201E-2</v>
      </c>
      <c r="E1650" s="16">
        <v>-4.8155985687282236E-2</v>
      </c>
      <c r="F1650" s="16">
        <v>1.6186402004759522E-2</v>
      </c>
    </row>
    <row r="1651" spans="2:6" x14ac:dyDescent="0.35">
      <c r="B1651" s="7" t="s">
        <v>10</v>
      </c>
      <c r="C1651" s="16">
        <v>-1.3914713295269557E-2</v>
      </c>
      <c r="D1651" s="16">
        <v>2.6915205624281822E-2</v>
      </c>
      <c r="E1651" s="16">
        <v>-7.4801138167735287E-2</v>
      </c>
      <c r="F1651" s="16">
        <v>4.6971711577196165E-2</v>
      </c>
    </row>
    <row r="1652" spans="2:6" x14ac:dyDescent="0.35">
      <c r="B1652" s="7" t="s">
        <v>11</v>
      </c>
      <c r="C1652" s="16">
        <v>-8.6012613842837565E-2</v>
      </c>
      <c r="D1652" s="16">
        <v>4.6073540528155328E-2</v>
      </c>
      <c r="E1652" s="16">
        <v>-0.19023820301854302</v>
      </c>
      <c r="F1652" s="16">
        <v>1.8212975332867892E-2</v>
      </c>
    </row>
    <row r="1653" spans="2:6" x14ac:dyDescent="0.35">
      <c r="B1653" s="7" t="s">
        <v>12</v>
      </c>
      <c r="C1653" s="16">
        <v>-5.8466965994723091E-2</v>
      </c>
      <c r="D1653" s="16">
        <v>4.5990276187315375E-2</v>
      </c>
      <c r="E1653" s="16">
        <v>-0.16250419814637768</v>
      </c>
      <c r="F1653" s="16">
        <v>4.5570266156931494E-2</v>
      </c>
    </row>
    <row r="1654" spans="2:6" x14ac:dyDescent="0.35">
      <c r="B1654" s="7" t="s">
        <v>13</v>
      </c>
      <c r="C1654" s="16">
        <v>-4.6891016433873764E-2</v>
      </c>
      <c r="D1654" s="16">
        <v>5.6060759259895961E-2</v>
      </c>
      <c r="E1654" s="16">
        <v>-0.17370926388176489</v>
      </c>
      <c r="F1654" s="16">
        <v>7.9927231014017344E-2</v>
      </c>
    </row>
    <row r="1655" spans="2:6" x14ac:dyDescent="0.35">
      <c r="B1655" s="7" t="s">
        <v>14</v>
      </c>
      <c r="C1655" s="16">
        <v>5.977067615541768E-2</v>
      </c>
      <c r="D1655" s="16">
        <v>5.460644162365804E-2</v>
      </c>
      <c r="E1655" s="16">
        <v>-6.3757676251893936E-2</v>
      </c>
      <c r="F1655" s="16">
        <v>0.18329902856272931</v>
      </c>
    </row>
    <row r="1656" spans="2:6" x14ac:dyDescent="0.35">
      <c r="B1656" s="7" t="s">
        <v>15</v>
      </c>
      <c r="C1656" s="16">
        <v>3.8724128587826812E-2</v>
      </c>
      <c r="D1656" s="16">
        <v>5.7005691443767652E-2</v>
      </c>
      <c r="E1656" s="16">
        <v>-9.0231703956979714E-2</v>
      </c>
      <c r="F1656" s="16">
        <v>0.16767996113263334</v>
      </c>
    </row>
    <row r="1657" spans="2:6" x14ac:dyDescent="0.35">
      <c r="B1657" s="7" t="s">
        <v>16</v>
      </c>
      <c r="C1657" s="16">
        <v>7.5428240180861708E-2</v>
      </c>
      <c r="D1657" s="16">
        <v>4.1271631901798778E-2</v>
      </c>
      <c r="E1657" s="16">
        <v>-1.7934677057485873E-2</v>
      </c>
      <c r="F1657" s="16">
        <v>0.1687911574192093</v>
      </c>
    </row>
    <row r="1658" spans="2:6" x14ac:dyDescent="0.35">
      <c r="B1658" s="7" t="s">
        <v>17</v>
      </c>
      <c r="C1658" s="16">
        <v>0.1067472743239712</v>
      </c>
      <c r="D1658" s="16">
        <v>2.4626067354160067E-2</v>
      </c>
      <c r="E1658" s="16">
        <v>5.1039239958792317E-2</v>
      </c>
      <c r="F1658" s="16">
        <v>0.16245530868915009</v>
      </c>
    </row>
    <row r="1659" spans="2:6" x14ac:dyDescent="0.35">
      <c r="B1659" s="7" t="s">
        <v>18</v>
      </c>
      <c r="C1659" s="16">
        <v>0.19575140752329695</v>
      </c>
      <c r="D1659" s="16">
        <v>5.2982646071727792E-2</v>
      </c>
      <c r="E1659" s="16">
        <v>7.5896335835477627E-2</v>
      </c>
      <c r="F1659" s="16">
        <v>0.31560647921111629</v>
      </c>
    </row>
    <row r="1660" spans="2:6" x14ac:dyDescent="0.35">
      <c r="B1660" s="7" t="s">
        <v>19</v>
      </c>
      <c r="C1660" s="16">
        <v>-5.9544646262400303E-2</v>
      </c>
      <c r="D1660" s="16">
        <v>5.0807120534710259E-2</v>
      </c>
      <c r="E1660" s="16">
        <v>-0.17447833729956436</v>
      </c>
      <c r="F1660" s="16">
        <v>5.5389044774763738E-2</v>
      </c>
    </row>
    <row r="1661" spans="2:6" x14ac:dyDescent="0.35">
      <c r="B1661" s="7" t="s">
        <v>20</v>
      </c>
      <c r="C1661" s="16">
        <v>2.4600797458395707E-2</v>
      </c>
      <c r="D1661" s="16">
        <v>5.0731535692292516E-2</v>
      </c>
      <c r="E1661" s="16">
        <v>-9.0161908786989028E-2</v>
      </c>
      <c r="F1661" s="16">
        <v>0.13936350370378045</v>
      </c>
    </row>
    <row r="1662" spans="2:6" x14ac:dyDescent="0.35">
      <c r="B1662" s="7" t="s">
        <v>72</v>
      </c>
      <c r="C1662" s="16">
        <v>1.961582003579521E-2</v>
      </c>
      <c r="D1662" s="16">
        <v>4.1588879333408255E-2</v>
      </c>
      <c r="E1662" s="16">
        <v>-7.4464760748590708E-2</v>
      </c>
      <c r="F1662" s="16">
        <v>0.11369640082018112</v>
      </c>
    </row>
    <row r="1663" spans="2:6" x14ac:dyDescent="0.35">
      <c r="B1663" s="7" t="s">
        <v>73</v>
      </c>
      <c r="C1663" s="16">
        <v>2.6591848715511433E-2</v>
      </c>
      <c r="D1663" s="16">
        <v>2.9693983760614124E-2</v>
      </c>
      <c r="E1663" s="16">
        <v>-4.0580608988983288E-2</v>
      </c>
      <c r="F1663" s="16">
        <v>9.3764306420006147E-2</v>
      </c>
    </row>
    <row r="1664" spans="2:6" x14ac:dyDescent="0.35">
      <c r="B1664" s="7" t="s">
        <v>74</v>
      </c>
      <c r="C1664" s="16">
        <v>-3.9631683598401302E-2</v>
      </c>
      <c r="D1664" s="16">
        <v>7.623774401285921E-2</v>
      </c>
      <c r="E1664" s="16">
        <v>-0.21209344138997249</v>
      </c>
      <c r="F1664" s="16">
        <v>0.13283007419316989</v>
      </c>
    </row>
    <row r="1665" spans="2:6" x14ac:dyDescent="0.35">
      <c r="B1665" s="7" t="s">
        <v>75</v>
      </c>
      <c r="C1665" s="16">
        <v>7.4057153966184744E-2</v>
      </c>
      <c r="D1665" s="16">
        <v>9.2936656216371968E-2</v>
      </c>
      <c r="E1665" s="16">
        <v>-0.13618016747977746</v>
      </c>
      <c r="F1665" s="16">
        <v>0.28429447541214692</v>
      </c>
    </row>
    <row r="1666" spans="2:6" x14ac:dyDescent="0.35">
      <c r="B1666" s="7" t="s">
        <v>76</v>
      </c>
      <c r="C1666" s="16">
        <v>-1.3150145320313941E-2</v>
      </c>
      <c r="D1666" s="16">
        <v>8.7551390620866004E-2</v>
      </c>
      <c r="E1666" s="16">
        <v>-0.21120514968959589</v>
      </c>
      <c r="F1666" s="16">
        <v>0.184904859048968</v>
      </c>
    </row>
    <row r="1667" spans="2:6" x14ac:dyDescent="0.35">
      <c r="B1667" s="7" t="s">
        <v>77</v>
      </c>
      <c r="C1667" s="16">
        <v>6.992926384787726E-3</v>
      </c>
      <c r="D1667" s="16">
        <v>6.0503261610350134E-2</v>
      </c>
      <c r="E1667" s="16">
        <v>-0.12987495952332961</v>
      </c>
      <c r="F1667" s="16">
        <v>0.14386081229290509</v>
      </c>
    </row>
    <row r="1668" spans="2:6" x14ac:dyDescent="0.35">
      <c r="B1668" s="7" t="s">
        <v>78</v>
      </c>
      <c r="C1668" s="16">
        <v>2.5647242167250884E-3</v>
      </c>
      <c r="D1668" s="16">
        <v>1.2590417484703241E-2</v>
      </c>
      <c r="E1668" s="16">
        <v>-2.5916778729839066E-2</v>
      </c>
      <c r="F1668" s="16">
        <v>3.1046227163289239E-2</v>
      </c>
    </row>
    <row r="1669" spans="2:6" x14ac:dyDescent="0.35">
      <c r="B1669" s="7" t="s">
        <v>79</v>
      </c>
      <c r="C1669" s="16">
        <v>-4.183009800592237E-2</v>
      </c>
      <c r="D1669" s="16">
        <v>9.2407036640718934E-2</v>
      </c>
      <c r="E1669" s="16">
        <v>-0.25086933674153389</v>
      </c>
      <c r="F1669" s="16">
        <v>0.16720914072968912</v>
      </c>
    </row>
    <row r="1670" spans="2:6" x14ac:dyDescent="0.35">
      <c r="B1670" s="7" t="s">
        <v>80</v>
      </c>
      <c r="C1670" s="16">
        <v>-2.4773431239081795E-2</v>
      </c>
      <c r="D1670" s="16">
        <v>2.6046149235475557E-2</v>
      </c>
      <c r="E1670" s="16">
        <v>-8.3693913987023971E-2</v>
      </c>
      <c r="F1670" s="16">
        <v>3.4147051508860375E-2</v>
      </c>
    </row>
    <row r="1671" spans="2:6" x14ac:dyDescent="0.35">
      <c r="B1671" s="7" t="s">
        <v>81</v>
      </c>
      <c r="C1671" s="16">
        <v>-0.10118585554350362</v>
      </c>
      <c r="D1671" s="16">
        <v>3.9781693349615406E-2</v>
      </c>
      <c r="E1671" s="16">
        <v>-0.19117829763154204</v>
      </c>
      <c r="F1671" s="16">
        <v>-1.1193413455465206E-2</v>
      </c>
    </row>
    <row r="1672" spans="2:6" x14ac:dyDescent="0.35">
      <c r="B1672" s="7" t="s">
        <v>82</v>
      </c>
      <c r="C1672" s="16">
        <v>0.2696852682864323</v>
      </c>
      <c r="D1672" s="16">
        <v>8.9358734719073685E-2</v>
      </c>
      <c r="E1672" s="16">
        <v>6.7541767541148656E-2</v>
      </c>
      <c r="F1672" s="16">
        <v>0.47182876903171594</v>
      </c>
    </row>
    <row r="1673" spans="2:6" x14ac:dyDescent="0.35">
      <c r="B1673" s="7" t="s">
        <v>83</v>
      </c>
      <c r="C1673" s="16">
        <v>6.9730775646397861E-2</v>
      </c>
      <c r="D1673" s="16">
        <v>5.055077551120863E-2</v>
      </c>
      <c r="E1673" s="16">
        <v>-4.4623022662739556E-2</v>
      </c>
      <c r="F1673" s="16">
        <v>0.18408457395553529</v>
      </c>
    </row>
    <row r="1674" spans="2:6" x14ac:dyDescent="0.35">
      <c r="B1674" s="7" t="s">
        <v>84</v>
      </c>
      <c r="C1674" s="16">
        <v>0.13014844655900468</v>
      </c>
      <c r="D1674" s="16">
        <v>7.9449371562523366E-2</v>
      </c>
      <c r="E1674" s="16">
        <v>-4.9578517460251992E-2</v>
      </c>
      <c r="F1674" s="16">
        <v>0.30987541057826135</v>
      </c>
    </row>
    <row r="1675" spans="2:6" x14ac:dyDescent="0.35">
      <c r="B1675" s="7" t="s">
        <v>85</v>
      </c>
      <c r="C1675" s="16">
        <v>3.7191456897459459E-2</v>
      </c>
      <c r="D1675" s="16">
        <v>5.5425586511636628E-2</v>
      </c>
      <c r="E1675" s="16">
        <v>-8.8189929975863363E-2</v>
      </c>
      <c r="F1675" s="16">
        <v>0.16257284377078227</v>
      </c>
    </row>
    <row r="1676" spans="2:6" x14ac:dyDescent="0.35">
      <c r="B1676" s="7" t="s">
        <v>86</v>
      </c>
      <c r="C1676" s="16">
        <v>-5.8850074784723885E-2</v>
      </c>
      <c r="D1676" s="16">
        <v>6.0759040958119098E-2</v>
      </c>
      <c r="E1676" s="16">
        <v>-0.1962965737734641</v>
      </c>
      <c r="F1676" s="16">
        <v>7.8596424204016344E-2</v>
      </c>
    </row>
    <row r="1677" spans="2:6" x14ac:dyDescent="0.35">
      <c r="B1677" s="7" t="s">
        <v>87</v>
      </c>
      <c r="C1677" s="16">
        <v>-2.6590599830780187E-2</v>
      </c>
      <c r="D1677" s="16">
        <v>4.9983797769588972E-2</v>
      </c>
      <c r="E1677" s="16">
        <v>-0.13966180538727885</v>
      </c>
      <c r="F1677" s="16">
        <v>8.6480605725718487E-2</v>
      </c>
    </row>
    <row r="1678" spans="2:6" x14ac:dyDescent="0.35">
      <c r="B1678" s="7" t="s">
        <v>88</v>
      </c>
      <c r="C1678" s="16">
        <v>3.3644315968753571E-2</v>
      </c>
      <c r="D1678" s="16">
        <v>3.5166443074245303E-2</v>
      </c>
      <c r="E1678" s="16">
        <v>-4.5907704705396929E-2</v>
      </c>
      <c r="F1678" s="16">
        <v>0.11319633664290407</v>
      </c>
    </row>
    <row r="1679" spans="2:6" x14ac:dyDescent="0.35">
      <c r="B1679" s="7" t="s">
        <v>89</v>
      </c>
      <c r="C1679" s="16">
        <v>-0.18365668258189236</v>
      </c>
      <c r="D1679" s="16">
        <v>4.9364337379893257E-2</v>
      </c>
      <c r="E1679" s="16">
        <v>-0.29532657138810581</v>
      </c>
      <c r="F1679" s="16">
        <v>-7.1986793775678889E-2</v>
      </c>
    </row>
    <row r="1680" spans="2:6" x14ac:dyDescent="0.35">
      <c r="B1680" s="7" t="s">
        <v>90</v>
      </c>
      <c r="C1680" s="16">
        <v>-0.15023483215779213</v>
      </c>
      <c r="D1680" s="16">
        <v>5.5227383283058311E-2</v>
      </c>
      <c r="E1680" s="16">
        <v>-0.27516785218024359</v>
      </c>
      <c r="F1680" s="16">
        <v>-2.5301812135340648E-2</v>
      </c>
    </row>
    <row r="1681" spans="2:6" x14ac:dyDescent="0.35">
      <c r="B1681" s="7" t="s">
        <v>91</v>
      </c>
      <c r="C1681" s="16">
        <v>-1.0280437552255935E-2</v>
      </c>
      <c r="D1681" s="16">
        <v>7.1693861231275316E-2</v>
      </c>
      <c r="E1681" s="16">
        <v>-0.17246321841635359</v>
      </c>
      <c r="F1681" s="16">
        <v>0.15190234331184171</v>
      </c>
    </row>
    <row r="1682" spans="2:6" x14ac:dyDescent="0.35">
      <c r="B1682" s="7" t="s">
        <v>92</v>
      </c>
      <c r="C1682" s="16">
        <v>-6.2044156189734079E-2</v>
      </c>
      <c r="D1682" s="16">
        <v>8.3933050687787586E-2</v>
      </c>
      <c r="E1682" s="16">
        <v>-0.25191390700480693</v>
      </c>
      <c r="F1682" s="16">
        <v>0.12782559462533877</v>
      </c>
    </row>
    <row r="1683" spans="2:6" ht="15" thickBot="1" x14ac:dyDescent="0.4">
      <c r="B1683" s="11" t="s">
        <v>93</v>
      </c>
      <c r="C1683" s="17">
        <v>2.1755981985756472E-3</v>
      </c>
      <c r="D1683" s="17">
        <v>8.5960396539603023E-2</v>
      </c>
      <c r="E1683" s="17">
        <v>-0.1922803275326459</v>
      </c>
      <c r="F1683" s="17">
        <v>0.19663152392979721</v>
      </c>
    </row>
    <row r="1703" spans="2:13" x14ac:dyDescent="0.35">
      <c r="G1703" t="s">
        <v>103</v>
      </c>
    </row>
    <row r="1706" spans="2:13" x14ac:dyDescent="0.35">
      <c r="B1706" s="6" t="s">
        <v>406</v>
      </c>
    </row>
    <row r="1707" spans="2:13" ht="15" thickBot="1" x14ac:dyDescent="0.4"/>
    <row r="1708" spans="2:13" ht="29" customHeight="1" x14ac:dyDescent="0.35">
      <c r="B1708" s="8" t="s">
        <v>134</v>
      </c>
      <c r="C1708" s="9" t="s">
        <v>407</v>
      </c>
      <c r="D1708" s="9" t="s">
        <v>0</v>
      </c>
      <c r="E1708" s="9" t="s">
        <v>408</v>
      </c>
      <c r="F1708" s="9" t="s">
        <v>409</v>
      </c>
      <c r="G1708" s="9" t="s">
        <v>410</v>
      </c>
      <c r="H1708" s="9" t="s">
        <v>411</v>
      </c>
      <c r="I1708" s="9" t="s">
        <v>412</v>
      </c>
      <c r="J1708" s="9" t="s">
        <v>413</v>
      </c>
      <c r="K1708" s="9" t="s">
        <v>414</v>
      </c>
      <c r="L1708" s="9" t="s">
        <v>415</v>
      </c>
      <c r="M1708" s="9" t="s">
        <v>416</v>
      </c>
    </row>
    <row r="1709" spans="2:13" x14ac:dyDescent="0.35">
      <c r="B1709" s="22" t="s">
        <v>135</v>
      </c>
      <c r="C1709" s="18">
        <v>1</v>
      </c>
      <c r="D1709" s="23">
        <v>2.88536122003151</v>
      </c>
      <c r="E1709" s="23">
        <v>2.9876677378838647</v>
      </c>
      <c r="F1709" s="23">
        <v>-0.1023065178523546</v>
      </c>
      <c r="G1709" s="23">
        <v>-0.19212600510431019</v>
      </c>
      <c r="H1709" s="23">
        <v>6.3347536712998448E-2</v>
      </c>
      <c r="I1709" s="23">
        <v>2.8443656547130005</v>
      </c>
      <c r="J1709" s="23">
        <v>3.130969821054729</v>
      </c>
      <c r="K1709" s="23">
        <v>0.33175450418120317</v>
      </c>
      <c r="L1709" s="23">
        <v>2.2371869138879337</v>
      </c>
      <c r="M1709" s="23">
        <v>3.7381485618797958</v>
      </c>
    </row>
    <row r="1710" spans="2:13" x14ac:dyDescent="0.35">
      <c r="B1710" s="7" t="s">
        <v>136</v>
      </c>
      <c r="C1710" s="13">
        <v>1</v>
      </c>
      <c r="D1710" s="16">
        <v>2.1945143418824702</v>
      </c>
      <c r="E1710" s="16">
        <v>2.835363160729786</v>
      </c>
      <c r="F1710" s="16">
        <v>-0.64084881884731593</v>
      </c>
      <c r="G1710" s="16">
        <v>-1.2034787814656998</v>
      </c>
      <c r="H1710" s="16">
        <v>5.4252681601190351E-2</v>
      </c>
      <c r="I1710" s="16">
        <v>2.7126350690870225</v>
      </c>
      <c r="J1710" s="16">
        <v>2.9580912523725496</v>
      </c>
      <c r="K1710" s="16">
        <v>0.33013859831566411</v>
      </c>
      <c r="L1710" s="16">
        <v>2.0885377697428584</v>
      </c>
      <c r="M1710" s="16">
        <v>3.5821885517167136</v>
      </c>
    </row>
    <row r="1711" spans="2:13" x14ac:dyDescent="0.35">
      <c r="B1711" s="7" t="s">
        <v>137</v>
      </c>
      <c r="C1711" s="13">
        <v>1</v>
      </c>
      <c r="D1711" s="16">
        <v>2.3010299956639799</v>
      </c>
      <c r="E1711" s="16">
        <v>2.7050009618297954</v>
      </c>
      <c r="F1711" s="16">
        <v>-0.40397096616581557</v>
      </c>
      <c r="G1711" s="16">
        <v>-0.75863522224044022</v>
      </c>
      <c r="H1711" s="16">
        <v>6.8105443221536291E-2</v>
      </c>
      <c r="I1711" s="16">
        <v>2.5509357464270543</v>
      </c>
      <c r="J1711" s="16">
        <v>2.8590661772325365</v>
      </c>
      <c r="K1711" s="16">
        <v>0.3326957950340117</v>
      </c>
      <c r="L1711" s="16">
        <v>1.9523907900000523</v>
      </c>
      <c r="M1711" s="16">
        <v>3.4576111336595385</v>
      </c>
    </row>
    <row r="1712" spans="2:13" x14ac:dyDescent="0.35">
      <c r="B1712" s="7" t="s">
        <v>138</v>
      </c>
      <c r="C1712" s="13">
        <v>1</v>
      </c>
      <c r="D1712" s="16">
        <v>2.9827233876685502</v>
      </c>
      <c r="E1712" s="16">
        <v>2.6534457698022966</v>
      </c>
      <c r="F1712" s="16">
        <v>0.32927761786625354</v>
      </c>
      <c r="G1712" s="16">
        <v>0.61836522852049092</v>
      </c>
      <c r="H1712" s="16">
        <v>4.11651290068029E-2</v>
      </c>
      <c r="I1712" s="16">
        <v>2.5603237788494617</v>
      </c>
      <c r="J1712" s="16">
        <v>2.7465677607551315</v>
      </c>
      <c r="K1712" s="16">
        <v>0.32824184450349708</v>
      </c>
      <c r="L1712" s="16">
        <v>1.910911134015169</v>
      </c>
      <c r="M1712" s="16">
        <v>3.395980405589424</v>
      </c>
    </row>
    <row r="1713" spans="2:13" x14ac:dyDescent="0.35">
      <c r="B1713" s="7" t="s">
        <v>139</v>
      </c>
      <c r="C1713" s="13">
        <v>1</v>
      </c>
      <c r="D1713" s="16">
        <v>3.18752072083646</v>
      </c>
      <c r="E1713" s="16">
        <v>2.9555506634677404</v>
      </c>
      <c r="F1713" s="16">
        <v>0.23197005736871976</v>
      </c>
      <c r="G1713" s="16">
        <v>0.43562698996742416</v>
      </c>
      <c r="H1713" s="16">
        <v>6.6142961531500774E-2</v>
      </c>
      <c r="I1713" s="16">
        <v>2.8059248900537366</v>
      </c>
      <c r="J1713" s="16">
        <v>3.1051764368817443</v>
      </c>
      <c r="K1713" s="16">
        <v>0.33229961179193224</v>
      </c>
      <c r="L1713" s="16">
        <v>2.2038367203921569</v>
      </c>
      <c r="M1713" s="16">
        <v>3.7072646065433239</v>
      </c>
    </row>
    <row r="1714" spans="2:13" x14ac:dyDescent="0.35">
      <c r="B1714" s="7" t="s">
        <v>140</v>
      </c>
      <c r="C1714" s="13">
        <v>1</v>
      </c>
      <c r="D1714" s="16">
        <v>3.02448566769917</v>
      </c>
      <c r="E1714" s="16">
        <v>3.0849532640068502</v>
      </c>
      <c r="F1714" s="16">
        <v>-6.0467596307680144E-2</v>
      </c>
      <c r="G1714" s="16">
        <v>-0.11355481508637182</v>
      </c>
      <c r="H1714" s="16">
        <v>6.3755301747320997E-2</v>
      </c>
      <c r="I1714" s="16">
        <v>2.9407287522476828</v>
      </c>
      <c r="J1714" s="16">
        <v>3.2291777757660176</v>
      </c>
      <c r="K1714" s="16">
        <v>0.33183260710455081</v>
      </c>
      <c r="L1714" s="16">
        <v>2.3342957589243576</v>
      </c>
      <c r="M1714" s="16">
        <v>3.8356107690893428</v>
      </c>
    </row>
    <row r="1715" spans="2:13" x14ac:dyDescent="0.35">
      <c r="B1715" s="7" t="s">
        <v>141</v>
      </c>
      <c r="C1715" s="13">
        <v>1</v>
      </c>
      <c r="D1715" s="16">
        <v>2.8779469516291898</v>
      </c>
      <c r="E1715" s="16">
        <v>2.9483185298706465</v>
      </c>
      <c r="F1715" s="16">
        <v>-7.0371578241456484E-2</v>
      </c>
      <c r="G1715" s="16">
        <v>-0.1321539476099495</v>
      </c>
      <c r="H1715" s="16">
        <v>5.2037355180927426E-2</v>
      </c>
      <c r="I1715" s="16">
        <v>2.8306018547311864</v>
      </c>
      <c r="J1715" s="16">
        <v>3.0660352050101065</v>
      </c>
      <c r="K1715" s="16">
        <v>0.32978178690027327</v>
      </c>
      <c r="L1715" s="16">
        <v>2.2023003023785885</v>
      </c>
      <c r="M1715" s="16">
        <v>3.6943367573627044</v>
      </c>
    </row>
    <row r="1716" spans="2:13" x14ac:dyDescent="0.35">
      <c r="B1716" s="7" t="s">
        <v>142</v>
      </c>
      <c r="C1716" s="13">
        <v>1</v>
      </c>
      <c r="D1716" s="16">
        <v>3.2281436075977399</v>
      </c>
      <c r="E1716" s="16">
        <v>2.6923145865931772</v>
      </c>
      <c r="F1716" s="16">
        <v>0.53582902100456242</v>
      </c>
      <c r="G1716" s="16">
        <v>1.0062573859969448</v>
      </c>
      <c r="H1716" s="16">
        <v>4.16253009580504E-2</v>
      </c>
      <c r="I1716" s="16">
        <v>2.5981516143701575</v>
      </c>
      <c r="J1716" s="16">
        <v>2.786477558816197</v>
      </c>
      <c r="K1716" s="16">
        <v>0.32829987255062937</v>
      </c>
      <c r="L1716" s="16">
        <v>1.9496486822442731</v>
      </c>
      <c r="M1716" s="16">
        <v>3.4349804909420811</v>
      </c>
    </row>
    <row r="1717" spans="2:13" x14ac:dyDescent="0.35">
      <c r="B1717" s="7" t="s">
        <v>143</v>
      </c>
      <c r="C1717" s="13">
        <v>1</v>
      </c>
      <c r="D1717" s="16">
        <v>2.9680157139936401</v>
      </c>
      <c r="E1717" s="16">
        <v>2.7445125804973483</v>
      </c>
      <c r="F1717" s="16">
        <v>0.22350313349629181</v>
      </c>
      <c r="G1717" s="16">
        <v>0.41972657332457136</v>
      </c>
      <c r="H1717" s="16">
        <v>4.2017221734960329E-2</v>
      </c>
      <c r="I1717" s="16">
        <v>2.6494630218862327</v>
      </c>
      <c r="J1717" s="16">
        <v>2.8395621391084638</v>
      </c>
      <c r="K1717" s="16">
        <v>0.32834979451681717</v>
      </c>
      <c r="L1717" s="16">
        <v>2.0017337448156427</v>
      </c>
      <c r="M1717" s="16">
        <v>3.4872914161790538</v>
      </c>
    </row>
    <row r="1718" spans="2:13" x14ac:dyDescent="0.35">
      <c r="B1718" s="7" t="s">
        <v>144</v>
      </c>
      <c r="C1718" s="13">
        <v>1</v>
      </c>
      <c r="D1718" s="16">
        <v>2.0128372247051698</v>
      </c>
      <c r="E1718" s="16">
        <v>2.8609529800171871</v>
      </c>
      <c r="F1718" s="16">
        <v>-0.84811575531201744</v>
      </c>
      <c r="G1718" s="16">
        <v>-1.5927146711148896</v>
      </c>
      <c r="H1718" s="16">
        <v>4.3706263183578044E-2</v>
      </c>
      <c r="I1718" s="16">
        <v>2.7620825442148171</v>
      </c>
      <c r="J1718" s="16">
        <v>2.9598234158195571</v>
      </c>
      <c r="K1718" s="16">
        <v>0.32857020266357601</v>
      </c>
      <c r="L1718" s="16">
        <v>2.1176755464701618</v>
      </c>
      <c r="M1718" s="16">
        <v>3.6042304135642125</v>
      </c>
    </row>
    <row r="1719" spans="2:13" x14ac:dyDescent="0.35">
      <c r="B1719" s="7" t="s">
        <v>145</v>
      </c>
      <c r="C1719" s="13">
        <v>1</v>
      </c>
      <c r="D1719" s="16">
        <v>2.8830933585756902</v>
      </c>
      <c r="E1719" s="16">
        <v>2.9201491812075644</v>
      </c>
      <c r="F1719" s="16">
        <v>-3.7055822631874416E-2</v>
      </c>
      <c r="G1719" s="16">
        <v>-6.9588793730526358E-2</v>
      </c>
      <c r="H1719" s="16">
        <v>5.2961897123979473E-2</v>
      </c>
      <c r="I1719" s="16">
        <v>2.800341046900269</v>
      </c>
      <c r="J1719" s="16">
        <v>3.0399573155148598</v>
      </c>
      <c r="K1719" s="16">
        <v>0.32992893656647071</v>
      </c>
      <c r="L1719" s="16">
        <v>2.173798078045857</v>
      </c>
      <c r="M1719" s="16">
        <v>3.6665002843692718</v>
      </c>
    </row>
    <row r="1720" spans="2:13" x14ac:dyDescent="0.35">
      <c r="B1720" s="7" t="s">
        <v>146</v>
      </c>
      <c r="C1720" s="13">
        <v>1</v>
      </c>
      <c r="D1720" s="16">
        <v>3.6127838567197399</v>
      </c>
      <c r="E1720" s="16">
        <v>3.0810573960814822</v>
      </c>
      <c r="F1720" s="16">
        <v>0.53172646063825757</v>
      </c>
      <c r="G1720" s="16">
        <v>0.9985530036132636</v>
      </c>
      <c r="H1720" s="16">
        <v>6.5077589911296196E-2</v>
      </c>
      <c r="I1720" s="16">
        <v>2.9338416606965514</v>
      </c>
      <c r="J1720" s="16">
        <v>3.228273131466413</v>
      </c>
      <c r="K1720" s="16">
        <v>0.33208919486423238</v>
      </c>
      <c r="L1720" s="16">
        <v>2.3298194491635775</v>
      </c>
      <c r="M1720" s="16">
        <v>3.8322953429993869</v>
      </c>
    </row>
    <row r="1721" spans="2:13" x14ac:dyDescent="0.35">
      <c r="B1721" s="7" t="s">
        <v>147</v>
      </c>
      <c r="C1721" s="13">
        <v>1</v>
      </c>
      <c r="D1721" s="16">
        <v>3.1139433523068401</v>
      </c>
      <c r="E1721" s="16">
        <v>3.1869367268683768</v>
      </c>
      <c r="F1721" s="16">
        <v>-7.2993374561536928E-2</v>
      </c>
      <c r="G1721" s="16">
        <v>-0.1370775366807962</v>
      </c>
      <c r="H1721" s="16">
        <v>6.3426683127432437E-2</v>
      </c>
      <c r="I1721" s="16">
        <v>3.0434556020701282</v>
      </c>
      <c r="J1721" s="16">
        <v>3.3304178516666254</v>
      </c>
      <c r="K1721" s="16">
        <v>0.33176962605015387</v>
      </c>
      <c r="L1721" s="16">
        <v>2.4364216948284629</v>
      </c>
      <c r="M1721" s="16">
        <v>3.9374517589082907</v>
      </c>
    </row>
    <row r="1722" spans="2:13" x14ac:dyDescent="0.35">
      <c r="B1722" s="7" t="s">
        <v>148</v>
      </c>
      <c r="C1722" s="13">
        <v>1</v>
      </c>
      <c r="D1722" s="16">
        <v>2.8573324964312699</v>
      </c>
      <c r="E1722" s="16">
        <v>2.8188614040391955</v>
      </c>
      <c r="F1722" s="16">
        <v>3.8471092392074357E-2</v>
      </c>
      <c r="G1722" s="16">
        <v>7.2246592381874863E-2</v>
      </c>
      <c r="H1722" s="16">
        <v>5.0433916719433175E-2</v>
      </c>
      <c r="I1722" s="16">
        <v>2.7047719586815253</v>
      </c>
      <c r="J1722" s="16">
        <v>2.9329508493968657</v>
      </c>
      <c r="K1722" s="16">
        <v>0.32953257895475824</v>
      </c>
      <c r="L1722" s="16">
        <v>2.0734069240831601</v>
      </c>
      <c r="M1722" s="16">
        <v>3.5643158839952309</v>
      </c>
    </row>
    <row r="1723" spans="2:13" x14ac:dyDescent="0.35">
      <c r="B1723" s="7" t="s">
        <v>149</v>
      </c>
      <c r="C1723" s="13">
        <v>1</v>
      </c>
      <c r="D1723" s="16">
        <v>1.6989700043360201</v>
      </c>
      <c r="E1723" s="16">
        <v>2.6555680150508247</v>
      </c>
      <c r="F1723" s="16">
        <v>-0.95659801071480455</v>
      </c>
      <c r="G1723" s="16">
        <v>-1.7964383711563849</v>
      </c>
      <c r="H1723" s="16">
        <v>5.3331764211931899E-2</v>
      </c>
      <c r="I1723" s="16">
        <v>2.5349231832656138</v>
      </c>
      <c r="J1723" s="16">
        <v>2.7762128468360356</v>
      </c>
      <c r="K1723" s="16">
        <v>0.329988511483155</v>
      </c>
      <c r="L1723" s="16">
        <v>1.9090821440653223</v>
      </c>
      <c r="M1723" s="16">
        <v>3.4020538860363274</v>
      </c>
    </row>
    <row r="1724" spans="2:13" x14ac:dyDescent="0.35">
      <c r="B1724" s="7" t="s">
        <v>150</v>
      </c>
      <c r="C1724" s="13">
        <v>1</v>
      </c>
      <c r="D1724" s="16">
        <v>2.9790929006383302</v>
      </c>
      <c r="E1724" s="16">
        <v>2.6866581153335174</v>
      </c>
      <c r="F1724" s="16">
        <v>0.29243478530481298</v>
      </c>
      <c r="G1724" s="16">
        <v>0.54917641840995624</v>
      </c>
      <c r="H1724" s="16">
        <v>4.7252670430750966E-2</v>
      </c>
      <c r="I1724" s="16">
        <v>2.579765149016747</v>
      </c>
      <c r="J1724" s="16">
        <v>2.7935510816502878</v>
      </c>
      <c r="K1724" s="16">
        <v>0.32906071704132117</v>
      </c>
      <c r="L1724" s="16">
        <v>1.9422710611792282</v>
      </c>
      <c r="M1724" s="16">
        <v>3.4310451694878066</v>
      </c>
    </row>
    <row r="1725" spans="2:13" x14ac:dyDescent="0.35">
      <c r="B1725" s="7" t="s">
        <v>151</v>
      </c>
      <c r="C1725" s="13">
        <v>1</v>
      </c>
      <c r="D1725" s="16">
        <v>2.8597385661971502</v>
      </c>
      <c r="E1725" s="16">
        <v>2.7930396083196234</v>
      </c>
      <c r="F1725" s="16">
        <v>6.6698957877526888E-2</v>
      </c>
      <c r="G1725" s="16">
        <v>0.12525696886803944</v>
      </c>
      <c r="H1725" s="16">
        <v>4.5397750747260227E-2</v>
      </c>
      <c r="I1725" s="16">
        <v>2.6903427618293141</v>
      </c>
      <c r="J1725" s="16">
        <v>2.8957364548099327</v>
      </c>
      <c r="K1725" s="16">
        <v>0.32879947750843769</v>
      </c>
      <c r="L1725" s="16">
        <v>2.0492435190427596</v>
      </c>
      <c r="M1725" s="16">
        <v>3.5368356975964872</v>
      </c>
    </row>
    <row r="1726" spans="2:13" x14ac:dyDescent="0.35">
      <c r="B1726" s="7" t="s">
        <v>152</v>
      </c>
      <c r="C1726" s="13">
        <v>1</v>
      </c>
      <c r="D1726" s="16">
        <v>2.8202014594856402</v>
      </c>
      <c r="E1726" s="16">
        <v>2.8913034650391345</v>
      </c>
      <c r="F1726" s="16">
        <v>-7.1102005553494232E-2</v>
      </c>
      <c r="G1726" s="16">
        <v>-0.13352564986731122</v>
      </c>
      <c r="H1726" s="16">
        <v>4.277071835032057E-2</v>
      </c>
      <c r="I1726" s="16">
        <v>2.7945493786713596</v>
      </c>
      <c r="J1726" s="16">
        <v>2.9880575514069094</v>
      </c>
      <c r="K1726" s="16">
        <v>0.32844706572766597</v>
      </c>
      <c r="L1726" s="16">
        <v>2.148304586592225</v>
      </c>
      <c r="M1726" s="16">
        <v>3.634302343486044</v>
      </c>
    </row>
    <row r="1727" spans="2:13" x14ac:dyDescent="0.35">
      <c r="B1727" s="7" t="s">
        <v>153</v>
      </c>
      <c r="C1727" s="13">
        <v>1</v>
      </c>
      <c r="D1727" s="16">
        <v>3.5453071164658199</v>
      </c>
      <c r="E1727" s="16">
        <v>3.2119756876163943</v>
      </c>
      <c r="F1727" s="16">
        <v>0.33333142884942552</v>
      </c>
      <c r="G1727" s="16">
        <v>0.62597806224794506</v>
      </c>
      <c r="H1727" s="16">
        <v>6.0111098009572317E-2</v>
      </c>
      <c r="I1727" s="16">
        <v>3.0759949374021218</v>
      </c>
      <c r="J1727" s="16">
        <v>3.3479564378306668</v>
      </c>
      <c r="K1727" s="16">
        <v>0.3311517548508956</v>
      </c>
      <c r="L1727" s="16">
        <v>2.4628583773282533</v>
      </c>
      <c r="M1727" s="16">
        <v>3.9610929979045353</v>
      </c>
    </row>
    <row r="1728" spans="2:13" x14ac:dyDescent="0.35">
      <c r="B1728" s="7" t="s">
        <v>154</v>
      </c>
      <c r="C1728" s="13">
        <v>1</v>
      </c>
      <c r="D1728" s="16">
        <v>3.1139433523068401</v>
      </c>
      <c r="E1728" s="16">
        <v>3.0490945156875977</v>
      </c>
      <c r="F1728" s="16">
        <v>6.4848836619242331E-2</v>
      </c>
      <c r="G1728" s="16">
        <v>0.12178254305652121</v>
      </c>
      <c r="H1728" s="16">
        <v>5.8145321804000789E-2</v>
      </c>
      <c r="I1728" s="16">
        <v>2.9175606601739412</v>
      </c>
      <c r="J1728" s="16">
        <v>3.1806283712012542</v>
      </c>
      <c r="K1728" s="16">
        <v>0.33080057298106674</v>
      </c>
      <c r="L1728" s="16">
        <v>2.3007716339775768</v>
      </c>
      <c r="M1728" s="16">
        <v>3.7974173973976186</v>
      </c>
    </row>
    <row r="1729" spans="2:13" x14ac:dyDescent="0.35">
      <c r="B1729" s="7" t="s">
        <v>155</v>
      </c>
      <c r="C1729" s="13">
        <v>1</v>
      </c>
      <c r="D1729" s="16">
        <v>2.89762709129044</v>
      </c>
      <c r="E1729" s="16">
        <v>2.7845890906246984</v>
      </c>
      <c r="F1729" s="16">
        <v>0.11303800066574179</v>
      </c>
      <c r="G1729" s="16">
        <v>0.21227913869797979</v>
      </c>
      <c r="H1729" s="16">
        <v>5.0266323691693926E-2</v>
      </c>
      <c r="I1729" s="16">
        <v>2.6708787670331793</v>
      </c>
      <c r="J1729" s="16">
        <v>2.8982994142162175</v>
      </c>
      <c r="K1729" s="16">
        <v>0.32950697099513604</v>
      </c>
      <c r="L1729" s="16">
        <v>2.0391925398976438</v>
      </c>
      <c r="M1729" s="16">
        <v>3.529985641351753</v>
      </c>
    </row>
    <row r="1730" spans="2:13" x14ac:dyDescent="0.35">
      <c r="B1730" s="7" t="s">
        <v>156</v>
      </c>
      <c r="C1730" s="13">
        <v>1</v>
      </c>
      <c r="D1730" s="16">
        <v>3.2662316966898901</v>
      </c>
      <c r="E1730" s="16">
        <v>2.9233769001740537</v>
      </c>
      <c r="F1730" s="16">
        <v>0.34285479651583645</v>
      </c>
      <c r="G1730" s="16">
        <v>0.643862422143056</v>
      </c>
      <c r="H1730" s="16">
        <v>4.733042925902925E-2</v>
      </c>
      <c r="I1730" s="16">
        <v>2.8163080311678437</v>
      </c>
      <c r="J1730" s="16">
        <v>3.0304457691802638</v>
      </c>
      <c r="K1730" s="16">
        <v>0.32907189210073107</v>
      </c>
      <c r="L1730" s="16">
        <v>2.1789645662792081</v>
      </c>
      <c r="M1730" s="16">
        <v>3.6677892340688993</v>
      </c>
    </row>
    <row r="1731" spans="2:13" x14ac:dyDescent="0.35">
      <c r="B1731" s="7" t="s">
        <v>157</v>
      </c>
      <c r="C1731" s="13">
        <v>1</v>
      </c>
      <c r="D1731" s="16">
        <v>3</v>
      </c>
      <c r="E1731" s="16">
        <v>2.9632117572915444</v>
      </c>
      <c r="F1731" s="16">
        <v>3.6788242708455654E-2</v>
      </c>
      <c r="G1731" s="16">
        <v>6.9086293373640445E-2</v>
      </c>
      <c r="H1731" s="16">
        <v>6.2960442413646497E-2</v>
      </c>
      <c r="I1731" s="16">
        <v>2.8207853422580542</v>
      </c>
      <c r="J1731" s="16">
        <v>3.1056381723250346</v>
      </c>
      <c r="K1731" s="16">
        <v>0.33168080732208993</v>
      </c>
      <c r="L1731" s="16">
        <v>2.2128976471724595</v>
      </c>
      <c r="M1731" s="16">
        <v>3.7135258674106293</v>
      </c>
    </row>
    <row r="1732" spans="2:13" x14ac:dyDescent="0.35">
      <c r="B1732" s="7" t="s">
        <v>158</v>
      </c>
      <c r="C1732" s="13">
        <v>1</v>
      </c>
      <c r="D1732" s="16">
        <v>3.4471580313422199</v>
      </c>
      <c r="E1732" s="16">
        <v>3.2281902621279124</v>
      </c>
      <c r="F1732" s="16">
        <v>0.21896776921430763</v>
      </c>
      <c r="G1732" s="16">
        <v>0.41120940902768938</v>
      </c>
      <c r="H1732" s="16">
        <v>5.8192339610279725E-2</v>
      </c>
      <c r="I1732" s="16">
        <v>3.0965500449475596</v>
      </c>
      <c r="J1732" s="16">
        <v>3.3598304793082652</v>
      </c>
      <c r="K1732" s="16">
        <v>0.33080884061075122</v>
      </c>
      <c r="L1732" s="16">
        <v>2.4798486777402795</v>
      </c>
      <c r="M1732" s="16">
        <v>3.9765318465155453</v>
      </c>
    </row>
    <row r="1733" spans="2:13" x14ac:dyDescent="0.35">
      <c r="B1733" s="7" t="s">
        <v>159</v>
      </c>
      <c r="C1733" s="13">
        <v>1</v>
      </c>
      <c r="D1733" s="16">
        <v>2.6901960800285099</v>
      </c>
      <c r="E1733" s="16">
        <v>3.1851021879870403</v>
      </c>
      <c r="F1733" s="16">
        <v>-0.49490610795853029</v>
      </c>
      <c r="G1733" s="16">
        <v>-0.92940640948231135</v>
      </c>
      <c r="H1733" s="16">
        <v>5.4715792912963676E-2</v>
      </c>
      <c r="I1733" s="16">
        <v>3.0613264657786594</v>
      </c>
      <c r="J1733" s="16">
        <v>3.3088779101954211</v>
      </c>
      <c r="K1733" s="16">
        <v>0.33021501878473908</v>
      </c>
      <c r="L1733" s="16">
        <v>2.4381039218895153</v>
      </c>
      <c r="M1733" s="16">
        <v>3.9321004540845652</v>
      </c>
    </row>
    <row r="1734" spans="2:13" x14ac:dyDescent="0.35">
      <c r="B1734" s="7" t="s">
        <v>160</v>
      </c>
      <c r="C1734" s="13">
        <v>1</v>
      </c>
      <c r="D1734" s="16">
        <v>1.4471580313422201</v>
      </c>
      <c r="E1734" s="16">
        <v>1.5921477212220494</v>
      </c>
      <c r="F1734" s="16">
        <v>-0.1449896898798293</v>
      </c>
      <c r="G1734" s="16">
        <v>-0.27228265102449989</v>
      </c>
      <c r="H1734" s="16">
        <v>6.26255873856289E-2</v>
      </c>
      <c r="I1734" s="16">
        <v>1.4504788008847234</v>
      </c>
      <c r="J1734" s="16">
        <v>1.7338166415593754</v>
      </c>
      <c r="K1734" s="16">
        <v>0.33161740731195988</v>
      </c>
      <c r="L1734" s="16">
        <v>0.84197703188925077</v>
      </c>
      <c r="M1734" s="16">
        <v>2.342318410554848</v>
      </c>
    </row>
    <row r="1735" spans="2:13" x14ac:dyDescent="0.35">
      <c r="B1735" s="7" t="s">
        <v>161</v>
      </c>
      <c r="C1735" s="13">
        <v>1</v>
      </c>
      <c r="D1735" s="16">
        <v>2.8350561017201201</v>
      </c>
      <c r="E1735" s="16">
        <v>2.7068398758729693</v>
      </c>
      <c r="F1735" s="16">
        <v>0.12821622584715073</v>
      </c>
      <c r="G1735" s="16">
        <v>0.24078300951573364</v>
      </c>
      <c r="H1735" s="16">
        <v>3.970376299370152E-2</v>
      </c>
      <c r="I1735" s="16">
        <v>2.6170237244968382</v>
      </c>
      <c r="J1735" s="16">
        <v>2.7966560272491003</v>
      </c>
      <c r="K1735" s="16">
        <v>0.32806177685425542</v>
      </c>
      <c r="L1735" s="16">
        <v>1.9647125814062298</v>
      </c>
      <c r="M1735" s="16">
        <v>3.4489671703397087</v>
      </c>
    </row>
    <row r="1736" spans="2:13" x14ac:dyDescent="0.35">
      <c r="B1736" s="7" t="s">
        <v>162</v>
      </c>
      <c r="C1736" s="13">
        <v>1</v>
      </c>
      <c r="D1736" s="16">
        <v>2.93951925261862</v>
      </c>
      <c r="E1736" s="16">
        <v>2.670579234152465</v>
      </c>
      <c r="F1736" s="16">
        <v>0.26894001846615512</v>
      </c>
      <c r="G1736" s="16">
        <v>0.50505454046584575</v>
      </c>
      <c r="H1736" s="16">
        <v>4.1796456918984384E-2</v>
      </c>
      <c r="I1736" s="16">
        <v>2.5760290802484893</v>
      </c>
      <c r="J1736" s="16">
        <v>2.7651293880564407</v>
      </c>
      <c r="K1736" s="16">
        <v>0.32832161739351212</v>
      </c>
      <c r="L1736" s="16">
        <v>1.9278641395517373</v>
      </c>
      <c r="M1736" s="16">
        <v>3.4132943287531927</v>
      </c>
    </row>
    <row r="1737" spans="2:13" x14ac:dyDescent="0.35">
      <c r="B1737" s="7" t="s">
        <v>163</v>
      </c>
      <c r="C1737" s="13">
        <v>1</v>
      </c>
      <c r="D1737" s="16">
        <v>2.1522883443830598</v>
      </c>
      <c r="E1737" s="16">
        <v>2.4208727566094832</v>
      </c>
      <c r="F1737" s="16">
        <v>-0.26858441222642326</v>
      </c>
      <c r="G1737" s="16">
        <v>-0.50438673153573976</v>
      </c>
      <c r="H1737" s="16">
        <v>5.8093156401534757E-2</v>
      </c>
      <c r="I1737" s="16">
        <v>2.2894569074340478</v>
      </c>
      <c r="J1737" s="16">
        <v>2.5522886057849186</v>
      </c>
      <c r="K1737" s="16">
        <v>0.33079140777475524</v>
      </c>
      <c r="L1737" s="16">
        <v>1.6725706080364597</v>
      </c>
      <c r="M1737" s="16">
        <v>3.1691749051825067</v>
      </c>
    </row>
    <row r="1738" spans="2:13" x14ac:dyDescent="0.35">
      <c r="B1738" s="7" t="s">
        <v>164</v>
      </c>
      <c r="C1738" s="13">
        <v>1</v>
      </c>
      <c r="D1738" s="16">
        <v>3.13321945673249</v>
      </c>
      <c r="E1738" s="16">
        <v>2.6968012852817536</v>
      </c>
      <c r="F1738" s="16">
        <v>0.43641817145073653</v>
      </c>
      <c r="G1738" s="16">
        <v>0.81956928645312277</v>
      </c>
      <c r="H1738" s="16">
        <v>4.300792621221413E-2</v>
      </c>
      <c r="I1738" s="16">
        <v>2.5995105974529329</v>
      </c>
      <c r="J1738" s="16">
        <v>2.7940919731105742</v>
      </c>
      <c r="K1738" s="16">
        <v>0.32847803937856568</v>
      </c>
      <c r="L1738" s="16">
        <v>1.9537323395689699</v>
      </c>
      <c r="M1738" s="16">
        <v>3.4398702309945373</v>
      </c>
    </row>
    <row r="1739" spans="2:13" x14ac:dyDescent="0.35">
      <c r="B1739" s="7" t="s">
        <v>165</v>
      </c>
      <c r="C1739" s="13">
        <v>1</v>
      </c>
      <c r="D1739" s="16">
        <v>1.3979400086720399</v>
      </c>
      <c r="E1739" s="16">
        <v>1.5926281676508638</v>
      </c>
      <c r="F1739" s="16">
        <v>-0.19468815897882386</v>
      </c>
      <c r="G1739" s="16">
        <v>-0.36561363841642458</v>
      </c>
      <c r="H1739" s="16">
        <v>6.1937985197106582E-2</v>
      </c>
      <c r="I1739" s="16">
        <v>1.4525147115213177</v>
      </c>
      <c r="J1739" s="16">
        <v>1.7327416237804099</v>
      </c>
      <c r="K1739" s="16">
        <v>0.33148824209493194</v>
      </c>
      <c r="L1739" s="16">
        <v>0.84274967033741999</v>
      </c>
      <c r="M1739" s="16">
        <v>2.3425066649643078</v>
      </c>
    </row>
    <row r="1740" spans="2:13" x14ac:dyDescent="0.35">
      <c r="B1740" s="7" t="s">
        <v>166</v>
      </c>
      <c r="C1740" s="13">
        <v>1</v>
      </c>
      <c r="D1740" s="16">
        <v>1.88081359228079</v>
      </c>
      <c r="E1740" s="16">
        <v>2.1401330185487319</v>
      </c>
      <c r="F1740" s="16">
        <v>-0.2593194262679418</v>
      </c>
      <c r="G1740" s="16">
        <v>-0.48698759825549787</v>
      </c>
      <c r="H1740" s="16">
        <v>3.2428542311730445E-2</v>
      </c>
      <c r="I1740" s="16">
        <v>2.0667745596631169</v>
      </c>
      <c r="J1740" s="16">
        <v>2.213491477434347</v>
      </c>
      <c r="K1740" s="16">
        <v>0.32726098299885203</v>
      </c>
      <c r="L1740" s="16">
        <v>1.3998172456284363</v>
      </c>
      <c r="M1740" s="16">
        <v>2.8804487914690275</v>
      </c>
    </row>
    <row r="1741" spans="2:13" x14ac:dyDescent="0.35">
      <c r="B1741" s="7" t="s">
        <v>167</v>
      </c>
      <c r="C1741" s="13">
        <v>1</v>
      </c>
      <c r="D1741" s="16">
        <v>3.1755118133634501</v>
      </c>
      <c r="E1741" s="16">
        <v>2.7715556159337731</v>
      </c>
      <c r="F1741" s="16">
        <v>0.40395619742967698</v>
      </c>
      <c r="G1741" s="16">
        <v>0.75860748736748873</v>
      </c>
      <c r="H1741" s="16">
        <v>3.5460652729087688E-2</v>
      </c>
      <c r="I1741" s="16">
        <v>2.6913380467850403</v>
      </c>
      <c r="J1741" s="16">
        <v>2.8517731850825059</v>
      </c>
      <c r="K1741" s="16">
        <v>0.32757533260134869</v>
      </c>
      <c r="L1741" s="16">
        <v>2.0305287348122887</v>
      </c>
      <c r="M1741" s="16">
        <v>3.5125824970552575</v>
      </c>
    </row>
    <row r="1742" spans="2:13" x14ac:dyDescent="0.35">
      <c r="B1742" s="7" t="s">
        <v>168</v>
      </c>
      <c r="C1742" s="13">
        <v>1</v>
      </c>
      <c r="D1742" s="16">
        <v>2.6190933306267401</v>
      </c>
      <c r="E1742" s="16">
        <v>1.7009398161398681</v>
      </c>
      <c r="F1742" s="16">
        <v>0.91815351448687188</v>
      </c>
      <c r="G1742" s="16">
        <v>1.7242417249057529</v>
      </c>
      <c r="H1742" s="16">
        <v>5.921614104007699E-2</v>
      </c>
      <c r="I1742" s="16">
        <v>1.5669835992339389</v>
      </c>
      <c r="J1742" s="16">
        <v>1.8348960330457973</v>
      </c>
      <c r="K1742" s="16">
        <v>0.33099047115678354</v>
      </c>
      <c r="L1742" s="16">
        <v>0.95218735491369555</v>
      </c>
      <c r="M1742" s="16">
        <v>2.4496922773660406</v>
      </c>
    </row>
    <row r="1743" spans="2:13" x14ac:dyDescent="0.35">
      <c r="B1743" s="7" t="s">
        <v>169</v>
      </c>
      <c r="C1743" s="13">
        <v>1</v>
      </c>
      <c r="D1743" s="16">
        <v>2.2624510897304302</v>
      </c>
      <c r="E1743" s="16">
        <v>2.7512745623945003</v>
      </c>
      <c r="F1743" s="16">
        <v>-0.48882347266407006</v>
      </c>
      <c r="G1743" s="16">
        <v>-0.9179835554534248</v>
      </c>
      <c r="H1743" s="16">
        <v>3.0403484154129301E-2</v>
      </c>
      <c r="I1743" s="16">
        <v>2.6824971033012077</v>
      </c>
      <c r="J1743" s="16">
        <v>2.8200520214877929</v>
      </c>
      <c r="K1743" s="16">
        <v>0.32706652608547643</v>
      </c>
      <c r="L1743" s="16">
        <v>2.0113986815713503</v>
      </c>
      <c r="M1743" s="16">
        <v>3.4911504432176503</v>
      </c>
    </row>
    <row r="1744" spans="2:13" x14ac:dyDescent="0.35">
      <c r="B1744" s="7" t="s">
        <v>170</v>
      </c>
      <c r="C1744" s="13">
        <v>1</v>
      </c>
      <c r="D1744" s="16">
        <v>2.3424226808222102</v>
      </c>
      <c r="E1744" s="16">
        <v>1.6464423295634705</v>
      </c>
      <c r="F1744" s="16">
        <v>0.69598035125873969</v>
      </c>
      <c r="G1744" s="16">
        <v>1.3070127624850907</v>
      </c>
      <c r="H1744" s="16">
        <v>5.8744825182062789E-2</v>
      </c>
      <c r="I1744" s="16">
        <v>1.5135523031961078</v>
      </c>
      <c r="J1744" s="16">
        <v>1.7793323559308332</v>
      </c>
      <c r="K1744" s="16">
        <v>0.33090647488766722</v>
      </c>
      <c r="L1744" s="16">
        <v>0.89787988109813321</v>
      </c>
      <c r="M1744" s="16">
        <v>2.3950047780288077</v>
      </c>
    </row>
    <row r="1745" spans="2:13" x14ac:dyDescent="0.35">
      <c r="B1745" s="7" t="s">
        <v>171</v>
      </c>
      <c r="C1745" s="13">
        <v>1</v>
      </c>
      <c r="D1745" s="16">
        <v>3.23754373814287</v>
      </c>
      <c r="E1745" s="16">
        <v>2.7774114281464994</v>
      </c>
      <c r="F1745" s="16">
        <v>0.46013230999637056</v>
      </c>
      <c r="G1745" s="16">
        <v>0.86410313237912739</v>
      </c>
      <c r="H1745" s="16">
        <v>6.3418822818130938E-2</v>
      </c>
      <c r="I1745" s="16">
        <v>2.633948084603146</v>
      </c>
      <c r="J1745" s="16">
        <v>2.9208747716898529</v>
      </c>
      <c r="K1745" s="16">
        <v>0.33176812343042955</v>
      </c>
      <c r="L1745" s="16">
        <v>2.0268997952685401</v>
      </c>
      <c r="M1745" s="16">
        <v>3.5279230610244587</v>
      </c>
    </row>
    <row r="1746" spans="2:13" x14ac:dyDescent="0.35">
      <c r="B1746" s="7" t="s">
        <v>172</v>
      </c>
      <c r="C1746" s="13">
        <v>1</v>
      </c>
      <c r="D1746" s="16">
        <v>2.6263403673750401</v>
      </c>
      <c r="E1746" s="16">
        <v>2.6158408338912773</v>
      </c>
      <c r="F1746" s="16">
        <v>1.0499533483762631E-2</v>
      </c>
      <c r="G1746" s="16">
        <v>1.9717545529263931E-2</v>
      </c>
      <c r="H1746" s="16">
        <v>5.4391863088143456E-2</v>
      </c>
      <c r="I1746" s="16">
        <v>2.492797891852522</v>
      </c>
      <c r="J1746" s="16">
        <v>2.7388837759300326</v>
      </c>
      <c r="K1746" s="16">
        <v>0.33016149897756192</v>
      </c>
      <c r="L1746" s="16">
        <v>1.8689636380082759</v>
      </c>
      <c r="M1746" s="16">
        <v>3.3627180297742787</v>
      </c>
    </row>
    <row r="1747" spans="2:13" x14ac:dyDescent="0.35">
      <c r="B1747" s="7" t="s">
        <v>173</v>
      </c>
      <c r="C1747" s="13">
        <v>1</v>
      </c>
      <c r="D1747" s="16">
        <v>0.69897000433601897</v>
      </c>
      <c r="E1747" s="16">
        <v>1.5695035582721606</v>
      </c>
      <c r="F1747" s="16">
        <v>-0.87053355393614162</v>
      </c>
      <c r="G1747" s="16">
        <v>-1.6348140620755094</v>
      </c>
      <c r="H1747" s="16">
        <v>5.1842862892127188E-2</v>
      </c>
      <c r="I1747" s="16">
        <v>1.452226855254616</v>
      </c>
      <c r="J1747" s="16">
        <v>1.6867802612897052</v>
      </c>
      <c r="K1747" s="16">
        <v>0.32975115325008814</v>
      </c>
      <c r="L1747" s="16">
        <v>0.82355462891092901</v>
      </c>
      <c r="M1747" s="16">
        <v>2.315452487633392</v>
      </c>
    </row>
    <row r="1748" spans="2:13" x14ac:dyDescent="0.35">
      <c r="B1748" s="7" t="s">
        <v>174</v>
      </c>
      <c r="C1748" s="13">
        <v>1</v>
      </c>
      <c r="D1748" s="16">
        <v>1.3979400086720399</v>
      </c>
      <c r="E1748" s="16">
        <v>2.020687266778372</v>
      </c>
      <c r="F1748" s="16">
        <v>-0.62274725810633202</v>
      </c>
      <c r="G1748" s="16">
        <v>-1.1694850474952281</v>
      </c>
      <c r="H1748" s="16">
        <v>3.740552611804724E-2</v>
      </c>
      <c r="I1748" s="16">
        <v>1.9360700883850968</v>
      </c>
      <c r="J1748" s="16">
        <v>2.1053044451716469</v>
      </c>
      <c r="K1748" s="16">
        <v>0.32779157100370832</v>
      </c>
      <c r="L1748" s="16">
        <v>1.2791712204086783</v>
      </c>
      <c r="M1748" s="16">
        <v>2.7622033131480657</v>
      </c>
    </row>
    <row r="1749" spans="2:13" x14ac:dyDescent="0.35">
      <c r="B1749" s="7" t="s">
        <v>175</v>
      </c>
      <c r="C1749" s="13">
        <v>1</v>
      </c>
      <c r="D1749" s="16">
        <v>2.3443922736851102</v>
      </c>
      <c r="E1749" s="16">
        <v>2.6363449929153937</v>
      </c>
      <c r="F1749" s="16">
        <v>-0.29195271923028376</v>
      </c>
      <c r="G1749" s="16">
        <v>-0.54827112487597762</v>
      </c>
      <c r="H1749" s="16">
        <v>3.3062576915176348E-2</v>
      </c>
      <c r="I1749" s="16">
        <v>2.5615522481176392</v>
      </c>
      <c r="J1749" s="16">
        <v>2.7111377377131483</v>
      </c>
      <c r="K1749" s="16">
        <v>0.32732441801549605</v>
      </c>
      <c r="L1749" s="16">
        <v>1.8958857200185757</v>
      </c>
      <c r="M1749" s="16">
        <v>3.3768042658122117</v>
      </c>
    </row>
    <row r="1750" spans="2:13" x14ac:dyDescent="0.35">
      <c r="B1750" s="7" t="s">
        <v>176</v>
      </c>
      <c r="C1750" s="13">
        <v>1</v>
      </c>
      <c r="D1750" s="16">
        <v>2.1271047983648099</v>
      </c>
      <c r="E1750" s="16">
        <v>2.7434153361888658</v>
      </c>
      <c r="F1750" s="16">
        <v>-0.61631053782405609</v>
      </c>
      <c r="G1750" s="16">
        <v>-1.1573972413635378</v>
      </c>
      <c r="H1750" s="16">
        <v>5.4072692956530499E-2</v>
      </c>
      <c r="I1750" s="16">
        <v>2.6210944071457107</v>
      </c>
      <c r="J1750" s="16">
        <v>2.8657362652320209</v>
      </c>
      <c r="K1750" s="16">
        <v>0.33010906797675593</v>
      </c>
      <c r="L1750" s="16">
        <v>1.9966567474692696</v>
      </c>
      <c r="M1750" s="16">
        <v>3.4901739249084622</v>
      </c>
    </row>
    <row r="1751" spans="2:13" x14ac:dyDescent="0.35">
      <c r="B1751" s="7" t="s">
        <v>177</v>
      </c>
      <c r="C1751" s="13">
        <v>1</v>
      </c>
      <c r="D1751" s="16">
        <v>3.1112625136590699</v>
      </c>
      <c r="E1751" s="16">
        <v>2.8625497026360764</v>
      </c>
      <c r="F1751" s="16">
        <v>0.24871281102299353</v>
      </c>
      <c r="G1751" s="16">
        <v>0.46706895907718776</v>
      </c>
      <c r="H1751" s="16">
        <v>4.88930643005588E-2</v>
      </c>
      <c r="I1751" s="16">
        <v>2.7519459075963333</v>
      </c>
      <c r="J1751" s="16">
        <v>2.9731534976758196</v>
      </c>
      <c r="K1751" s="16">
        <v>0.32930027691092184</v>
      </c>
      <c r="L1751" s="16">
        <v>2.1176207264096876</v>
      </c>
      <c r="M1751" s="16">
        <v>3.6074786788624653</v>
      </c>
    </row>
    <row r="1752" spans="2:13" x14ac:dyDescent="0.35">
      <c r="B1752" s="7" t="s">
        <v>178</v>
      </c>
      <c r="C1752" s="13">
        <v>1</v>
      </c>
      <c r="D1752" s="16">
        <v>2.04139268515822</v>
      </c>
      <c r="E1752" s="16">
        <v>1.8472254659725698</v>
      </c>
      <c r="F1752" s="16">
        <v>0.19416721918565033</v>
      </c>
      <c r="G1752" s="16">
        <v>0.36463534218014049</v>
      </c>
      <c r="H1752" s="16">
        <v>3.9342388585028559E-2</v>
      </c>
      <c r="I1752" s="16">
        <v>1.7582268002991912</v>
      </c>
      <c r="J1752" s="16">
        <v>1.9362241316459483</v>
      </c>
      <c r="K1752" s="16">
        <v>0.32801823756688686</v>
      </c>
      <c r="L1752" s="16">
        <v>1.1051966642160986</v>
      </c>
      <c r="M1752" s="16">
        <v>2.5892542677290411</v>
      </c>
    </row>
    <row r="1753" spans="2:13" x14ac:dyDescent="0.35">
      <c r="B1753" s="7" t="s">
        <v>179</v>
      </c>
      <c r="C1753" s="13">
        <v>1</v>
      </c>
      <c r="D1753" s="16">
        <v>3.1089031276673098</v>
      </c>
      <c r="E1753" s="16">
        <v>2.4764887584708632</v>
      </c>
      <c r="F1753" s="16">
        <v>0.63241436919644645</v>
      </c>
      <c r="G1753" s="16">
        <v>1.1876393496221334</v>
      </c>
      <c r="H1753" s="16">
        <v>2.7271438006843503E-2</v>
      </c>
      <c r="I1753" s="16">
        <v>2.4147964799667827</v>
      </c>
      <c r="J1753" s="16">
        <v>2.5381810369749438</v>
      </c>
      <c r="K1753" s="16">
        <v>0.32679025684354845</v>
      </c>
      <c r="L1753" s="16">
        <v>1.7372378420889303</v>
      </c>
      <c r="M1753" s="16">
        <v>3.215739674852796</v>
      </c>
    </row>
    <row r="1754" spans="2:13" x14ac:dyDescent="0.35">
      <c r="B1754" s="7" t="s">
        <v>180</v>
      </c>
      <c r="C1754" s="13">
        <v>1</v>
      </c>
      <c r="D1754" s="16">
        <v>1.3664229572259701</v>
      </c>
      <c r="E1754" s="16">
        <v>1.8827258832624414</v>
      </c>
      <c r="F1754" s="16">
        <v>-0.51630292603647132</v>
      </c>
      <c r="G1754" s="16">
        <v>-0.96958845521659376</v>
      </c>
      <c r="H1754" s="16">
        <v>5.1896542326425779E-2</v>
      </c>
      <c r="I1754" s="16">
        <v>1.7653277489287389</v>
      </c>
      <c r="J1754" s="16">
        <v>2.0001240175961437</v>
      </c>
      <c r="K1754" s="16">
        <v>0.32975959689196271</v>
      </c>
      <c r="L1754" s="16">
        <v>1.1367578530563631</v>
      </c>
      <c r="M1754" s="16">
        <v>2.6286939134685197</v>
      </c>
    </row>
    <row r="1755" spans="2:13" x14ac:dyDescent="0.35">
      <c r="B1755" s="7" t="s">
        <v>181</v>
      </c>
      <c r="C1755" s="13">
        <v>1</v>
      </c>
      <c r="D1755" s="16">
        <v>1.5797835966168099</v>
      </c>
      <c r="E1755" s="16">
        <v>2.1522756700458445</v>
      </c>
      <c r="F1755" s="16">
        <v>-0.57249207342903463</v>
      </c>
      <c r="G1755" s="16">
        <v>-1.0751085789132093</v>
      </c>
      <c r="H1755" s="16">
        <v>2.5644509001811384E-2</v>
      </c>
      <c r="I1755" s="16">
        <v>2.0942637606245982</v>
      </c>
      <c r="J1755" s="16">
        <v>2.2102875794670909</v>
      </c>
      <c r="K1755" s="16">
        <v>0.32665850896441567</v>
      </c>
      <c r="L1755" s="16">
        <v>1.4133227880708152</v>
      </c>
      <c r="M1755" s="16">
        <v>2.8912285520208738</v>
      </c>
    </row>
    <row r="1756" spans="2:13" x14ac:dyDescent="0.35">
      <c r="B1756" s="7" t="s">
        <v>182</v>
      </c>
      <c r="C1756" s="13">
        <v>1</v>
      </c>
      <c r="D1756" s="16">
        <v>0.95424250943932498</v>
      </c>
      <c r="E1756" s="16">
        <v>1.8067296027079018</v>
      </c>
      <c r="F1756" s="16">
        <v>-0.85248709326857686</v>
      </c>
      <c r="G1756" s="16">
        <v>-1.6009238030078026</v>
      </c>
      <c r="H1756" s="16">
        <v>5.2690791486271343E-2</v>
      </c>
      <c r="I1756" s="16">
        <v>1.6875347519576127</v>
      </c>
      <c r="J1756" s="16">
        <v>1.925924453458191</v>
      </c>
      <c r="K1756" s="16">
        <v>0.32988552581821617</v>
      </c>
      <c r="L1756" s="16">
        <v>1.0604767014807868</v>
      </c>
      <c r="M1756" s="16">
        <v>2.5529825039350169</v>
      </c>
    </row>
    <row r="1757" spans="2:13" x14ac:dyDescent="0.35">
      <c r="B1757" s="7" t="s">
        <v>183</v>
      </c>
      <c r="C1757" s="13">
        <v>1</v>
      </c>
      <c r="D1757" s="16">
        <v>2.5502283530550902</v>
      </c>
      <c r="E1757" s="16">
        <v>2.7190262245841024</v>
      </c>
      <c r="F1757" s="16">
        <v>-0.16879787152901229</v>
      </c>
      <c r="G1757" s="16">
        <v>-0.3169931047187266</v>
      </c>
      <c r="H1757" s="16">
        <v>4.1052932188980304E-2</v>
      </c>
      <c r="I1757" s="16">
        <v>2.6261580404650195</v>
      </c>
      <c r="J1757" s="16">
        <v>2.8118944087031852</v>
      </c>
      <c r="K1757" s="16">
        <v>0.32822779266574043</v>
      </c>
      <c r="L1757" s="16">
        <v>1.9765233762622401</v>
      </c>
      <c r="M1757" s="16">
        <v>3.4615290729059645</v>
      </c>
    </row>
    <row r="1758" spans="2:13" x14ac:dyDescent="0.35">
      <c r="B1758" s="7" t="s">
        <v>184</v>
      </c>
      <c r="C1758" s="13">
        <v>1</v>
      </c>
      <c r="D1758" s="16">
        <v>2.2671717284030102</v>
      </c>
      <c r="E1758" s="16">
        <v>2.818926615891292</v>
      </c>
      <c r="F1758" s="16">
        <v>-0.55175488748828172</v>
      </c>
      <c r="G1758" s="16">
        <v>-1.0361652859975818</v>
      </c>
      <c r="H1758" s="16">
        <v>4.4979222174172322E-2</v>
      </c>
      <c r="I1758" s="16">
        <v>2.7171765468054736</v>
      </c>
      <c r="J1758" s="16">
        <v>2.9206766849771104</v>
      </c>
      <c r="K1758" s="16">
        <v>0.32874195209054896</v>
      </c>
      <c r="L1758" s="16">
        <v>2.0752606581498667</v>
      </c>
      <c r="M1758" s="16">
        <v>3.5625925736327173</v>
      </c>
    </row>
    <row r="1759" spans="2:13" x14ac:dyDescent="0.35">
      <c r="B1759" s="7" t="s">
        <v>185</v>
      </c>
      <c r="C1759" s="13">
        <v>1</v>
      </c>
      <c r="D1759" s="16">
        <v>1.6901960800285101</v>
      </c>
      <c r="E1759" s="16">
        <v>2.0725208380543063</v>
      </c>
      <c r="F1759" s="16">
        <v>-0.38232475802579641</v>
      </c>
      <c r="G1759" s="16">
        <v>-0.71798483570690463</v>
      </c>
      <c r="H1759" s="16">
        <v>2.8154480577275705E-2</v>
      </c>
      <c r="I1759" s="16">
        <v>2.0088309784849225</v>
      </c>
      <c r="J1759" s="16">
        <v>2.1362106976236901</v>
      </c>
      <c r="K1759" s="16">
        <v>0.32686513337076412</v>
      </c>
      <c r="L1759" s="16">
        <v>1.3331005392008937</v>
      </c>
      <c r="M1759" s="16">
        <v>2.811941136907719</v>
      </c>
    </row>
    <row r="1760" spans="2:13" x14ac:dyDescent="0.35">
      <c r="B1760" s="7" t="s">
        <v>186</v>
      </c>
      <c r="C1760" s="13">
        <v>1</v>
      </c>
      <c r="D1760" s="16">
        <v>1.90308998699194</v>
      </c>
      <c r="E1760" s="16">
        <v>1.7327064925515971</v>
      </c>
      <c r="F1760" s="16">
        <v>0.17038349444034276</v>
      </c>
      <c r="G1760" s="16">
        <v>0.31997081720421489</v>
      </c>
      <c r="H1760" s="16">
        <v>4.0332821788634357E-2</v>
      </c>
      <c r="I1760" s="16">
        <v>1.6414673113241358</v>
      </c>
      <c r="J1760" s="16">
        <v>1.8239456737790585</v>
      </c>
      <c r="K1760" s="16">
        <v>0.32813850299887848</v>
      </c>
      <c r="L1760" s="16">
        <v>0.99040563148813321</v>
      </c>
      <c r="M1760" s="16">
        <v>2.475007353615061</v>
      </c>
    </row>
    <row r="1761" spans="2:13" x14ac:dyDescent="0.35">
      <c r="B1761" s="7" t="s">
        <v>187</v>
      </c>
      <c r="C1761" s="13">
        <v>1</v>
      </c>
      <c r="D1761" s="16">
        <v>2.85369821177617</v>
      </c>
      <c r="E1761" s="16">
        <v>2.6670308561411984</v>
      </c>
      <c r="F1761" s="16">
        <v>0.18666735563497161</v>
      </c>
      <c r="G1761" s="16">
        <v>0.35055101155226381</v>
      </c>
      <c r="H1761" s="16">
        <v>4.188243598293559E-2</v>
      </c>
      <c r="I1761" s="16">
        <v>2.5722862040828729</v>
      </c>
      <c r="J1761" s="16">
        <v>2.7617755081995239</v>
      </c>
      <c r="K1761" s="16">
        <v>0.32833257389539644</v>
      </c>
      <c r="L1761" s="16">
        <v>1.9242909762113836</v>
      </c>
      <c r="M1761" s="16">
        <v>3.409770736071013</v>
      </c>
    </row>
    <row r="1762" spans="2:13" x14ac:dyDescent="0.35">
      <c r="B1762" s="7" t="s">
        <v>188</v>
      </c>
      <c r="C1762" s="13">
        <v>1</v>
      </c>
      <c r="D1762" s="16">
        <v>1.8195439355418701</v>
      </c>
      <c r="E1762" s="16">
        <v>2.1040027251395297</v>
      </c>
      <c r="F1762" s="16">
        <v>-0.28445878959765974</v>
      </c>
      <c r="G1762" s="16">
        <v>-0.53419793781934533</v>
      </c>
      <c r="H1762" s="16">
        <v>2.8395988348953693E-2</v>
      </c>
      <c r="I1762" s="16">
        <v>2.0397665370374329</v>
      </c>
      <c r="J1762" s="16">
        <v>2.1682389132416264</v>
      </c>
      <c r="K1762" s="16">
        <v>0.32688602416014234</v>
      </c>
      <c r="L1762" s="16">
        <v>1.3645351680375359</v>
      </c>
      <c r="M1762" s="16">
        <v>2.8434702822415234</v>
      </c>
    </row>
    <row r="1763" spans="2:13" x14ac:dyDescent="0.35">
      <c r="B1763" s="7" t="s">
        <v>189</v>
      </c>
      <c r="C1763" s="13">
        <v>1</v>
      </c>
      <c r="D1763" s="16">
        <v>2.2121876044039599</v>
      </c>
      <c r="E1763" s="16">
        <v>2.4950698711666766</v>
      </c>
      <c r="F1763" s="16">
        <v>-0.28288226676271683</v>
      </c>
      <c r="G1763" s="16">
        <v>-0.53123731477604696</v>
      </c>
      <c r="H1763" s="16">
        <v>5.9090670557702951E-2</v>
      </c>
      <c r="I1763" s="16">
        <v>2.361397488209684</v>
      </c>
      <c r="J1763" s="16">
        <v>2.6287422541236691</v>
      </c>
      <c r="K1763" s="16">
        <v>0.33096804677169406</v>
      </c>
      <c r="L1763" s="16">
        <v>1.7463681374235902</v>
      </c>
      <c r="M1763" s="16">
        <v>3.2437716049097629</v>
      </c>
    </row>
    <row r="1764" spans="2:13" x14ac:dyDescent="0.35">
      <c r="B1764" s="7" t="s">
        <v>190</v>
      </c>
      <c r="C1764" s="13">
        <v>1</v>
      </c>
      <c r="D1764" s="16">
        <v>1.4771212547196599</v>
      </c>
      <c r="E1764" s="16">
        <v>1.556038244946609</v>
      </c>
      <c r="F1764" s="16">
        <v>-7.8916990226949021E-2</v>
      </c>
      <c r="G1764" s="16">
        <v>-0.14820176060572127</v>
      </c>
      <c r="H1764" s="16">
        <v>5.1352832943527334E-2</v>
      </c>
      <c r="I1764" s="16">
        <v>1.439870066681473</v>
      </c>
      <c r="J1764" s="16">
        <v>1.6722064232117451</v>
      </c>
      <c r="K1764" s="16">
        <v>0.32967446684303148</v>
      </c>
      <c r="L1764" s="16">
        <v>0.81026279228948195</v>
      </c>
      <c r="M1764" s="16">
        <v>2.3018136976037362</v>
      </c>
    </row>
    <row r="1765" spans="2:13" x14ac:dyDescent="0.35">
      <c r="B1765" s="7" t="s">
        <v>191</v>
      </c>
      <c r="C1765" s="13">
        <v>1</v>
      </c>
      <c r="D1765" s="16">
        <v>1.43136376415899</v>
      </c>
      <c r="E1765" s="16">
        <v>1.9310325233422139</v>
      </c>
      <c r="F1765" s="16">
        <v>-0.49966875918322384</v>
      </c>
      <c r="G1765" s="16">
        <v>-0.93835040613779397</v>
      </c>
      <c r="H1765" s="16">
        <v>4.0520673865527566E-2</v>
      </c>
      <c r="I1765" s="16">
        <v>1.8393683911956864</v>
      </c>
      <c r="J1765" s="16">
        <v>2.0226966554887413</v>
      </c>
      <c r="K1765" s="16">
        <v>0.32816164560689859</v>
      </c>
      <c r="L1765" s="16">
        <v>1.1886793100625255</v>
      </c>
      <c r="M1765" s="16">
        <v>2.6733857366219023</v>
      </c>
    </row>
    <row r="1766" spans="2:13" x14ac:dyDescent="0.35">
      <c r="B1766" s="7" t="s">
        <v>192</v>
      </c>
      <c r="C1766" s="13">
        <v>1</v>
      </c>
      <c r="D1766" s="16">
        <v>1.4771212547196599</v>
      </c>
      <c r="E1766" s="16">
        <v>1.8278998859566702</v>
      </c>
      <c r="F1766" s="16">
        <v>-0.3507786312370102</v>
      </c>
      <c r="G1766" s="16">
        <v>-0.65874294727521787</v>
      </c>
      <c r="H1766" s="16">
        <v>4.1116242821930257E-2</v>
      </c>
      <c r="I1766" s="16">
        <v>1.7348884832365279</v>
      </c>
      <c r="J1766" s="16">
        <v>1.9209112886768125</v>
      </c>
      <c r="K1766" s="16">
        <v>0.32823571722270445</v>
      </c>
      <c r="L1766" s="16">
        <v>1.0853791110416036</v>
      </c>
      <c r="M1766" s="16">
        <v>2.5704206608717368</v>
      </c>
    </row>
    <row r="1767" spans="2:13" x14ac:dyDescent="0.35">
      <c r="B1767" s="7" t="s">
        <v>193</v>
      </c>
      <c r="C1767" s="13">
        <v>1</v>
      </c>
      <c r="D1767" s="16">
        <v>1.79865064544527</v>
      </c>
      <c r="E1767" s="16">
        <v>2.00040003764909</v>
      </c>
      <c r="F1767" s="16">
        <v>-0.20174939220382002</v>
      </c>
      <c r="G1767" s="16">
        <v>-0.37887424545405451</v>
      </c>
      <c r="H1767" s="16">
        <v>4.1049527499398206E-2</v>
      </c>
      <c r="I1767" s="16">
        <v>1.907539555472892</v>
      </c>
      <c r="J1767" s="16">
        <v>2.093260519825288</v>
      </c>
      <c r="K1767" s="16">
        <v>0.32822736684322212</v>
      </c>
      <c r="L1767" s="16">
        <v>1.2578981526046826</v>
      </c>
      <c r="M1767" s="16">
        <v>2.7429019226934974</v>
      </c>
    </row>
    <row r="1768" spans="2:13" x14ac:dyDescent="0.35">
      <c r="B1768" s="7" t="s">
        <v>194</v>
      </c>
      <c r="C1768" s="13">
        <v>1</v>
      </c>
      <c r="D1768" s="16">
        <v>2.17318626841227</v>
      </c>
      <c r="E1768" s="16">
        <v>2.3634380588960027</v>
      </c>
      <c r="F1768" s="16">
        <v>-0.1902517904837325</v>
      </c>
      <c r="G1768" s="16">
        <v>-0.35728238275427221</v>
      </c>
      <c r="H1768" s="16">
        <v>3.2816203789556721E-2</v>
      </c>
      <c r="I1768" s="16">
        <v>2.2892026488261723</v>
      </c>
      <c r="J1768" s="16">
        <v>2.437673468965833</v>
      </c>
      <c r="K1768" s="16">
        <v>0.32729962399622298</v>
      </c>
      <c r="L1768" s="16">
        <v>1.623034873967184</v>
      </c>
      <c r="M1768" s="16">
        <v>3.1038412438248213</v>
      </c>
    </row>
    <row r="1769" spans="2:13" x14ac:dyDescent="0.35">
      <c r="B1769" s="7" t="s">
        <v>195</v>
      </c>
      <c r="C1769" s="13">
        <v>1</v>
      </c>
      <c r="D1769" s="16">
        <v>0.89762709129044094</v>
      </c>
      <c r="E1769" s="16">
        <v>1.6177050450821484</v>
      </c>
      <c r="F1769" s="16">
        <v>-0.72007795379170747</v>
      </c>
      <c r="G1769" s="16">
        <v>-1.3522667326566895</v>
      </c>
      <c r="H1769" s="16">
        <v>4.4123883285722865E-2</v>
      </c>
      <c r="I1769" s="16">
        <v>1.517889886979328</v>
      </c>
      <c r="J1769" s="16">
        <v>1.7175202031849688</v>
      </c>
      <c r="K1769" s="16">
        <v>0.32862601496704935</v>
      </c>
      <c r="L1769" s="16">
        <v>0.87430135533370923</v>
      </c>
      <c r="M1769" s="16">
        <v>2.3611087348305877</v>
      </c>
    </row>
    <row r="1770" spans="2:13" x14ac:dyDescent="0.35">
      <c r="B1770" s="7" t="s">
        <v>196</v>
      </c>
      <c r="C1770" s="13">
        <v>1</v>
      </c>
      <c r="D1770" s="16">
        <v>1.91381385238372</v>
      </c>
      <c r="E1770" s="16">
        <v>2.3345920610791899</v>
      </c>
      <c r="F1770" s="16">
        <v>-0.42077820869546972</v>
      </c>
      <c r="G1770" s="16">
        <v>-0.79019829790588181</v>
      </c>
      <c r="H1770" s="16">
        <v>3.9261804386131194E-2</v>
      </c>
      <c r="I1770" s="16">
        <v>2.2457756895276013</v>
      </c>
      <c r="J1770" s="16">
        <v>2.4234084326307785</v>
      </c>
      <c r="K1770" s="16">
        <v>0.32800858208371025</v>
      </c>
      <c r="L1770" s="16">
        <v>1.5925851015430328</v>
      </c>
      <c r="M1770" s="16">
        <v>3.0765990206153471</v>
      </c>
    </row>
    <row r="1771" spans="2:13" x14ac:dyDescent="0.35">
      <c r="B1771" s="7" t="s">
        <v>197</v>
      </c>
      <c r="C1771" s="13">
        <v>1</v>
      </c>
      <c r="D1771" s="16">
        <v>2.6901960800285099</v>
      </c>
      <c r="E1771" s="16">
        <v>1.9399176290676408</v>
      </c>
      <c r="F1771" s="16">
        <v>0.75027845096086909</v>
      </c>
      <c r="G1771" s="16">
        <v>1.4089816027849911</v>
      </c>
      <c r="H1771" s="16">
        <v>4.6114598228901009E-2</v>
      </c>
      <c r="I1771" s="16">
        <v>1.8355991609205915</v>
      </c>
      <c r="J1771" s="16">
        <v>2.0442360972146898</v>
      </c>
      <c r="K1771" s="16">
        <v>0.32889921983295162</v>
      </c>
      <c r="L1771" s="16">
        <v>1.1958959069781243</v>
      </c>
      <c r="M1771" s="16">
        <v>2.6839393511571572</v>
      </c>
    </row>
    <row r="1772" spans="2:13" x14ac:dyDescent="0.35">
      <c r="B1772" s="7" t="s">
        <v>198</v>
      </c>
      <c r="C1772" s="13">
        <v>1</v>
      </c>
      <c r="D1772" s="16">
        <v>1.6020599913279601</v>
      </c>
      <c r="E1772" s="16">
        <v>1.7763860108419722</v>
      </c>
      <c r="F1772" s="16">
        <v>-0.17432601951401214</v>
      </c>
      <c r="G1772" s="16">
        <v>-0.32737466212366384</v>
      </c>
      <c r="H1772" s="16">
        <v>4.0049617193785615E-2</v>
      </c>
      <c r="I1772" s="16">
        <v>1.6857874829139321</v>
      </c>
      <c r="J1772" s="16">
        <v>1.8669845387700124</v>
      </c>
      <c r="K1772" s="16">
        <v>0.32810381356253698</v>
      </c>
      <c r="L1772" s="16">
        <v>1.0341636227349909</v>
      </c>
      <c r="M1772" s="16">
        <v>2.5186083989489534</v>
      </c>
    </row>
    <row r="1773" spans="2:13" x14ac:dyDescent="0.35">
      <c r="B1773" s="7" t="s">
        <v>199</v>
      </c>
      <c r="C1773" s="13">
        <v>1</v>
      </c>
      <c r="D1773" s="16">
        <v>1.98136550907854</v>
      </c>
      <c r="E1773" s="16">
        <v>1.8219770304664114</v>
      </c>
      <c r="F1773" s="16">
        <v>0.15938847861212871</v>
      </c>
      <c r="G1773" s="16">
        <v>0.29932278312507626</v>
      </c>
      <c r="H1773" s="16">
        <v>3.9818356097930337E-2</v>
      </c>
      <c r="I1773" s="16">
        <v>1.7319016514800984</v>
      </c>
      <c r="J1773" s="16">
        <v>1.9120524094527243</v>
      </c>
      <c r="K1773" s="16">
        <v>0.32807566523479431</v>
      </c>
      <c r="L1773" s="16">
        <v>1.0798183183003207</v>
      </c>
      <c r="M1773" s="16">
        <v>2.564135742632502</v>
      </c>
    </row>
    <row r="1774" spans="2:13" x14ac:dyDescent="0.35">
      <c r="B1774" s="7" t="s">
        <v>200</v>
      </c>
      <c r="C1774" s="13">
        <v>1</v>
      </c>
      <c r="D1774" s="16">
        <v>2.5051499783199098</v>
      </c>
      <c r="E1774" s="16">
        <v>2.4852424903727286</v>
      </c>
      <c r="F1774" s="16">
        <v>1.99074879471812E-2</v>
      </c>
      <c r="G1774" s="16">
        <v>3.7385165786542329E-2</v>
      </c>
      <c r="H1774" s="16">
        <v>4.9672596795788983E-2</v>
      </c>
      <c r="I1774" s="16">
        <v>2.3728752703244966</v>
      </c>
      <c r="J1774" s="16">
        <v>2.5976097104209606</v>
      </c>
      <c r="K1774" s="16">
        <v>0.3294169204964254</v>
      </c>
      <c r="L1774" s="16">
        <v>1.7400496480252794</v>
      </c>
      <c r="M1774" s="16">
        <v>3.2304353327201776</v>
      </c>
    </row>
    <row r="1775" spans="2:13" x14ac:dyDescent="0.35">
      <c r="B1775" s="7" t="s">
        <v>201</v>
      </c>
      <c r="C1775" s="13">
        <v>1</v>
      </c>
      <c r="D1775" s="16">
        <v>1.86923171973098</v>
      </c>
      <c r="E1775" s="16">
        <v>1.6379242043429822</v>
      </c>
      <c r="F1775" s="16">
        <v>0.23130751538799782</v>
      </c>
      <c r="G1775" s="16">
        <v>0.43438277262289776</v>
      </c>
      <c r="H1775" s="16">
        <v>5.4522087765111672E-2</v>
      </c>
      <c r="I1775" s="16">
        <v>1.5145866736199922</v>
      </c>
      <c r="J1775" s="16">
        <v>1.7612617350659723</v>
      </c>
      <c r="K1775" s="16">
        <v>0.33018297759148307</v>
      </c>
      <c r="L1775" s="16">
        <v>0.89099842045990651</v>
      </c>
      <c r="M1775" s="16">
        <v>2.3848499882260579</v>
      </c>
    </row>
    <row r="1776" spans="2:13" x14ac:dyDescent="0.35">
      <c r="B1776" s="7" t="s">
        <v>202</v>
      </c>
      <c r="C1776" s="13">
        <v>1</v>
      </c>
      <c r="D1776" s="16">
        <v>2.53147891704225</v>
      </c>
      <c r="E1776" s="16">
        <v>1.7238049166888478</v>
      </c>
      <c r="F1776" s="16">
        <v>0.80767400035340209</v>
      </c>
      <c r="G1776" s="16">
        <v>1.5167672829844534</v>
      </c>
      <c r="H1776" s="16">
        <v>4.0229586863288973E-2</v>
      </c>
      <c r="I1776" s="16">
        <v>1.6327992690859852</v>
      </c>
      <c r="J1776" s="16">
        <v>1.8148105642917105</v>
      </c>
      <c r="K1776" s="16">
        <v>0.32812582997396311</v>
      </c>
      <c r="L1776" s="16">
        <v>0.98153272399932046</v>
      </c>
      <c r="M1776" s="16">
        <v>2.4660771093783751</v>
      </c>
    </row>
    <row r="1777" spans="2:13" x14ac:dyDescent="0.35">
      <c r="B1777" s="7" t="s">
        <v>203</v>
      </c>
      <c r="C1777" s="13">
        <v>1</v>
      </c>
      <c r="D1777" s="16">
        <v>1.5563025007672899</v>
      </c>
      <c r="E1777" s="16">
        <v>1.7801489783008375</v>
      </c>
      <c r="F1777" s="16">
        <v>-0.2238464775335475</v>
      </c>
      <c r="G1777" s="16">
        <v>-0.42037135451387464</v>
      </c>
      <c r="H1777" s="16">
        <v>3.9523500277370484E-2</v>
      </c>
      <c r="I1777" s="16">
        <v>1.6907406095175057</v>
      </c>
      <c r="J1777" s="16">
        <v>1.8695573470841693</v>
      </c>
      <c r="K1777" s="16">
        <v>0.32804000931454474</v>
      </c>
      <c r="L1777" s="16">
        <v>1.0380709254297131</v>
      </c>
      <c r="M1777" s="16">
        <v>2.5222270311719619</v>
      </c>
    </row>
    <row r="1778" spans="2:13" x14ac:dyDescent="0.35">
      <c r="B1778" s="7" t="s">
        <v>204</v>
      </c>
      <c r="C1778" s="13">
        <v>1</v>
      </c>
      <c r="D1778" s="16">
        <v>1.76342799356294</v>
      </c>
      <c r="E1778" s="16">
        <v>1.6590300398999651</v>
      </c>
      <c r="F1778" s="16">
        <v>0.10439795366297479</v>
      </c>
      <c r="G1778" s="16">
        <v>0.19605360635261429</v>
      </c>
      <c r="H1778" s="16">
        <v>4.8373666042370804E-2</v>
      </c>
      <c r="I1778" s="16">
        <v>1.5496012053441768</v>
      </c>
      <c r="J1778" s="16">
        <v>1.7684588744557534</v>
      </c>
      <c r="K1778" s="16">
        <v>0.32922355961153515</v>
      </c>
      <c r="L1778" s="16">
        <v>0.91427461026098589</v>
      </c>
      <c r="M1778" s="16">
        <v>2.4037854695389442</v>
      </c>
    </row>
    <row r="1779" spans="2:13" x14ac:dyDescent="0.35">
      <c r="B1779" s="7" t="s">
        <v>205</v>
      </c>
      <c r="C1779" s="13">
        <v>1</v>
      </c>
      <c r="D1779" s="16">
        <v>1.4471580313422201</v>
      </c>
      <c r="E1779" s="16">
        <v>1.8282290950655757</v>
      </c>
      <c r="F1779" s="16">
        <v>-0.38107106372335575</v>
      </c>
      <c r="G1779" s="16">
        <v>-0.71563046686505261</v>
      </c>
      <c r="H1779" s="16">
        <v>4.9620230972253668E-2</v>
      </c>
      <c r="I1779" s="16">
        <v>1.7159803347395199</v>
      </c>
      <c r="J1779" s="16">
        <v>1.9404778553916315</v>
      </c>
      <c r="K1779" s="16">
        <v>0.32940902835024277</v>
      </c>
      <c r="L1779" s="16">
        <v>1.0830541059930501</v>
      </c>
      <c r="M1779" s="16">
        <v>2.5734040841381014</v>
      </c>
    </row>
    <row r="1780" spans="2:13" x14ac:dyDescent="0.35">
      <c r="B1780" s="7" t="s">
        <v>206</v>
      </c>
      <c r="C1780" s="13">
        <v>1</v>
      </c>
      <c r="D1780" s="16">
        <v>2.1139433523068401</v>
      </c>
      <c r="E1780" s="16">
        <v>2.5721778875895311</v>
      </c>
      <c r="F1780" s="16">
        <v>-0.45823453528269098</v>
      </c>
      <c r="G1780" s="16">
        <v>-0.86053921600330641</v>
      </c>
      <c r="H1780" s="16">
        <v>3.9574137206388478E-2</v>
      </c>
      <c r="I1780" s="16">
        <v>2.4826549701151186</v>
      </c>
      <c r="J1780" s="16">
        <v>2.6617008050639437</v>
      </c>
      <c r="K1780" s="16">
        <v>0.32804611409456041</v>
      </c>
      <c r="L1780" s="16">
        <v>1.8300860247466395</v>
      </c>
      <c r="M1780" s="16">
        <v>3.3142697504324228</v>
      </c>
    </row>
    <row r="1781" spans="2:13" x14ac:dyDescent="0.35">
      <c r="B1781" s="7" t="s">
        <v>207</v>
      </c>
      <c r="C1781" s="13">
        <v>1</v>
      </c>
      <c r="D1781" s="16">
        <v>1.91907809237607</v>
      </c>
      <c r="E1781" s="16">
        <v>1.9235118357828751</v>
      </c>
      <c r="F1781" s="16">
        <v>-4.4337434068051915E-3</v>
      </c>
      <c r="G1781" s="16">
        <v>-8.3263258909505606E-3</v>
      </c>
      <c r="H1781" s="16">
        <v>3.9672573376477588E-2</v>
      </c>
      <c r="I1781" s="16">
        <v>1.8337662402223827</v>
      </c>
      <c r="J1781" s="16">
        <v>2.0132574313433675</v>
      </c>
      <c r="K1781" s="16">
        <v>0.32805800358354809</v>
      </c>
      <c r="L1781" s="16">
        <v>1.1813930770474488</v>
      </c>
      <c r="M1781" s="16">
        <v>2.6656305945183014</v>
      </c>
    </row>
    <row r="1782" spans="2:13" x14ac:dyDescent="0.35">
      <c r="B1782" s="7" t="s">
        <v>208</v>
      </c>
      <c r="C1782" s="13">
        <v>1</v>
      </c>
      <c r="D1782" s="16">
        <v>1.94448267215017</v>
      </c>
      <c r="E1782" s="16">
        <v>2.3436964890187828</v>
      </c>
      <c r="F1782" s="16">
        <v>-0.39921381686861274</v>
      </c>
      <c r="G1782" s="16">
        <v>-0.74970155790171877</v>
      </c>
      <c r="H1782" s="16">
        <v>4.1150105964146651E-2</v>
      </c>
      <c r="I1782" s="16">
        <v>2.250608482549322</v>
      </c>
      <c r="J1782" s="16">
        <v>2.4367844954882436</v>
      </c>
      <c r="K1782" s="16">
        <v>0.32823996078748818</v>
      </c>
      <c r="L1782" s="16">
        <v>1.6011661144932949</v>
      </c>
      <c r="M1782" s="16">
        <v>3.0862268635442707</v>
      </c>
    </row>
    <row r="1783" spans="2:13" x14ac:dyDescent="0.35">
      <c r="B1783" s="7" t="s">
        <v>209</v>
      </c>
      <c r="C1783" s="13">
        <v>1</v>
      </c>
      <c r="D1783" s="16">
        <v>2.80482067872116</v>
      </c>
      <c r="E1783" s="16">
        <v>2.258590240038123</v>
      </c>
      <c r="F1783" s="16">
        <v>0.54623043868303689</v>
      </c>
      <c r="G1783" s="16">
        <v>1.02579067544846</v>
      </c>
      <c r="H1783" s="16">
        <v>5.8211966612042032E-2</v>
      </c>
      <c r="I1783" s="16">
        <v>2.1269056234953818</v>
      </c>
      <c r="J1783" s="16">
        <v>2.3902748565808642</v>
      </c>
      <c r="K1783" s="16">
        <v>0.33081229374639742</v>
      </c>
      <c r="L1783" s="16">
        <v>1.5102408441149946</v>
      </c>
      <c r="M1783" s="16">
        <v>3.0069396359612517</v>
      </c>
    </row>
    <row r="1784" spans="2:13" x14ac:dyDescent="0.35">
      <c r="B1784" s="7" t="s">
        <v>210</v>
      </c>
      <c r="C1784" s="13">
        <v>1</v>
      </c>
      <c r="D1784" s="16">
        <v>1.72427586960079</v>
      </c>
      <c r="E1784" s="16">
        <v>1.7293070888987501</v>
      </c>
      <c r="F1784" s="16">
        <v>-5.0312192979600594E-3</v>
      </c>
      <c r="G1784" s="16">
        <v>-9.4483527033515508E-3</v>
      </c>
      <c r="H1784" s="16">
        <v>4.4719003428352021E-2</v>
      </c>
      <c r="I1784" s="16">
        <v>1.6281456755096022</v>
      </c>
      <c r="J1784" s="16">
        <v>1.8304685022878979</v>
      </c>
      <c r="K1784" s="16">
        <v>0.32870644944165028</v>
      </c>
      <c r="L1784" s="16">
        <v>0.98572144372840886</v>
      </c>
      <c r="M1784" s="16">
        <v>2.4728927340690912</v>
      </c>
    </row>
    <row r="1785" spans="2:13" x14ac:dyDescent="0.35">
      <c r="B1785" s="7" t="s">
        <v>211</v>
      </c>
      <c r="C1785" s="13">
        <v>1</v>
      </c>
      <c r="D1785" s="16">
        <v>1.2041199826559199</v>
      </c>
      <c r="E1785" s="16">
        <v>1.6627932405706614</v>
      </c>
      <c r="F1785" s="16">
        <v>-0.45867325791474151</v>
      </c>
      <c r="G1785" s="16">
        <v>-0.8613631129398277</v>
      </c>
      <c r="H1785" s="16">
        <v>5.8674730082862191E-2</v>
      </c>
      <c r="I1785" s="16">
        <v>1.5300617803332024</v>
      </c>
      <c r="J1785" s="16">
        <v>1.7955247008081203</v>
      </c>
      <c r="K1785" s="16">
        <v>0.33089403830714142</v>
      </c>
      <c r="L1785" s="16">
        <v>0.91425892560489397</v>
      </c>
      <c r="M1785" s="16">
        <v>2.4113275555364289</v>
      </c>
    </row>
    <row r="1786" spans="2:13" x14ac:dyDescent="0.35">
      <c r="B1786" s="7" t="s">
        <v>212</v>
      </c>
      <c r="C1786" s="13">
        <v>1</v>
      </c>
      <c r="D1786" s="16">
        <v>2.1789769472931702</v>
      </c>
      <c r="E1786" s="16">
        <v>2.2315992914784184</v>
      </c>
      <c r="F1786" s="16">
        <v>-5.2622344185248429E-2</v>
      </c>
      <c r="G1786" s="16">
        <v>-9.8821863746026431E-2</v>
      </c>
      <c r="H1786" s="16">
        <v>4.2767632381036362E-2</v>
      </c>
      <c r="I1786" s="16">
        <v>2.1348521860581275</v>
      </c>
      <c r="J1786" s="16">
        <v>2.3283463968987093</v>
      </c>
      <c r="K1786" s="16">
        <v>0.32844666388378913</v>
      </c>
      <c r="L1786" s="16">
        <v>1.4886013220655085</v>
      </c>
      <c r="M1786" s="16">
        <v>2.9745972608913283</v>
      </c>
    </row>
    <row r="1787" spans="2:13" x14ac:dyDescent="0.35">
      <c r="B1787" s="7" t="s">
        <v>213</v>
      </c>
      <c r="C1787" s="13">
        <v>1</v>
      </c>
      <c r="D1787" s="16">
        <v>2.2041199826559201</v>
      </c>
      <c r="E1787" s="16">
        <v>2.2481214005675936</v>
      </c>
      <c r="F1787" s="16">
        <v>-4.4001417911673245E-2</v>
      </c>
      <c r="G1787" s="16">
        <v>-8.2632239076842487E-2</v>
      </c>
      <c r="H1787" s="16">
        <v>4.8988045186910391E-2</v>
      </c>
      <c r="I1787" s="16">
        <v>2.1373027438365857</v>
      </c>
      <c r="J1787" s="16">
        <v>2.3589400572986015</v>
      </c>
      <c r="K1787" s="16">
        <v>0.32931439265259277</v>
      </c>
      <c r="L1787" s="16">
        <v>1.5031604923152426</v>
      </c>
      <c r="M1787" s="16">
        <v>2.9930823088199445</v>
      </c>
    </row>
    <row r="1788" spans="2:13" x14ac:dyDescent="0.35">
      <c r="B1788" s="7" t="s">
        <v>214</v>
      </c>
      <c r="C1788" s="13">
        <v>1</v>
      </c>
      <c r="D1788" s="16">
        <v>2.4265112613645798</v>
      </c>
      <c r="E1788" s="16">
        <v>2.1152632871967683</v>
      </c>
      <c r="F1788" s="16">
        <v>0.31124797416781147</v>
      </c>
      <c r="G1788" s="16">
        <v>0.58450655079445535</v>
      </c>
      <c r="H1788" s="16">
        <v>3.0820751598999843E-2</v>
      </c>
      <c r="I1788" s="16">
        <v>2.0455419035692</v>
      </c>
      <c r="J1788" s="16">
        <v>2.1849846708243366</v>
      </c>
      <c r="K1788" s="16">
        <v>0.32710557831690745</v>
      </c>
      <c r="L1788" s="16">
        <v>1.3752990640890257</v>
      </c>
      <c r="M1788" s="16">
        <v>2.8552275103045108</v>
      </c>
    </row>
    <row r="1789" spans="2:13" x14ac:dyDescent="0.35">
      <c r="B1789" s="7" t="s">
        <v>215</v>
      </c>
      <c r="C1789" s="13">
        <v>1</v>
      </c>
      <c r="D1789" s="16">
        <v>1.7558748556724899</v>
      </c>
      <c r="E1789" s="16">
        <v>1.6382382634476564</v>
      </c>
      <c r="F1789" s="16">
        <v>0.11763659222483354</v>
      </c>
      <c r="G1789" s="16">
        <v>0.22091504033847692</v>
      </c>
      <c r="H1789" s="16">
        <v>5.7245674234756405E-2</v>
      </c>
      <c r="I1789" s="16">
        <v>1.508739552116108</v>
      </c>
      <c r="J1789" s="16">
        <v>1.7677369747792049</v>
      </c>
      <c r="K1789" s="16">
        <v>0.33064362666699493</v>
      </c>
      <c r="L1789" s="16">
        <v>0.89027041896432946</v>
      </c>
      <c r="M1789" s="16">
        <v>2.3862061079309833</v>
      </c>
    </row>
    <row r="1790" spans="2:13" x14ac:dyDescent="0.35">
      <c r="B1790" s="7" t="s">
        <v>216</v>
      </c>
      <c r="C1790" s="13">
        <v>1</v>
      </c>
      <c r="D1790" s="16">
        <v>2.2405492482825999</v>
      </c>
      <c r="E1790" s="16">
        <v>2.2523441131183746</v>
      </c>
      <c r="F1790" s="16">
        <v>-1.1794864835774722E-2</v>
      </c>
      <c r="G1790" s="16">
        <v>-2.2150106456687971E-2</v>
      </c>
      <c r="H1790" s="16">
        <v>5.4011802356590616E-2</v>
      </c>
      <c r="I1790" s="16">
        <v>2.1301609281812999</v>
      </c>
      <c r="J1790" s="16">
        <v>2.3745272980554493</v>
      </c>
      <c r="K1790" s="16">
        <v>0.33009909940912996</v>
      </c>
      <c r="L1790" s="16">
        <v>1.5056080748653182</v>
      </c>
      <c r="M1790" s="16">
        <v>2.9990801513714311</v>
      </c>
    </row>
    <row r="1791" spans="2:13" x14ac:dyDescent="0.35">
      <c r="B1791" s="7" t="s">
        <v>217</v>
      </c>
      <c r="C1791" s="13">
        <v>1</v>
      </c>
      <c r="D1791" s="16">
        <v>2.2041199826559201</v>
      </c>
      <c r="E1791" s="16">
        <v>2.3499779095714093</v>
      </c>
      <c r="F1791" s="16">
        <v>-0.14585792691548929</v>
      </c>
      <c r="G1791" s="16">
        <v>-0.27391315235175351</v>
      </c>
      <c r="H1791" s="16">
        <v>3.985241212536636E-2</v>
      </c>
      <c r="I1791" s="16">
        <v>2.2598254904990989</v>
      </c>
      <c r="J1791" s="16">
        <v>2.4401303286437197</v>
      </c>
      <c r="K1791" s="16">
        <v>0.32807980033693218</v>
      </c>
      <c r="L1791" s="16">
        <v>1.6078098431544474</v>
      </c>
      <c r="M1791" s="16">
        <v>3.0921459759883714</v>
      </c>
    </row>
    <row r="1792" spans="2:13" x14ac:dyDescent="0.35">
      <c r="B1792" s="7" t="s">
        <v>218</v>
      </c>
      <c r="C1792" s="13">
        <v>1</v>
      </c>
      <c r="D1792" s="16">
        <v>2.2624510897304302</v>
      </c>
      <c r="E1792" s="16">
        <v>2.1765637970711751</v>
      </c>
      <c r="F1792" s="16">
        <v>8.5887292659255293E-2</v>
      </c>
      <c r="G1792" s="16">
        <v>0.1612916046234848</v>
      </c>
      <c r="H1792" s="16">
        <v>5.2977166423736718E-2</v>
      </c>
      <c r="I1792" s="16">
        <v>2.0567211212082435</v>
      </c>
      <c r="J1792" s="16">
        <v>2.2964064729341067</v>
      </c>
      <c r="K1792" s="16">
        <v>0.32993138801756883</v>
      </c>
      <c r="L1792" s="16">
        <v>1.4302071483418359</v>
      </c>
      <c r="M1792" s="16">
        <v>2.9229204458005142</v>
      </c>
    </row>
    <row r="1793" spans="2:13" x14ac:dyDescent="0.35">
      <c r="B1793" s="7" t="s">
        <v>219</v>
      </c>
      <c r="C1793" s="13">
        <v>1</v>
      </c>
      <c r="D1793" s="16">
        <v>2.63648789635337</v>
      </c>
      <c r="E1793" s="16">
        <v>2.2767729527764575</v>
      </c>
      <c r="F1793" s="16">
        <v>0.35971494357691264</v>
      </c>
      <c r="G1793" s="16">
        <v>0.67552484960433024</v>
      </c>
      <c r="H1793" s="16">
        <v>5.3431144498570032E-2</v>
      </c>
      <c r="I1793" s="16">
        <v>2.1559033071651639</v>
      </c>
      <c r="J1793" s="16">
        <v>2.3976425983877512</v>
      </c>
      <c r="K1793" s="16">
        <v>0.33000458760347307</v>
      </c>
      <c r="L1793" s="16">
        <v>1.5302507150804179</v>
      </c>
      <c r="M1793" s="16">
        <v>3.0232951904724974</v>
      </c>
    </row>
    <row r="1794" spans="2:13" x14ac:dyDescent="0.35">
      <c r="B1794" s="7" t="s">
        <v>220</v>
      </c>
      <c r="C1794" s="13">
        <v>1</v>
      </c>
      <c r="D1794" s="16">
        <v>1.2304489213782701</v>
      </c>
      <c r="E1794" s="16">
        <v>1.805175205280781</v>
      </c>
      <c r="F1794" s="16">
        <v>-0.57472628390251079</v>
      </c>
      <c r="G1794" s="16">
        <v>-1.079304303113799</v>
      </c>
      <c r="H1794" s="16">
        <v>5.0389665619783149E-2</v>
      </c>
      <c r="I1794" s="16">
        <v>1.6911858628646217</v>
      </c>
      <c r="J1794" s="16">
        <v>1.9191645476969403</v>
      </c>
      <c r="K1794" s="16">
        <v>0.32952580936579889</v>
      </c>
      <c r="L1794" s="16">
        <v>1.0597360391988189</v>
      </c>
      <c r="M1794" s="16">
        <v>2.5506143713627432</v>
      </c>
    </row>
    <row r="1795" spans="2:13" x14ac:dyDescent="0.35">
      <c r="B1795" s="7" t="s">
        <v>221</v>
      </c>
      <c r="C1795" s="13">
        <v>1</v>
      </c>
      <c r="D1795" s="16">
        <v>1.6989700043360201</v>
      </c>
      <c r="E1795" s="16">
        <v>1.6933180918214015</v>
      </c>
      <c r="F1795" s="16">
        <v>5.6519125146186778E-3</v>
      </c>
      <c r="G1795" s="16">
        <v>1.0613980374152194E-2</v>
      </c>
      <c r="H1795" s="16">
        <v>4.561262903636279E-2</v>
      </c>
      <c r="I1795" s="16">
        <v>1.590135156872813</v>
      </c>
      <c r="J1795" s="16">
        <v>1.7965010267699899</v>
      </c>
      <c r="K1795" s="16">
        <v>0.32882921488900602</v>
      </c>
      <c r="L1795" s="16">
        <v>0.94945473191643404</v>
      </c>
      <c r="M1795" s="16">
        <v>2.437181451726369</v>
      </c>
    </row>
    <row r="1796" spans="2:13" x14ac:dyDescent="0.35">
      <c r="B1796" s="7" t="s">
        <v>222</v>
      </c>
      <c r="C1796" s="13">
        <v>1</v>
      </c>
      <c r="D1796" s="16">
        <v>1.1553360374650601</v>
      </c>
      <c r="E1796" s="16">
        <v>1.4752694742335239</v>
      </c>
      <c r="F1796" s="16">
        <v>-0.31993343676846386</v>
      </c>
      <c r="G1796" s="16">
        <v>-0.60081737113098999</v>
      </c>
      <c r="H1796" s="16">
        <v>6.5745175661258828E-2</v>
      </c>
      <c r="I1796" s="16">
        <v>1.3265435549704379</v>
      </c>
      <c r="J1796" s="16">
        <v>1.62399539349661</v>
      </c>
      <c r="K1796" s="16">
        <v>0.33222066275239565</v>
      </c>
      <c r="L1796" s="16">
        <v>0.7237341262922895</v>
      </c>
      <c r="M1796" s="16">
        <v>2.2268048221747585</v>
      </c>
    </row>
    <row r="1797" spans="2:13" x14ac:dyDescent="0.35">
      <c r="B1797" s="7" t="s">
        <v>223</v>
      </c>
      <c r="C1797" s="13">
        <v>1</v>
      </c>
      <c r="D1797" s="16">
        <v>1.9493900066449099</v>
      </c>
      <c r="E1797" s="16">
        <v>1.770127428550506</v>
      </c>
      <c r="F1797" s="16">
        <v>0.17926257809440396</v>
      </c>
      <c r="G1797" s="16">
        <v>0.33664524721368566</v>
      </c>
      <c r="H1797" s="16">
        <v>5.2370669423069616E-2</v>
      </c>
      <c r="I1797" s="16">
        <v>1.6516567442146679</v>
      </c>
      <c r="J1797" s="16">
        <v>1.888598112886344</v>
      </c>
      <c r="K1797" s="16">
        <v>0.32983454587524891</v>
      </c>
      <c r="L1797" s="16">
        <v>1.0239898519659298</v>
      </c>
      <c r="M1797" s="16">
        <v>2.5162650051350823</v>
      </c>
    </row>
    <row r="1798" spans="2:13" x14ac:dyDescent="0.35">
      <c r="B1798" s="7" t="s">
        <v>224</v>
      </c>
      <c r="C1798" s="13">
        <v>1</v>
      </c>
      <c r="D1798" s="16">
        <v>2.14612803567824</v>
      </c>
      <c r="E1798" s="16">
        <v>1.9470055990701185</v>
      </c>
      <c r="F1798" s="16">
        <v>0.19912243660812154</v>
      </c>
      <c r="G1798" s="16">
        <v>0.3739409675477891</v>
      </c>
      <c r="H1798" s="16">
        <v>4.3895903287692703E-2</v>
      </c>
      <c r="I1798" s="16">
        <v>1.8477061675501174</v>
      </c>
      <c r="J1798" s="16">
        <v>2.0463050305901196</v>
      </c>
      <c r="K1798" s="16">
        <v>0.3285954822610222</v>
      </c>
      <c r="L1798" s="16">
        <v>1.2036709791009568</v>
      </c>
      <c r="M1798" s="16">
        <v>2.69034021903928</v>
      </c>
    </row>
    <row r="1799" spans="2:13" x14ac:dyDescent="0.35">
      <c r="B1799" s="7" t="s">
        <v>225</v>
      </c>
      <c r="C1799" s="13">
        <v>1</v>
      </c>
      <c r="D1799" s="16">
        <v>2.6020599913279598</v>
      </c>
      <c r="E1799" s="16">
        <v>2.718458389412469</v>
      </c>
      <c r="F1799" s="16">
        <v>-0.1163983980845093</v>
      </c>
      <c r="G1799" s="16">
        <v>-0.21858977994727316</v>
      </c>
      <c r="H1799" s="16">
        <v>4.8125053170452424E-2</v>
      </c>
      <c r="I1799" s="16">
        <v>2.6095919562427112</v>
      </c>
      <c r="J1799" s="16">
        <v>2.8273248225822267</v>
      </c>
      <c r="K1799" s="16">
        <v>0.32918712213507095</v>
      </c>
      <c r="L1799" s="16">
        <v>1.9737853870714361</v>
      </c>
      <c r="M1799" s="16">
        <v>3.4631313917535018</v>
      </c>
    </row>
    <row r="1800" spans="2:13" x14ac:dyDescent="0.35">
      <c r="B1800" s="7" t="s">
        <v>226</v>
      </c>
      <c r="C1800" s="13">
        <v>1</v>
      </c>
      <c r="D1800" s="16">
        <v>1.3802112417116099</v>
      </c>
      <c r="E1800" s="16">
        <v>1.3480689639964623</v>
      </c>
      <c r="F1800" s="16">
        <v>3.214227771514757E-2</v>
      </c>
      <c r="G1800" s="16">
        <v>6.0361427033189467E-2</v>
      </c>
      <c r="H1800" s="16">
        <v>6.4049900796697243E-2</v>
      </c>
      <c r="I1800" s="16">
        <v>1.2031780228910831</v>
      </c>
      <c r="J1800" s="16">
        <v>1.4929599051018414</v>
      </c>
      <c r="K1800" s="16">
        <v>0.33188933461167147</v>
      </c>
      <c r="L1800" s="16">
        <v>0.59728313237808051</v>
      </c>
      <c r="M1800" s="16">
        <v>2.098854795614844</v>
      </c>
    </row>
    <row r="1801" spans="2:13" x14ac:dyDescent="0.35">
      <c r="B1801" s="7" t="s">
        <v>227</v>
      </c>
      <c r="C1801" s="13">
        <v>1</v>
      </c>
      <c r="D1801" s="16">
        <v>2.2041199826559201</v>
      </c>
      <c r="E1801" s="16">
        <v>2.3655317063179417</v>
      </c>
      <c r="F1801" s="16">
        <v>-0.16141172366202183</v>
      </c>
      <c r="G1801" s="16">
        <v>-0.30312232588093485</v>
      </c>
      <c r="H1801" s="16">
        <v>4.4034099655707176E-2</v>
      </c>
      <c r="I1801" s="16">
        <v>2.2659196528958003</v>
      </c>
      <c r="J1801" s="16">
        <v>2.4651437597400832</v>
      </c>
      <c r="K1801" s="16">
        <v>0.32861397196315317</v>
      </c>
      <c r="L1801" s="16">
        <v>1.6221552597368853</v>
      </c>
      <c r="M1801" s="16">
        <v>3.1089081528989979</v>
      </c>
    </row>
    <row r="1802" spans="2:13" x14ac:dyDescent="0.35">
      <c r="B1802" s="7" t="s">
        <v>228</v>
      </c>
      <c r="C1802" s="13">
        <v>1</v>
      </c>
      <c r="D1802" s="16">
        <v>1.8750612633917001</v>
      </c>
      <c r="E1802" s="16">
        <v>1.7293492081906057</v>
      </c>
      <c r="F1802" s="16">
        <v>0.14571205520109454</v>
      </c>
      <c r="G1802" s="16">
        <v>0.27363921330727514</v>
      </c>
      <c r="H1802" s="16">
        <v>5.1269249374004053E-2</v>
      </c>
      <c r="I1802" s="16">
        <v>1.6133701090949695</v>
      </c>
      <c r="J1802" s="16">
        <v>1.8453283072862419</v>
      </c>
      <c r="K1802" s="16">
        <v>0.32966145751101245</v>
      </c>
      <c r="L1802" s="16">
        <v>0.98360318468693464</v>
      </c>
      <c r="M1802" s="16">
        <v>2.4750952316942767</v>
      </c>
    </row>
    <row r="1803" spans="2:13" x14ac:dyDescent="0.35">
      <c r="B1803" s="7" t="s">
        <v>229</v>
      </c>
      <c r="C1803" s="13">
        <v>1</v>
      </c>
      <c r="D1803" s="16">
        <v>2</v>
      </c>
      <c r="E1803" s="16">
        <v>1.9058260370722364</v>
      </c>
      <c r="F1803" s="16">
        <v>9.4173962927763658E-2</v>
      </c>
      <c r="G1803" s="16">
        <v>0.1768535149272136</v>
      </c>
      <c r="H1803" s="16">
        <v>6.0513573929443225E-2</v>
      </c>
      <c r="I1803" s="16">
        <v>1.7689348230777397</v>
      </c>
      <c r="J1803" s="16">
        <v>2.0427172510667333</v>
      </c>
      <c r="K1803" s="16">
        <v>0.33122504927409319</v>
      </c>
      <c r="L1803" s="16">
        <v>1.1565429232805338</v>
      </c>
      <c r="M1803" s="16">
        <v>2.6551091508639391</v>
      </c>
    </row>
    <row r="1804" spans="2:13" x14ac:dyDescent="0.35">
      <c r="B1804" s="7" t="s">
        <v>230</v>
      </c>
      <c r="C1804" s="13">
        <v>1</v>
      </c>
      <c r="D1804" s="16">
        <v>2.3304137733491901</v>
      </c>
      <c r="E1804" s="16">
        <v>2.0781443283491225</v>
      </c>
      <c r="F1804" s="16">
        <v>0.25226944500006748</v>
      </c>
      <c r="G1804" s="16">
        <v>0.4737481217735432</v>
      </c>
      <c r="H1804" s="16">
        <v>4.7170206049348469E-2</v>
      </c>
      <c r="I1804" s="16">
        <v>1.9714379094224412</v>
      </c>
      <c r="J1804" s="16">
        <v>2.1848507472758039</v>
      </c>
      <c r="K1804" s="16">
        <v>0.32904888538885713</v>
      </c>
      <c r="L1804" s="16">
        <v>1.3337840392520626</v>
      </c>
      <c r="M1804" s="16">
        <v>2.8225046174461825</v>
      </c>
    </row>
    <row r="1805" spans="2:13" x14ac:dyDescent="0.35">
      <c r="B1805" s="7" t="s">
        <v>231</v>
      </c>
      <c r="C1805" s="13">
        <v>1</v>
      </c>
      <c r="D1805" s="16">
        <v>2.2900346113625201</v>
      </c>
      <c r="E1805" s="16">
        <v>2.2115225367721276</v>
      </c>
      <c r="F1805" s="16">
        <v>7.8512074590392458E-2</v>
      </c>
      <c r="G1805" s="16">
        <v>0.14744135134452294</v>
      </c>
      <c r="H1805" s="16">
        <v>5.0897644610970363E-2</v>
      </c>
      <c r="I1805" s="16">
        <v>2.0963840660485178</v>
      </c>
      <c r="J1805" s="16">
        <v>2.3266610074957375</v>
      </c>
      <c r="K1805" s="16">
        <v>0.32960386961298843</v>
      </c>
      <c r="L1805" s="16">
        <v>1.4659067861437802</v>
      </c>
      <c r="M1805" s="16">
        <v>2.957138287400475</v>
      </c>
    </row>
    <row r="1806" spans="2:13" x14ac:dyDescent="0.35">
      <c r="B1806" s="7" t="s">
        <v>232</v>
      </c>
      <c r="C1806" s="13">
        <v>1</v>
      </c>
      <c r="D1806" s="16">
        <v>2.5797835966168101</v>
      </c>
      <c r="E1806" s="16">
        <v>2.4574346011854784</v>
      </c>
      <c r="F1806" s="16">
        <v>0.12234899543133186</v>
      </c>
      <c r="G1806" s="16">
        <v>0.22976467398363598</v>
      </c>
      <c r="H1806" s="16">
        <v>3.8693525234945743E-2</v>
      </c>
      <c r="I1806" s="16">
        <v>2.3699037663794842</v>
      </c>
      <c r="J1806" s="16">
        <v>2.5449654359914726</v>
      </c>
      <c r="K1806" s="16">
        <v>0.32794104581771805</v>
      </c>
      <c r="L1806" s="16">
        <v>1.7155804192963844</v>
      </c>
      <c r="M1806" s="16">
        <v>3.1992887830745724</v>
      </c>
    </row>
    <row r="1807" spans="2:13" x14ac:dyDescent="0.35">
      <c r="B1807" s="7" t="s">
        <v>233</v>
      </c>
      <c r="C1807" s="13">
        <v>1</v>
      </c>
      <c r="D1807" s="16">
        <v>1.50514997831991</v>
      </c>
      <c r="E1807" s="16">
        <v>1.6478804987268649</v>
      </c>
      <c r="F1807" s="16">
        <v>-0.14273052040695483</v>
      </c>
      <c r="G1807" s="16">
        <v>-0.26804005519787444</v>
      </c>
      <c r="H1807" s="16">
        <v>5.5847993844582292E-2</v>
      </c>
      <c r="I1807" s="16">
        <v>1.521543560084702</v>
      </c>
      <c r="J1807" s="16">
        <v>1.7742174373690278</v>
      </c>
      <c r="K1807" s="16">
        <v>0.33040450822193057</v>
      </c>
      <c r="L1807" s="16">
        <v>0.90045357774396617</v>
      </c>
      <c r="M1807" s="16">
        <v>2.3953074197097637</v>
      </c>
    </row>
    <row r="1808" spans="2:13" x14ac:dyDescent="0.35">
      <c r="B1808" s="7" t="s">
        <v>234</v>
      </c>
      <c r="C1808" s="13">
        <v>1</v>
      </c>
      <c r="D1808" s="16">
        <v>2.49136169383427</v>
      </c>
      <c r="E1808" s="16">
        <v>2.5300225896668107</v>
      </c>
      <c r="F1808" s="16">
        <v>-3.8660895832540836E-2</v>
      </c>
      <c r="G1808" s="16">
        <v>-7.2603032787993516E-2</v>
      </c>
      <c r="H1808" s="16">
        <v>6.055657913530979E-2</v>
      </c>
      <c r="I1808" s="16">
        <v>2.3930340911383343</v>
      </c>
      <c r="J1808" s="16">
        <v>2.6670110881952871</v>
      </c>
      <c r="K1808" s="16">
        <v>0.33123290886245327</v>
      </c>
      <c r="L1808" s="16">
        <v>1.7807216962510957</v>
      </c>
      <c r="M1808" s="16">
        <v>3.2793234830825257</v>
      </c>
    </row>
    <row r="1809" spans="2:13" x14ac:dyDescent="0.35">
      <c r="B1809" s="7" t="s">
        <v>235</v>
      </c>
      <c r="C1809" s="13">
        <v>1</v>
      </c>
      <c r="D1809" s="16">
        <v>1.82607480270083</v>
      </c>
      <c r="E1809" s="16">
        <v>2.2589226607034139</v>
      </c>
      <c r="F1809" s="16">
        <v>-0.4328478580025838</v>
      </c>
      <c r="G1809" s="16">
        <v>-0.81286443446359735</v>
      </c>
      <c r="H1809" s="16">
        <v>3.8799301738720905E-2</v>
      </c>
      <c r="I1809" s="16">
        <v>2.1711525428230014</v>
      </c>
      <c r="J1809" s="16">
        <v>2.3466927785838263</v>
      </c>
      <c r="K1809" s="16">
        <v>0.32795354313122393</v>
      </c>
      <c r="L1809" s="16">
        <v>1.517040207927205</v>
      </c>
      <c r="M1809" s="16">
        <v>3.0008051134796228</v>
      </c>
    </row>
    <row r="1810" spans="2:13" x14ac:dyDescent="0.35">
      <c r="B1810" s="7" t="s">
        <v>236</v>
      </c>
      <c r="C1810" s="13">
        <v>1</v>
      </c>
      <c r="D1810" s="16">
        <v>2.1139433523068401</v>
      </c>
      <c r="E1810" s="16">
        <v>2.4350602960840115</v>
      </c>
      <c r="F1810" s="16">
        <v>-0.32111694377717159</v>
      </c>
      <c r="G1810" s="16">
        <v>-0.60303993210138807</v>
      </c>
      <c r="H1810" s="16">
        <v>4.2981530380749422E-2</v>
      </c>
      <c r="I1810" s="16">
        <v>2.337829319774094</v>
      </c>
      <c r="J1810" s="16">
        <v>2.532291272393929</v>
      </c>
      <c r="K1810" s="16">
        <v>0.32847458439091221</v>
      </c>
      <c r="L1810" s="16">
        <v>1.6919991660962546</v>
      </c>
      <c r="M1810" s="16">
        <v>3.1781214260717685</v>
      </c>
    </row>
    <row r="1811" spans="2:13" x14ac:dyDescent="0.35">
      <c r="B1811" s="7" t="s">
        <v>237</v>
      </c>
      <c r="C1811" s="13">
        <v>1</v>
      </c>
      <c r="D1811" s="16">
        <v>1.9493900066449099</v>
      </c>
      <c r="E1811" s="16">
        <v>1.4159732780532399</v>
      </c>
      <c r="F1811" s="16">
        <v>0.53341672859167</v>
      </c>
      <c r="G1811" s="16">
        <v>1.0017272337235448</v>
      </c>
      <c r="H1811" s="16">
        <v>6.9837872217792835E-2</v>
      </c>
      <c r="I1811" s="16">
        <v>1.2579890360080905</v>
      </c>
      <c r="J1811" s="16">
        <v>1.5739575200983893</v>
      </c>
      <c r="K1811" s="16">
        <v>0.33305475380606714</v>
      </c>
      <c r="L1811" s="16">
        <v>0.66255108507039262</v>
      </c>
      <c r="M1811" s="16">
        <v>2.1693954710360872</v>
      </c>
    </row>
    <row r="1812" spans="2:13" x14ac:dyDescent="0.35">
      <c r="B1812" s="7" t="s">
        <v>238</v>
      </c>
      <c r="C1812" s="13">
        <v>1</v>
      </c>
      <c r="D1812" s="16">
        <v>2.6127838567197399</v>
      </c>
      <c r="E1812" s="16">
        <v>2.6519835285180071</v>
      </c>
      <c r="F1812" s="16">
        <v>-3.919967179826736E-2</v>
      </c>
      <c r="G1812" s="16">
        <v>-7.3614824373849669E-2</v>
      </c>
      <c r="H1812" s="16">
        <v>4.2880777785344479E-2</v>
      </c>
      <c r="I1812" s="16">
        <v>2.5549804704122625</v>
      </c>
      <c r="J1812" s="16">
        <v>2.7489865866237517</v>
      </c>
      <c r="K1812" s="16">
        <v>0.32846141590815103</v>
      </c>
      <c r="L1812" s="16">
        <v>1.9089521877076958</v>
      </c>
      <c r="M1812" s="16">
        <v>3.3950148693283184</v>
      </c>
    </row>
    <row r="1813" spans="2:13" x14ac:dyDescent="0.35">
      <c r="B1813" s="7" t="s">
        <v>239</v>
      </c>
      <c r="C1813" s="13">
        <v>1</v>
      </c>
      <c r="D1813" s="16">
        <v>2.7007037171450201</v>
      </c>
      <c r="E1813" s="16">
        <v>2.3697044286553828</v>
      </c>
      <c r="F1813" s="16">
        <v>0.33099928848963722</v>
      </c>
      <c r="G1813" s="16">
        <v>0.62159843111520263</v>
      </c>
      <c r="H1813" s="16">
        <v>4.0742163171844162E-2</v>
      </c>
      <c r="I1813" s="16">
        <v>2.2775392528907106</v>
      </c>
      <c r="J1813" s="16">
        <v>2.461869604420055</v>
      </c>
      <c r="K1813" s="16">
        <v>0.32818906821652732</v>
      </c>
      <c r="L1813" s="16">
        <v>1.6272891811232246</v>
      </c>
      <c r="M1813" s="16">
        <v>3.1121196761875409</v>
      </c>
    </row>
    <row r="1814" spans="2:13" x14ac:dyDescent="0.35">
      <c r="B1814" s="7" t="s">
        <v>240</v>
      </c>
      <c r="C1814" s="13">
        <v>1</v>
      </c>
      <c r="D1814" s="16">
        <v>2.2304489213782701</v>
      </c>
      <c r="E1814" s="16">
        <v>2.6762548160854331</v>
      </c>
      <c r="F1814" s="16">
        <v>-0.44580589470716292</v>
      </c>
      <c r="G1814" s="16">
        <v>-0.83719891361807974</v>
      </c>
      <c r="H1814" s="16">
        <v>4.7035039581584795E-2</v>
      </c>
      <c r="I1814" s="16">
        <v>2.5698541649503732</v>
      </c>
      <c r="J1814" s="16">
        <v>2.7826554672204931</v>
      </c>
      <c r="K1814" s="16">
        <v>0.32902953603795587</v>
      </c>
      <c r="L1814" s="16">
        <v>1.9319382982608806</v>
      </c>
      <c r="M1814" s="16">
        <v>3.4205713339099857</v>
      </c>
    </row>
    <row r="1815" spans="2:13" x14ac:dyDescent="0.35">
      <c r="B1815" s="7" t="s">
        <v>241</v>
      </c>
      <c r="C1815" s="13">
        <v>1</v>
      </c>
      <c r="D1815" s="16">
        <v>1.4771212547196599</v>
      </c>
      <c r="E1815" s="16">
        <v>1.6363549868102811</v>
      </c>
      <c r="F1815" s="16">
        <v>-0.15923373209062128</v>
      </c>
      <c r="G1815" s="16">
        <v>-0.29903217768169754</v>
      </c>
      <c r="H1815" s="16">
        <v>5.22524464616934E-2</v>
      </c>
      <c r="I1815" s="16">
        <v>1.5181517413919277</v>
      </c>
      <c r="J1815" s="16">
        <v>1.7545582322286346</v>
      </c>
      <c r="K1815" s="16">
        <v>0.32981579525265825</v>
      </c>
      <c r="L1815" s="16">
        <v>0.8902598270806833</v>
      </c>
      <c r="M1815" s="16">
        <v>2.3824501465398789</v>
      </c>
    </row>
    <row r="1816" spans="2:13" x14ac:dyDescent="0.35">
      <c r="B1816" s="7" t="s">
        <v>242</v>
      </c>
      <c r="C1816" s="13">
        <v>1</v>
      </c>
      <c r="D1816" s="16">
        <v>2.3961993470957399</v>
      </c>
      <c r="E1816" s="16">
        <v>2.2933819305921532</v>
      </c>
      <c r="F1816" s="16">
        <v>0.10281741650358686</v>
      </c>
      <c r="G1816" s="16">
        <v>0.19308544462913199</v>
      </c>
      <c r="H1816" s="16">
        <v>5.6260197438150368E-2</v>
      </c>
      <c r="I1816" s="16">
        <v>2.1661125226431501</v>
      </c>
      <c r="J1816" s="16">
        <v>2.4206513385411563</v>
      </c>
      <c r="K1816" s="16">
        <v>0.3304744323736572</v>
      </c>
      <c r="L1816" s="16">
        <v>1.5457968301894014</v>
      </c>
      <c r="M1816" s="16">
        <v>3.0409670309949051</v>
      </c>
    </row>
    <row r="1817" spans="2:13" x14ac:dyDescent="0.35">
      <c r="B1817" s="7" t="s">
        <v>243</v>
      </c>
      <c r="C1817" s="13">
        <v>1</v>
      </c>
      <c r="D1817" s="16">
        <v>1.9731278535997001</v>
      </c>
      <c r="E1817" s="16">
        <v>2.3267353325429458</v>
      </c>
      <c r="F1817" s="16">
        <v>-0.35360747894324579</v>
      </c>
      <c r="G1817" s="16">
        <v>-0.66405536744410576</v>
      </c>
      <c r="H1817" s="16">
        <v>3.843424599820075E-2</v>
      </c>
      <c r="I1817" s="16">
        <v>2.239791028116449</v>
      </c>
      <c r="J1817" s="16">
        <v>2.4136796369694427</v>
      </c>
      <c r="K1817" s="16">
        <v>0.32791055472851349</v>
      </c>
      <c r="L1817" s="16">
        <v>1.5849501262893364</v>
      </c>
      <c r="M1817" s="16">
        <v>3.0685205387965553</v>
      </c>
    </row>
    <row r="1818" spans="2:13" x14ac:dyDescent="0.35">
      <c r="B1818" s="7" t="s">
        <v>244</v>
      </c>
      <c r="C1818" s="13">
        <v>1</v>
      </c>
      <c r="D1818" s="16">
        <v>2.3096301674259001</v>
      </c>
      <c r="E1818" s="16">
        <v>2.2112176565459842</v>
      </c>
      <c r="F1818" s="16">
        <v>9.8412510879916038E-2</v>
      </c>
      <c r="G1818" s="16">
        <v>0.18481327450641571</v>
      </c>
      <c r="H1818" s="16">
        <v>4.7438584574952432E-2</v>
      </c>
      <c r="I1818" s="16">
        <v>2.1039041232184443</v>
      </c>
      <c r="J1818" s="16">
        <v>2.3185311898735241</v>
      </c>
      <c r="K1818" s="16">
        <v>0.32908746549114593</v>
      </c>
      <c r="L1818" s="16">
        <v>1.4667700931946468</v>
      </c>
      <c r="M1818" s="16">
        <v>2.9556652198973214</v>
      </c>
    </row>
    <row r="1819" spans="2:13" x14ac:dyDescent="0.35">
      <c r="B1819" s="7" t="s">
        <v>245</v>
      </c>
      <c r="C1819" s="13">
        <v>1</v>
      </c>
      <c r="D1819" s="16">
        <v>2.2304489213782701</v>
      </c>
      <c r="E1819" s="16">
        <v>2.3206889719006272</v>
      </c>
      <c r="F1819" s="16">
        <v>-9.0240050522357021E-2</v>
      </c>
      <c r="G1819" s="16">
        <v>-0.16946584412434432</v>
      </c>
      <c r="H1819" s="16">
        <v>3.860755172446606E-2</v>
      </c>
      <c r="I1819" s="16">
        <v>2.2333526226861573</v>
      </c>
      <c r="J1819" s="16">
        <v>2.408025321115097</v>
      </c>
      <c r="K1819" s="16">
        <v>0.32793091297873789</v>
      </c>
      <c r="L1819" s="16">
        <v>1.5788577120856917</v>
      </c>
      <c r="M1819" s="16">
        <v>3.0625202317155624</v>
      </c>
    </row>
    <row r="1820" spans="2:13" x14ac:dyDescent="0.35">
      <c r="B1820" s="7" t="s">
        <v>246</v>
      </c>
      <c r="C1820" s="13">
        <v>1</v>
      </c>
      <c r="D1820" s="16">
        <v>2.4814426285022999</v>
      </c>
      <c r="E1820" s="16">
        <v>2.7011080981270199</v>
      </c>
      <c r="F1820" s="16">
        <v>-0.21966546962471983</v>
      </c>
      <c r="G1820" s="16">
        <v>-0.41251965196651735</v>
      </c>
      <c r="H1820" s="16">
        <v>4.2886549855102561E-2</v>
      </c>
      <c r="I1820" s="16">
        <v>2.6040919826923963</v>
      </c>
      <c r="J1820" s="16">
        <v>2.7981242135616435</v>
      </c>
      <c r="K1820" s="16">
        <v>0.32846216950416901</v>
      </c>
      <c r="L1820" s="16">
        <v>1.9580750525640875</v>
      </c>
      <c r="M1820" s="16">
        <v>3.4441411436899525</v>
      </c>
    </row>
    <row r="1821" spans="2:13" x14ac:dyDescent="0.35">
      <c r="B1821" s="7" t="s">
        <v>247</v>
      </c>
      <c r="C1821" s="13">
        <v>1</v>
      </c>
      <c r="D1821" s="16">
        <v>2.7084209001347102</v>
      </c>
      <c r="E1821" s="16">
        <v>2.5079348894145728</v>
      </c>
      <c r="F1821" s="16">
        <v>0.20048601072013728</v>
      </c>
      <c r="G1821" s="16">
        <v>0.37650168461943573</v>
      </c>
      <c r="H1821" s="16">
        <v>5.6336660501532486E-2</v>
      </c>
      <c r="I1821" s="16">
        <v>2.3804925099999554</v>
      </c>
      <c r="J1821" s="16">
        <v>2.6353772688291901</v>
      </c>
      <c r="K1821" s="16">
        <v>0.33048745808786173</v>
      </c>
      <c r="L1821" s="16">
        <v>1.760320322799287</v>
      </c>
      <c r="M1821" s="16">
        <v>3.2555494560298586</v>
      </c>
    </row>
    <row r="1822" spans="2:13" x14ac:dyDescent="0.35">
      <c r="B1822" s="7" t="s">
        <v>248</v>
      </c>
      <c r="C1822" s="13">
        <v>1</v>
      </c>
      <c r="D1822" s="16">
        <v>2.1789769472931702</v>
      </c>
      <c r="E1822" s="16">
        <v>2.1729222334656964</v>
      </c>
      <c r="F1822" s="16">
        <v>6.0547138274737672E-3</v>
      </c>
      <c r="G1822" s="16">
        <v>1.1370419051903932E-2</v>
      </c>
      <c r="H1822" s="16">
        <v>3.8947406280105526E-2</v>
      </c>
      <c r="I1822" s="16">
        <v>2.0848170798379013</v>
      </c>
      <c r="J1822" s="16">
        <v>2.2610273870934914</v>
      </c>
      <c r="K1822" s="16">
        <v>0.32797109795355267</v>
      </c>
      <c r="L1822" s="16">
        <v>1.4310000689226225</v>
      </c>
      <c r="M1822" s="16">
        <v>2.9148443980087704</v>
      </c>
    </row>
    <row r="1823" spans="2:13" x14ac:dyDescent="0.35">
      <c r="B1823" s="7" t="s">
        <v>249</v>
      </c>
      <c r="C1823" s="13">
        <v>1</v>
      </c>
      <c r="D1823" s="16">
        <v>2.33645973384853</v>
      </c>
      <c r="E1823" s="16">
        <v>2.1819792753723197</v>
      </c>
      <c r="F1823" s="16">
        <v>0.15448045847621047</v>
      </c>
      <c r="G1823" s="16">
        <v>0.29010579166177247</v>
      </c>
      <c r="H1823" s="16">
        <v>3.9609116356200701E-2</v>
      </c>
      <c r="I1823" s="16">
        <v>2.0923772295640251</v>
      </c>
      <c r="J1823" s="16">
        <v>2.2715813211806144</v>
      </c>
      <c r="K1823" s="16">
        <v>0.32805033567339986</v>
      </c>
      <c r="L1823" s="16">
        <v>1.439877862654668</v>
      </c>
      <c r="M1823" s="16">
        <v>2.9240806880899717</v>
      </c>
    </row>
    <row r="1824" spans="2:13" x14ac:dyDescent="0.35">
      <c r="B1824" s="7" t="s">
        <v>250</v>
      </c>
      <c r="C1824" s="13">
        <v>1</v>
      </c>
      <c r="D1824" s="16">
        <v>2.4712917110589401</v>
      </c>
      <c r="E1824" s="16">
        <v>2.4875134846261009</v>
      </c>
      <c r="F1824" s="16">
        <v>-1.622177356716074E-2</v>
      </c>
      <c r="G1824" s="16">
        <v>-3.0463597203680595E-2</v>
      </c>
      <c r="H1824" s="16">
        <v>5.922675615644972E-2</v>
      </c>
      <c r="I1824" s="16">
        <v>2.3535332546587608</v>
      </c>
      <c r="J1824" s="16">
        <v>2.6214937145934409</v>
      </c>
      <c r="K1824" s="16">
        <v>0.33099237042827251</v>
      </c>
      <c r="L1824" s="16">
        <v>1.738756726949348</v>
      </c>
      <c r="M1824" s="16">
        <v>3.2362702423028535</v>
      </c>
    </row>
    <row r="1825" spans="2:13" x14ac:dyDescent="0.35">
      <c r="B1825" s="7" t="s">
        <v>251</v>
      </c>
      <c r="C1825" s="13">
        <v>1</v>
      </c>
      <c r="D1825" s="16">
        <v>2.0086001717619202</v>
      </c>
      <c r="E1825" s="16">
        <v>2.2009124636100807</v>
      </c>
      <c r="F1825" s="16">
        <v>-0.19231229184816062</v>
      </c>
      <c r="G1825" s="16">
        <v>-0.36115189081661164</v>
      </c>
      <c r="H1825" s="16">
        <v>4.3419006852731368E-2</v>
      </c>
      <c r="I1825" s="16">
        <v>2.1026918467706937</v>
      </c>
      <c r="J1825" s="16">
        <v>2.2991330804494678</v>
      </c>
      <c r="K1825" s="16">
        <v>0.32853211531445264</v>
      </c>
      <c r="L1825" s="16">
        <v>1.4577211896322357</v>
      </c>
      <c r="M1825" s="16">
        <v>2.944103737587926</v>
      </c>
    </row>
    <row r="1826" spans="2:13" x14ac:dyDescent="0.35">
      <c r="B1826" s="7" t="s">
        <v>252</v>
      </c>
      <c r="C1826" s="13">
        <v>1</v>
      </c>
      <c r="D1826" s="16">
        <v>2.59769518592551</v>
      </c>
      <c r="E1826" s="16">
        <v>2.4236504783591566</v>
      </c>
      <c r="F1826" s="16">
        <v>0.1740447075663534</v>
      </c>
      <c r="G1826" s="16">
        <v>0.32684637378166609</v>
      </c>
      <c r="H1826" s="16">
        <v>5.9302871555183052E-2</v>
      </c>
      <c r="I1826" s="16">
        <v>2.2894980633982738</v>
      </c>
      <c r="J1826" s="16">
        <v>2.5578028933200394</v>
      </c>
      <c r="K1826" s="16">
        <v>0.33100599875470804</v>
      </c>
      <c r="L1826" s="16">
        <v>1.6748628912663019</v>
      </c>
      <c r="M1826" s="16">
        <v>3.1724380654520115</v>
      </c>
    </row>
    <row r="1827" spans="2:13" x14ac:dyDescent="0.35">
      <c r="B1827" s="7" t="s">
        <v>253</v>
      </c>
      <c r="C1827" s="13">
        <v>1</v>
      </c>
      <c r="D1827" s="16">
        <v>2.4623979978989601</v>
      </c>
      <c r="E1827" s="16">
        <v>2.5019727081193017</v>
      </c>
      <c r="F1827" s="16">
        <v>-3.9574710220341598E-2</v>
      </c>
      <c r="G1827" s="16">
        <v>-7.4319125871997946E-2</v>
      </c>
      <c r="H1827" s="16">
        <v>5.9319789503755667E-2</v>
      </c>
      <c r="I1827" s="16">
        <v>2.367782022100076</v>
      </c>
      <c r="J1827" s="16">
        <v>2.6361633941385274</v>
      </c>
      <c r="K1827" s="16">
        <v>0.33100903018449684</v>
      </c>
      <c r="L1827" s="16">
        <v>1.7531782634558728</v>
      </c>
      <c r="M1827" s="16">
        <v>3.2507671527827307</v>
      </c>
    </row>
    <row r="1828" spans="2:13" x14ac:dyDescent="0.35">
      <c r="B1828" s="7" t="s">
        <v>254</v>
      </c>
      <c r="C1828" s="13">
        <v>1</v>
      </c>
      <c r="D1828" s="16">
        <v>2.3201462861110498</v>
      </c>
      <c r="E1828" s="16">
        <v>2.4992122191230579</v>
      </c>
      <c r="F1828" s="16">
        <v>-0.17906593301200799</v>
      </c>
      <c r="G1828" s="16">
        <v>-0.33627595858088638</v>
      </c>
      <c r="H1828" s="16">
        <v>5.9928874269261481E-2</v>
      </c>
      <c r="I1828" s="16">
        <v>2.3636436876460039</v>
      </c>
      <c r="J1828" s="16">
        <v>2.634780750600112</v>
      </c>
      <c r="K1828" s="16">
        <v>0.33111872584934277</v>
      </c>
      <c r="L1828" s="16">
        <v>1.7501696256269685</v>
      </c>
      <c r="M1828" s="16">
        <v>3.2482548126191473</v>
      </c>
    </row>
    <row r="1829" spans="2:13" x14ac:dyDescent="0.35">
      <c r="B1829" s="7" t="s">
        <v>255</v>
      </c>
      <c r="C1829" s="13">
        <v>1</v>
      </c>
      <c r="D1829" s="16">
        <v>2.5611013836490599</v>
      </c>
      <c r="E1829" s="16">
        <v>2.449370856375749</v>
      </c>
      <c r="F1829" s="16">
        <v>0.1117305272733107</v>
      </c>
      <c r="G1829" s="16">
        <v>0.20982377568747745</v>
      </c>
      <c r="H1829" s="16">
        <v>6.0224469000250032E-2</v>
      </c>
      <c r="I1829" s="16">
        <v>2.3131336431642038</v>
      </c>
      <c r="J1829" s="16">
        <v>2.5856080695872943</v>
      </c>
      <c r="K1829" s="16">
        <v>0.33117235286671098</v>
      </c>
      <c r="L1829" s="16">
        <v>1.7002069501388357</v>
      </c>
      <c r="M1829" s="16">
        <v>3.1985347626126623</v>
      </c>
    </row>
    <row r="1830" spans="2:13" x14ac:dyDescent="0.35">
      <c r="B1830" s="7" t="s">
        <v>256</v>
      </c>
      <c r="C1830" s="13">
        <v>1</v>
      </c>
      <c r="D1830" s="16">
        <v>3.17609125905568</v>
      </c>
      <c r="E1830" s="16">
        <v>2.1844145046467656</v>
      </c>
      <c r="F1830" s="16">
        <v>0.99167675440891434</v>
      </c>
      <c r="G1830" s="16">
        <v>1.8623143195466294</v>
      </c>
      <c r="H1830" s="16">
        <v>3.6272727743128369E-2</v>
      </c>
      <c r="I1830" s="16">
        <v>2.1023598941979063</v>
      </c>
      <c r="J1830" s="16">
        <v>2.2664691150956249</v>
      </c>
      <c r="K1830" s="16">
        <v>0.32766423578846438</v>
      </c>
      <c r="L1830" s="16">
        <v>1.4431865105448045</v>
      </c>
      <c r="M1830" s="16">
        <v>2.9256424987487266</v>
      </c>
    </row>
    <row r="1831" spans="2:13" x14ac:dyDescent="0.35">
      <c r="B1831" s="7" t="s">
        <v>257</v>
      </c>
      <c r="C1831" s="13">
        <v>1</v>
      </c>
      <c r="D1831" s="16">
        <v>1.8573324964312701</v>
      </c>
      <c r="E1831" s="16">
        <v>1.8832943494540659</v>
      </c>
      <c r="F1831" s="16">
        <v>-2.5961853022795949E-2</v>
      </c>
      <c r="G1831" s="16">
        <v>-4.8754929901665564E-2</v>
      </c>
      <c r="H1831" s="16">
        <v>3.9778842820288374E-2</v>
      </c>
      <c r="I1831" s="16">
        <v>1.7933083557113287</v>
      </c>
      <c r="J1831" s="16">
        <v>1.9732803431968031</v>
      </c>
      <c r="K1831" s="16">
        <v>0.32807087187531975</v>
      </c>
      <c r="L1831" s="16">
        <v>1.1411464806203877</v>
      </c>
      <c r="M1831" s="16">
        <v>2.6254422182877439</v>
      </c>
    </row>
    <row r="1832" spans="2:13" x14ac:dyDescent="0.35">
      <c r="B1832" s="7" t="s">
        <v>258</v>
      </c>
      <c r="C1832" s="13">
        <v>1</v>
      </c>
      <c r="D1832" s="16">
        <v>2.3324384599156098</v>
      </c>
      <c r="E1832" s="16">
        <v>2.215858007965775</v>
      </c>
      <c r="F1832" s="16">
        <v>0.1165804519498347</v>
      </c>
      <c r="G1832" s="16">
        <v>0.21893166707815218</v>
      </c>
      <c r="H1832" s="16">
        <v>3.9476530718121933E-2</v>
      </c>
      <c r="I1832" s="16">
        <v>2.1265558917067748</v>
      </c>
      <c r="J1832" s="16">
        <v>2.3051601242247752</v>
      </c>
      <c r="K1832" s="16">
        <v>0.32803435355835836</v>
      </c>
      <c r="L1832" s="16">
        <v>1.4737927493039518</v>
      </c>
      <c r="M1832" s="16">
        <v>2.9579232666275983</v>
      </c>
    </row>
    <row r="1833" spans="2:13" x14ac:dyDescent="0.35">
      <c r="B1833" s="7" t="s">
        <v>259</v>
      </c>
      <c r="C1833" s="13">
        <v>1</v>
      </c>
      <c r="D1833" s="16">
        <v>2.3263358609287499</v>
      </c>
      <c r="E1833" s="16">
        <v>2.308597405099198</v>
      </c>
      <c r="F1833" s="16">
        <v>1.7738455829551743E-2</v>
      </c>
      <c r="G1833" s="16">
        <v>3.3311842947967199E-2</v>
      </c>
      <c r="H1833" s="16">
        <v>4.2547361486840456E-2</v>
      </c>
      <c r="I1833" s="16">
        <v>2.21234858705736</v>
      </c>
      <c r="J1833" s="16">
        <v>2.4048462231410359</v>
      </c>
      <c r="K1833" s="16">
        <v>0.32841805462916185</v>
      </c>
      <c r="L1833" s="16">
        <v>1.5656641543162266</v>
      </c>
      <c r="M1833" s="16">
        <v>3.0515306558821695</v>
      </c>
    </row>
    <row r="1834" spans="2:13" x14ac:dyDescent="0.35">
      <c r="B1834" s="7" t="s">
        <v>260</v>
      </c>
      <c r="C1834" s="13">
        <v>1</v>
      </c>
      <c r="D1834" s="16">
        <v>2.1139433523068401</v>
      </c>
      <c r="E1834" s="16">
        <v>2.2486394886182155</v>
      </c>
      <c r="F1834" s="16">
        <v>-0.13469613631137536</v>
      </c>
      <c r="G1834" s="16">
        <v>-0.2529519244300481</v>
      </c>
      <c r="H1834" s="16">
        <v>4.6671202650765603E-2</v>
      </c>
      <c r="I1834" s="16">
        <v>2.1430618937979906</v>
      </c>
      <c r="J1834" s="16">
        <v>2.3542170834384404</v>
      </c>
      <c r="K1834" s="16">
        <v>0.32897772233660455</v>
      </c>
      <c r="L1834" s="16">
        <v>1.5044401815286925</v>
      </c>
      <c r="M1834" s="16">
        <v>2.9928387957077387</v>
      </c>
    </row>
    <row r="1835" spans="2:13" x14ac:dyDescent="0.35">
      <c r="B1835" s="7" t="s">
        <v>261</v>
      </c>
      <c r="C1835" s="13">
        <v>1</v>
      </c>
      <c r="D1835" s="16">
        <v>2.2148438480477002</v>
      </c>
      <c r="E1835" s="16">
        <v>1.9140580720509235</v>
      </c>
      <c r="F1835" s="16">
        <v>0.30078577599677675</v>
      </c>
      <c r="G1835" s="16">
        <v>0.56485911892592688</v>
      </c>
      <c r="H1835" s="16">
        <v>4.8513281979111436E-2</v>
      </c>
      <c r="I1835" s="16">
        <v>1.8043134043054498</v>
      </c>
      <c r="J1835" s="16">
        <v>2.0238027397963974</v>
      </c>
      <c r="K1835" s="16">
        <v>0.32924410270389964</v>
      </c>
      <c r="L1835" s="16">
        <v>1.1692561707086493</v>
      </c>
      <c r="M1835" s="16">
        <v>2.6588599733931977</v>
      </c>
    </row>
    <row r="1836" spans="2:13" x14ac:dyDescent="0.35">
      <c r="B1836" s="7" t="s">
        <v>262</v>
      </c>
      <c r="C1836" s="13">
        <v>1</v>
      </c>
      <c r="D1836" s="16">
        <v>2.2405492482825999</v>
      </c>
      <c r="E1836" s="16">
        <v>2.2804561305613613</v>
      </c>
      <c r="F1836" s="16">
        <v>-3.9906882278761401E-2</v>
      </c>
      <c r="G1836" s="16">
        <v>-7.4942926700441476E-2</v>
      </c>
      <c r="H1836" s="16">
        <v>3.9560451846424191E-2</v>
      </c>
      <c r="I1836" s="16">
        <v>2.1909641715218555</v>
      </c>
      <c r="J1836" s="16">
        <v>2.3699480896008671</v>
      </c>
      <c r="K1836" s="16">
        <v>0.32804446343019489</v>
      </c>
      <c r="L1836" s="16">
        <v>1.5383680017806678</v>
      </c>
      <c r="M1836" s="16">
        <v>3.0225442593420548</v>
      </c>
    </row>
    <row r="1837" spans="2:13" x14ac:dyDescent="0.35">
      <c r="B1837" s="7" t="s">
        <v>263</v>
      </c>
      <c r="C1837" s="13">
        <v>1</v>
      </c>
      <c r="D1837" s="16">
        <v>1.86923171973098</v>
      </c>
      <c r="E1837" s="16">
        <v>2.1998312123410004</v>
      </c>
      <c r="F1837" s="16">
        <v>-0.33059949261002064</v>
      </c>
      <c r="G1837" s="16">
        <v>-0.62084763647552232</v>
      </c>
      <c r="H1837" s="16">
        <v>3.8038198890321472E-2</v>
      </c>
      <c r="I1837" s="16">
        <v>2.1137828287117091</v>
      </c>
      <c r="J1837" s="16">
        <v>2.2858795959702918</v>
      </c>
      <c r="K1837" s="16">
        <v>0.32786437014675884</v>
      </c>
      <c r="L1837" s="16">
        <v>1.4581504828692713</v>
      </c>
      <c r="M1837" s="16">
        <v>2.9415119418127293</v>
      </c>
    </row>
    <row r="1838" spans="2:13" x14ac:dyDescent="0.35">
      <c r="B1838" s="7" t="s">
        <v>264</v>
      </c>
      <c r="C1838" s="13">
        <v>1</v>
      </c>
      <c r="D1838" s="16">
        <v>2.0334237554869499</v>
      </c>
      <c r="E1838" s="16">
        <v>2.0654764611756784</v>
      </c>
      <c r="F1838" s="16">
        <v>-3.2052705688728471E-2</v>
      </c>
      <c r="G1838" s="16">
        <v>-6.0193215701533791E-2</v>
      </c>
      <c r="H1838" s="16">
        <v>4.5033315372022063E-2</v>
      </c>
      <c r="I1838" s="16">
        <v>1.963604024775526</v>
      </c>
      <c r="J1838" s="16">
        <v>2.167348897575831</v>
      </c>
      <c r="K1838" s="16">
        <v>0.32874935761200696</v>
      </c>
      <c r="L1838" s="16">
        <v>1.3217937509809303</v>
      </c>
      <c r="M1838" s="16">
        <v>2.8091591713704265</v>
      </c>
    </row>
    <row r="1839" spans="2:13" x14ac:dyDescent="0.35">
      <c r="B1839" s="7" t="s">
        <v>265</v>
      </c>
      <c r="C1839" s="13">
        <v>1</v>
      </c>
      <c r="D1839" s="16">
        <v>1.77085201164214</v>
      </c>
      <c r="E1839" s="16">
        <v>2.3070205800632846</v>
      </c>
      <c r="F1839" s="16">
        <v>-0.53616856842114458</v>
      </c>
      <c r="G1839" s="16">
        <v>-1.0068950373417549</v>
      </c>
      <c r="H1839" s="16">
        <v>4.1190630785655581E-2</v>
      </c>
      <c r="I1839" s="16">
        <v>2.213840900079056</v>
      </c>
      <c r="J1839" s="16">
        <v>2.4002002600475132</v>
      </c>
      <c r="K1839" s="16">
        <v>0.32824504368144153</v>
      </c>
      <c r="L1839" s="16">
        <v>1.5644787072328927</v>
      </c>
      <c r="M1839" s="16">
        <v>3.0495624528936762</v>
      </c>
    </row>
    <row r="1840" spans="2:13" x14ac:dyDescent="0.35">
      <c r="B1840" s="7" t="s">
        <v>266</v>
      </c>
      <c r="C1840" s="13">
        <v>1</v>
      </c>
      <c r="D1840" s="16">
        <v>1.3802112417116099</v>
      </c>
      <c r="E1840" s="16">
        <v>2.0410822034128038</v>
      </c>
      <c r="F1840" s="16">
        <v>-0.66087096170119397</v>
      </c>
      <c r="G1840" s="16">
        <v>-1.2410792628514014</v>
      </c>
      <c r="H1840" s="16">
        <v>5.642701939507834E-2</v>
      </c>
      <c r="I1840" s="16">
        <v>1.9134354179809991</v>
      </c>
      <c r="J1840" s="16">
        <v>2.1687289888446086</v>
      </c>
      <c r="K1840" s="16">
        <v>0.33050287314140525</v>
      </c>
      <c r="L1840" s="16">
        <v>1.293432765523912</v>
      </c>
      <c r="M1840" s="16">
        <v>2.7887316413016956</v>
      </c>
    </row>
    <row r="1841" spans="2:13" x14ac:dyDescent="0.35">
      <c r="B1841" s="7" t="s">
        <v>267</v>
      </c>
      <c r="C1841" s="13">
        <v>1</v>
      </c>
      <c r="D1841" s="16">
        <v>1.8573324964312701</v>
      </c>
      <c r="E1841" s="16">
        <v>2.3436234475976487</v>
      </c>
      <c r="F1841" s="16">
        <v>-0.4862909511663786</v>
      </c>
      <c r="G1841" s="16">
        <v>-0.91322761958143639</v>
      </c>
      <c r="H1841" s="16">
        <v>5.1438225168139652E-2</v>
      </c>
      <c r="I1841" s="16">
        <v>2.2272620987009697</v>
      </c>
      <c r="J1841" s="16">
        <v>2.4599847964943278</v>
      </c>
      <c r="K1841" s="16">
        <v>0.32968777903549817</v>
      </c>
      <c r="L1841" s="16">
        <v>1.5978178806691381</v>
      </c>
      <c r="M1841" s="16">
        <v>3.0894290145261594</v>
      </c>
    </row>
    <row r="1842" spans="2:13" x14ac:dyDescent="0.35">
      <c r="B1842" s="7" t="s">
        <v>268</v>
      </c>
      <c r="C1842" s="13">
        <v>1</v>
      </c>
      <c r="D1842" s="16">
        <v>2.17609125905568</v>
      </c>
      <c r="E1842" s="16">
        <v>2.0834699636577794</v>
      </c>
      <c r="F1842" s="16">
        <v>9.2621295397900552E-2</v>
      </c>
      <c r="G1842" s="16">
        <v>0.17393769083281638</v>
      </c>
      <c r="H1842" s="16">
        <v>6.5967017626724758E-2</v>
      </c>
      <c r="I1842" s="16">
        <v>1.9342422030061321</v>
      </c>
      <c r="J1842" s="16">
        <v>2.2326977243094266</v>
      </c>
      <c r="K1842" s="16">
        <v>0.33226463557152125</v>
      </c>
      <c r="L1842" s="16">
        <v>1.3318351422893122</v>
      </c>
      <c r="M1842" s="16">
        <v>2.8351047850262465</v>
      </c>
    </row>
    <row r="1843" spans="2:13" x14ac:dyDescent="0.35">
      <c r="B1843" s="7" t="s">
        <v>269</v>
      </c>
      <c r="C1843" s="13">
        <v>1</v>
      </c>
      <c r="D1843" s="16">
        <v>2.2624510897304302</v>
      </c>
      <c r="E1843" s="16">
        <v>2.1975723283882802</v>
      </c>
      <c r="F1843" s="16">
        <v>6.4878761342149871E-2</v>
      </c>
      <c r="G1843" s="16">
        <v>0.12183874003777685</v>
      </c>
      <c r="H1843" s="16">
        <v>4.0875109612103347E-2</v>
      </c>
      <c r="I1843" s="16">
        <v>2.1051064068830811</v>
      </c>
      <c r="J1843" s="16">
        <v>2.2900382498934793</v>
      </c>
      <c r="K1843" s="16">
        <v>0.32820559901182778</v>
      </c>
      <c r="L1843" s="16">
        <v>1.4551196855993223</v>
      </c>
      <c r="M1843" s="16">
        <v>2.9400249711772384</v>
      </c>
    </row>
    <row r="1844" spans="2:13" x14ac:dyDescent="0.35">
      <c r="B1844" s="7" t="s">
        <v>270</v>
      </c>
      <c r="C1844" s="13">
        <v>1</v>
      </c>
      <c r="D1844" s="16">
        <v>2.63648789635337</v>
      </c>
      <c r="E1844" s="16">
        <v>2.2375302817921896</v>
      </c>
      <c r="F1844" s="16">
        <v>0.39895761456118028</v>
      </c>
      <c r="G1844" s="16">
        <v>0.74922042408093381</v>
      </c>
      <c r="H1844" s="16">
        <v>4.6581668002510214E-2</v>
      </c>
      <c r="I1844" s="16">
        <v>2.132155228416774</v>
      </c>
      <c r="J1844" s="16">
        <v>2.3429053351676052</v>
      </c>
      <c r="K1844" s="16">
        <v>0.32896503223109802</v>
      </c>
      <c r="L1844" s="16">
        <v>1.4933596817155848</v>
      </c>
      <c r="M1844" s="16">
        <v>2.9817008818687945</v>
      </c>
    </row>
    <row r="1845" spans="2:13" x14ac:dyDescent="0.35">
      <c r="B1845" s="7" t="s">
        <v>271</v>
      </c>
      <c r="C1845" s="13">
        <v>1</v>
      </c>
      <c r="D1845" s="16">
        <v>2.3820170425748701</v>
      </c>
      <c r="E1845" s="16">
        <v>2.3130172603217201</v>
      </c>
      <c r="F1845" s="16">
        <v>6.8999782253149844E-2</v>
      </c>
      <c r="G1845" s="16">
        <v>0.12957779030752001</v>
      </c>
      <c r="H1845" s="16">
        <v>5.3797308958722652E-2</v>
      </c>
      <c r="I1845" s="16">
        <v>2.1913192931584655</v>
      </c>
      <c r="J1845" s="16">
        <v>2.4347152274849746</v>
      </c>
      <c r="K1845" s="16">
        <v>0.33006407118635545</v>
      </c>
      <c r="L1845" s="16">
        <v>1.5663604614132984</v>
      </c>
      <c r="M1845" s="16">
        <v>3.0596740592301419</v>
      </c>
    </row>
    <row r="1846" spans="2:13" x14ac:dyDescent="0.35">
      <c r="B1846" s="7" t="s">
        <v>272</v>
      </c>
      <c r="C1846" s="13">
        <v>1</v>
      </c>
      <c r="D1846" s="16">
        <v>2.1492191126553801</v>
      </c>
      <c r="E1846" s="16">
        <v>2.2088857974465759</v>
      </c>
      <c r="F1846" s="16">
        <v>-5.9666684791195669E-2</v>
      </c>
      <c r="G1846" s="16">
        <v>-0.11205074737559052</v>
      </c>
      <c r="H1846" s="16">
        <v>4.3197499863074529E-2</v>
      </c>
      <c r="I1846" s="16">
        <v>2.1111662642278279</v>
      </c>
      <c r="J1846" s="16">
        <v>2.3066053306653238</v>
      </c>
      <c r="K1846" s="16">
        <v>0.32850291419001382</v>
      </c>
      <c r="L1846" s="16">
        <v>1.465760581001196</v>
      </c>
      <c r="M1846" s="16">
        <v>2.9520110138919557</v>
      </c>
    </row>
    <row r="1847" spans="2:13" x14ac:dyDescent="0.35">
      <c r="B1847" s="7" t="s">
        <v>273</v>
      </c>
      <c r="C1847" s="13">
        <v>1</v>
      </c>
      <c r="D1847" s="16">
        <v>2.2174839442139098</v>
      </c>
      <c r="E1847" s="16">
        <v>2.2547785891623158</v>
      </c>
      <c r="F1847" s="16">
        <v>-3.7294644948406022E-2</v>
      </c>
      <c r="G1847" s="16">
        <v>-7.0037288885753834E-2</v>
      </c>
      <c r="H1847" s="16">
        <v>4.067959496495431E-2</v>
      </c>
      <c r="I1847" s="16">
        <v>2.1627549525142822</v>
      </c>
      <c r="J1847" s="16">
        <v>2.3468022258103494</v>
      </c>
      <c r="K1847" s="16">
        <v>0.32818130672453605</v>
      </c>
      <c r="L1847" s="16">
        <v>1.5123808993447678</v>
      </c>
      <c r="M1847" s="16">
        <v>2.9971762789798637</v>
      </c>
    </row>
    <row r="1848" spans="2:13" x14ac:dyDescent="0.35">
      <c r="B1848" s="7" t="s">
        <v>274</v>
      </c>
      <c r="C1848" s="13">
        <v>1</v>
      </c>
      <c r="D1848" s="16">
        <v>2.3096301674259001</v>
      </c>
      <c r="E1848" s="16">
        <v>2.2676255454717045</v>
      </c>
      <c r="F1848" s="16">
        <v>4.2004621954195499E-2</v>
      </c>
      <c r="G1848" s="16">
        <v>7.8882366259625844E-2</v>
      </c>
      <c r="H1848" s="16">
        <v>4.0667698785935152E-2</v>
      </c>
      <c r="I1848" s="16">
        <v>2.1756288198501079</v>
      </c>
      <c r="J1848" s="16">
        <v>2.359622271093301</v>
      </c>
      <c r="K1848" s="16">
        <v>0.32817983235027531</v>
      </c>
      <c r="L1848" s="16">
        <v>1.5252311909204337</v>
      </c>
      <c r="M1848" s="16">
        <v>3.010019900022975</v>
      </c>
    </row>
    <row r="1849" spans="2:13" x14ac:dyDescent="0.35">
      <c r="B1849" s="7" t="s">
        <v>275</v>
      </c>
      <c r="C1849" s="13">
        <v>1</v>
      </c>
      <c r="D1849" s="16">
        <v>2.3729120029701098</v>
      </c>
      <c r="E1849" s="16">
        <v>2.2568637716440954</v>
      </c>
      <c r="F1849" s="16">
        <v>0.11604823132601468</v>
      </c>
      <c r="G1849" s="16">
        <v>0.21793218606330392</v>
      </c>
      <c r="H1849" s="16">
        <v>4.0378627773209219E-2</v>
      </c>
      <c r="I1849" s="16">
        <v>2.1655209700810714</v>
      </c>
      <c r="J1849" s="16">
        <v>2.3482065732071193</v>
      </c>
      <c r="K1849" s="16">
        <v>0.32814413634523271</v>
      </c>
      <c r="L1849" s="16">
        <v>1.5145501670658925</v>
      </c>
      <c r="M1849" s="16">
        <v>2.9991773762222982</v>
      </c>
    </row>
    <row r="1850" spans="2:13" x14ac:dyDescent="0.35">
      <c r="B1850" s="7" t="s">
        <v>276</v>
      </c>
      <c r="C1850" s="13">
        <v>1</v>
      </c>
      <c r="D1850" s="16">
        <v>2.45636603312904</v>
      </c>
      <c r="E1850" s="16">
        <v>2.2652185450612756</v>
      </c>
      <c r="F1850" s="16">
        <v>0.19114748806776444</v>
      </c>
      <c r="G1850" s="16">
        <v>0.35896445347873956</v>
      </c>
      <c r="H1850" s="16">
        <v>3.9825702945565006E-2</v>
      </c>
      <c r="I1850" s="16">
        <v>2.175126546351049</v>
      </c>
      <c r="J1850" s="16">
        <v>2.3553105437715023</v>
      </c>
      <c r="K1850" s="16">
        <v>0.32807655699854515</v>
      </c>
      <c r="L1850" s="16">
        <v>1.5230578155854388</v>
      </c>
      <c r="M1850" s="16">
        <v>3.0073792745371124</v>
      </c>
    </row>
    <row r="1851" spans="2:13" x14ac:dyDescent="0.35">
      <c r="B1851" s="7" t="s">
        <v>277</v>
      </c>
      <c r="C1851" s="13">
        <v>1</v>
      </c>
      <c r="D1851" s="16">
        <v>2.5352941200427699</v>
      </c>
      <c r="E1851" s="16">
        <v>2.5121412808833408</v>
      </c>
      <c r="F1851" s="16">
        <v>2.3152839159429072E-2</v>
      </c>
      <c r="G1851" s="16">
        <v>4.3479756597163521E-2</v>
      </c>
      <c r="H1851" s="16">
        <v>5.926109234400509E-2</v>
      </c>
      <c r="I1851" s="16">
        <v>2.3780833770637857</v>
      </c>
      <c r="J1851" s="16">
        <v>2.6461991847028958</v>
      </c>
      <c r="K1851" s="16">
        <v>0.33099851616391868</v>
      </c>
      <c r="L1851" s="16">
        <v>1.7633706205867479</v>
      </c>
      <c r="M1851" s="16">
        <v>3.2609119411799337</v>
      </c>
    </row>
    <row r="1852" spans="2:13" x14ac:dyDescent="0.35">
      <c r="B1852" s="7" t="s">
        <v>278</v>
      </c>
      <c r="C1852" s="13">
        <v>1</v>
      </c>
      <c r="D1852" s="16">
        <v>2.6541765418779599</v>
      </c>
      <c r="E1852" s="16">
        <v>2.6260919180842635</v>
      </c>
      <c r="F1852" s="16">
        <v>2.8084623793696618E-2</v>
      </c>
      <c r="G1852" s="16">
        <v>5.2741376479330568E-2</v>
      </c>
      <c r="H1852" s="16">
        <v>3.9105525989906131E-2</v>
      </c>
      <c r="I1852" s="16">
        <v>2.5376290728242354</v>
      </c>
      <c r="J1852" s="16">
        <v>2.7145547633442915</v>
      </c>
      <c r="K1852" s="16">
        <v>0.32798991264954852</v>
      </c>
      <c r="L1852" s="16">
        <v>1.8841271917420994</v>
      </c>
      <c r="M1852" s="16">
        <v>3.3680566444264275</v>
      </c>
    </row>
    <row r="1853" spans="2:13" x14ac:dyDescent="0.35">
      <c r="B1853" s="7" t="s">
        <v>279</v>
      </c>
      <c r="C1853" s="13">
        <v>1</v>
      </c>
      <c r="D1853" s="16">
        <v>2.9532763366673001</v>
      </c>
      <c r="E1853" s="16">
        <v>2.6452179457754239</v>
      </c>
      <c r="F1853" s="16">
        <v>0.3080583908918762</v>
      </c>
      <c r="G1853" s="16">
        <v>0.57851668909632448</v>
      </c>
      <c r="H1853" s="16">
        <v>4.0656155172126306E-2</v>
      </c>
      <c r="I1853" s="16">
        <v>2.5532473336223531</v>
      </c>
      <c r="J1853" s="16">
        <v>2.7371885579284947</v>
      </c>
      <c r="K1853" s="16">
        <v>0.32817840207772853</v>
      </c>
      <c r="L1853" s="16">
        <v>1.9028268267254227</v>
      </c>
      <c r="M1853" s="16">
        <v>3.3876090648254253</v>
      </c>
    </row>
    <row r="1854" spans="2:13" x14ac:dyDescent="0.35">
      <c r="B1854" s="7" t="s">
        <v>280</v>
      </c>
      <c r="C1854" s="13">
        <v>1</v>
      </c>
      <c r="D1854" s="16">
        <v>2.6720978579357202</v>
      </c>
      <c r="E1854" s="16">
        <v>2.7313491182206544</v>
      </c>
      <c r="F1854" s="16">
        <v>-5.925126028493443E-2</v>
      </c>
      <c r="G1854" s="16">
        <v>-0.11127060303595433</v>
      </c>
      <c r="H1854" s="16">
        <v>4.266106067203658E-2</v>
      </c>
      <c r="I1854" s="16">
        <v>2.6348430947539669</v>
      </c>
      <c r="J1854" s="16">
        <v>2.8278551416873419</v>
      </c>
      <c r="K1854" s="16">
        <v>0.32843280398671271</v>
      </c>
      <c r="L1854" s="16">
        <v>1.9883825020730272</v>
      </c>
      <c r="M1854" s="16">
        <v>3.4743157343682816</v>
      </c>
    </row>
    <row r="1855" spans="2:13" x14ac:dyDescent="0.35">
      <c r="B1855" s="7" t="s">
        <v>281</v>
      </c>
      <c r="C1855" s="13">
        <v>1</v>
      </c>
      <c r="D1855" s="16">
        <v>2.6127838567197399</v>
      </c>
      <c r="E1855" s="16">
        <v>2.7365005007533121</v>
      </c>
      <c r="F1855" s="16">
        <v>-0.12371664403357223</v>
      </c>
      <c r="G1855" s="16">
        <v>-0.2323330427234864</v>
      </c>
      <c r="H1855" s="16">
        <v>4.5644272351418921E-2</v>
      </c>
      <c r="I1855" s="16">
        <v>2.6332459836532895</v>
      </c>
      <c r="J1855" s="16">
        <v>2.8397550178533346</v>
      </c>
      <c r="K1855" s="16">
        <v>0.32883360569656156</v>
      </c>
      <c r="L1855" s="16">
        <v>1.9926272081516343</v>
      </c>
      <c r="M1855" s="16">
        <v>3.4803737933549899</v>
      </c>
    </row>
    <row r="1856" spans="2:13" x14ac:dyDescent="0.35">
      <c r="B1856" s="7" t="s">
        <v>282</v>
      </c>
      <c r="C1856" s="13">
        <v>1</v>
      </c>
      <c r="D1856" s="16">
        <v>2.7403626894942401</v>
      </c>
      <c r="E1856" s="16">
        <v>2.6134191384461136</v>
      </c>
      <c r="F1856" s="16">
        <v>0.12694355104812646</v>
      </c>
      <c r="G1856" s="16">
        <v>0.23839299634681377</v>
      </c>
      <c r="H1856" s="16">
        <v>5.0180202716864832E-2</v>
      </c>
      <c r="I1856" s="16">
        <v>2.4999036340336516</v>
      </c>
      <c r="J1856" s="16">
        <v>2.7269346428585757</v>
      </c>
      <c r="K1856" s="16">
        <v>0.32949384422416284</v>
      </c>
      <c r="L1856" s="16">
        <v>1.8680522825378849</v>
      </c>
      <c r="M1856" s="16">
        <v>3.3587859943543421</v>
      </c>
    </row>
    <row r="1857" spans="2:13" x14ac:dyDescent="0.35">
      <c r="B1857" s="7" t="s">
        <v>283</v>
      </c>
      <c r="C1857" s="13">
        <v>1</v>
      </c>
      <c r="D1857" s="16">
        <v>2.43136376415899</v>
      </c>
      <c r="E1857" s="16">
        <v>2.644865553122933</v>
      </c>
      <c r="F1857" s="16">
        <v>-0.21350178896394303</v>
      </c>
      <c r="G1857" s="16">
        <v>-0.40094459920396769</v>
      </c>
      <c r="H1857" s="16">
        <v>4.9676558609063316E-2</v>
      </c>
      <c r="I1857" s="16">
        <v>2.5324893708304717</v>
      </c>
      <c r="J1857" s="16">
        <v>2.7572417354153944</v>
      </c>
      <c r="K1857" s="16">
        <v>0.32941751791935858</v>
      </c>
      <c r="L1857" s="16">
        <v>1.8996713593109233</v>
      </c>
      <c r="M1857" s="16">
        <v>3.3900597469349427</v>
      </c>
    </row>
    <row r="1858" spans="2:13" x14ac:dyDescent="0.35">
      <c r="B1858" s="7" t="s">
        <v>284</v>
      </c>
      <c r="C1858" s="13">
        <v>1</v>
      </c>
      <c r="D1858" s="16">
        <v>2.93951925261862</v>
      </c>
      <c r="E1858" s="16">
        <v>2.659424298009085</v>
      </c>
      <c r="F1858" s="16">
        <v>0.2800949546095351</v>
      </c>
      <c r="G1858" s="16">
        <v>0.52600289608786188</v>
      </c>
      <c r="H1858" s="16">
        <v>4.0739510244240586E-2</v>
      </c>
      <c r="I1858" s="16">
        <v>2.567265123583562</v>
      </c>
      <c r="J1858" s="16">
        <v>2.751583472434608</v>
      </c>
      <c r="K1858" s="16">
        <v>0.32818873888640943</v>
      </c>
      <c r="L1858" s="16">
        <v>1.9170097954734082</v>
      </c>
      <c r="M1858" s="16">
        <v>3.4018388005447617</v>
      </c>
    </row>
    <row r="1859" spans="2:13" x14ac:dyDescent="0.35">
      <c r="B1859" s="7" t="s">
        <v>285</v>
      </c>
      <c r="C1859" s="13">
        <v>1</v>
      </c>
      <c r="D1859" s="16">
        <v>3.04139268515822</v>
      </c>
      <c r="E1859" s="16">
        <v>2.6458374230081669</v>
      </c>
      <c r="F1859" s="16">
        <v>0.3955552621500531</v>
      </c>
      <c r="G1859" s="16">
        <v>0.74283099366702554</v>
      </c>
      <c r="H1859" s="16">
        <v>3.8586671141238843E-2</v>
      </c>
      <c r="I1859" s="16">
        <v>2.5585483089543608</v>
      </c>
      <c r="J1859" s="16">
        <v>2.7331265370619731</v>
      </c>
      <c r="K1859" s="16">
        <v>0.327928455347616</v>
      </c>
      <c r="L1859" s="16">
        <v>1.9040117227410482</v>
      </c>
      <c r="M1859" s="16">
        <v>3.3876631232752858</v>
      </c>
    </row>
    <row r="1860" spans="2:13" x14ac:dyDescent="0.35">
      <c r="B1860" s="7" t="s">
        <v>286</v>
      </c>
      <c r="C1860" s="13">
        <v>1</v>
      </c>
      <c r="D1860" s="16">
        <v>2.43136376415899</v>
      </c>
      <c r="E1860" s="16">
        <v>2.660019111402065</v>
      </c>
      <c r="F1860" s="16">
        <v>-0.2286553472430751</v>
      </c>
      <c r="G1860" s="16">
        <v>-0.42940214693799</v>
      </c>
      <c r="H1860" s="16">
        <v>3.7237954326644417E-2</v>
      </c>
      <c r="I1860" s="16">
        <v>2.5757810067350104</v>
      </c>
      <c r="J1860" s="16">
        <v>2.7442572160691197</v>
      </c>
      <c r="K1860" s="16">
        <v>0.32777249103508443</v>
      </c>
      <c r="L1860" s="16">
        <v>1.9185462269198339</v>
      </c>
      <c r="M1860" s="16">
        <v>3.401491995884296</v>
      </c>
    </row>
    <row r="1861" spans="2:13" x14ac:dyDescent="0.35">
      <c r="B1861" s="7" t="s">
        <v>287</v>
      </c>
      <c r="C1861" s="13">
        <v>1</v>
      </c>
      <c r="D1861" s="16">
        <v>2.6989700043360201</v>
      </c>
      <c r="E1861" s="16">
        <v>2.5750040792560713</v>
      </c>
      <c r="F1861" s="16">
        <v>0.12396592507994875</v>
      </c>
      <c r="G1861" s="16">
        <v>0.23280117879725701</v>
      </c>
      <c r="H1861" s="16">
        <v>3.7067536531835137E-2</v>
      </c>
      <c r="I1861" s="16">
        <v>2.4911514864221953</v>
      </c>
      <c r="J1861" s="16">
        <v>2.6588566720899474</v>
      </c>
      <c r="K1861" s="16">
        <v>0.32775317374733409</v>
      </c>
      <c r="L1861" s="16">
        <v>1.8335748935144616</v>
      </c>
      <c r="M1861" s="16">
        <v>3.3164332649976811</v>
      </c>
    </row>
    <row r="1862" spans="2:13" x14ac:dyDescent="0.35">
      <c r="B1862" s="7" t="s">
        <v>288</v>
      </c>
      <c r="C1862" s="13">
        <v>1</v>
      </c>
      <c r="D1862" s="16">
        <v>2.36172783601759</v>
      </c>
      <c r="E1862" s="16">
        <v>2.6256801025692318</v>
      </c>
      <c r="F1862" s="16">
        <v>-0.26395226655164172</v>
      </c>
      <c r="G1862" s="16">
        <v>-0.49568781711426241</v>
      </c>
      <c r="H1862" s="16">
        <v>3.6219011142490543E-2</v>
      </c>
      <c r="I1862" s="16">
        <v>2.5437470075126307</v>
      </c>
      <c r="J1862" s="16">
        <v>2.7076131976258329</v>
      </c>
      <c r="K1862" s="16">
        <v>0.32765829366132504</v>
      </c>
      <c r="L1862" s="16">
        <v>1.8844655504926711</v>
      </c>
      <c r="M1862" s="16">
        <v>3.3668946546457925</v>
      </c>
    </row>
    <row r="1863" spans="2:13" x14ac:dyDescent="0.35">
      <c r="B1863" s="7" t="s">
        <v>289</v>
      </c>
      <c r="C1863" s="13">
        <v>1</v>
      </c>
      <c r="D1863" s="16">
        <v>2.6127838567197399</v>
      </c>
      <c r="E1863" s="16">
        <v>2.5957377178762702</v>
      </c>
      <c r="F1863" s="16">
        <v>1.7046138843469914E-2</v>
      </c>
      <c r="G1863" s="16">
        <v>3.201170978349261E-2</v>
      </c>
      <c r="H1863" s="16">
        <v>3.5246514936238267E-2</v>
      </c>
      <c r="I1863" s="16">
        <v>2.5160045620669216</v>
      </c>
      <c r="J1863" s="16">
        <v>2.6754708736856188</v>
      </c>
      <c r="K1863" s="16">
        <v>0.32755222095424985</v>
      </c>
      <c r="L1863" s="16">
        <v>1.8547631189325409</v>
      </c>
      <c r="M1863" s="16">
        <v>3.3367123168199995</v>
      </c>
    </row>
    <row r="1864" spans="2:13" x14ac:dyDescent="0.35">
      <c r="B1864" s="7" t="s">
        <v>290</v>
      </c>
      <c r="C1864" s="13">
        <v>1</v>
      </c>
      <c r="D1864" s="16">
        <v>2.82607480270083</v>
      </c>
      <c r="E1864" s="16">
        <v>2.5982553381951488</v>
      </c>
      <c r="F1864" s="16">
        <v>0.22781946450568133</v>
      </c>
      <c r="G1864" s="16">
        <v>0.42783240520068555</v>
      </c>
      <c r="H1864" s="16">
        <v>3.5721377775619456E-2</v>
      </c>
      <c r="I1864" s="16">
        <v>2.51744796801797</v>
      </c>
      <c r="J1864" s="16">
        <v>2.6790627083723275</v>
      </c>
      <c r="K1864" s="16">
        <v>0.32760365911738498</v>
      </c>
      <c r="L1864" s="16">
        <v>1.8571643780428513</v>
      </c>
      <c r="M1864" s="16">
        <v>3.3393462983474462</v>
      </c>
    </row>
    <row r="1865" spans="2:13" x14ac:dyDescent="0.35">
      <c r="B1865" s="7" t="s">
        <v>291</v>
      </c>
      <c r="C1865" s="13">
        <v>1</v>
      </c>
      <c r="D1865" s="16">
        <v>2.8325089127062402</v>
      </c>
      <c r="E1865" s="16">
        <v>2.4517685600749588</v>
      </c>
      <c r="F1865" s="16">
        <v>0.38074035263128125</v>
      </c>
      <c r="G1865" s="16">
        <v>0.71500940965093007</v>
      </c>
      <c r="H1865" s="16">
        <v>4.0982753681419223E-2</v>
      </c>
      <c r="I1865" s="16">
        <v>2.3590591307685989</v>
      </c>
      <c r="J1865" s="16">
        <v>2.5444779893813187</v>
      </c>
      <c r="K1865" s="16">
        <v>0.32821902250817692</v>
      </c>
      <c r="L1865" s="16">
        <v>1.7092855512277438</v>
      </c>
      <c r="M1865" s="16">
        <v>3.1942515689221738</v>
      </c>
    </row>
    <row r="1866" spans="2:13" x14ac:dyDescent="0.35">
      <c r="B1866" s="7" t="s">
        <v>292</v>
      </c>
      <c r="C1866" s="13">
        <v>1</v>
      </c>
      <c r="D1866" s="16">
        <v>2.7993405494535799</v>
      </c>
      <c r="E1866" s="16">
        <v>2.4327168448467145</v>
      </c>
      <c r="F1866" s="16">
        <v>0.36662370460686533</v>
      </c>
      <c r="G1866" s="16">
        <v>0.68849912225840237</v>
      </c>
      <c r="H1866" s="16">
        <v>3.8931023796894192E-2</v>
      </c>
      <c r="I1866" s="16">
        <v>2.3446487509704665</v>
      </c>
      <c r="J1866" s="16">
        <v>2.5207849387229624</v>
      </c>
      <c r="K1866" s="16">
        <v>0.32796915289518552</v>
      </c>
      <c r="L1866" s="16">
        <v>1.6907990803313351</v>
      </c>
      <c r="M1866" s="16">
        <v>3.1746346093620939</v>
      </c>
    </row>
    <row r="1867" spans="2:13" x14ac:dyDescent="0.35">
      <c r="B1867" s="7" t="s">
        <v>293</v>
      </c>
      <c r="C1867" s="13">
        <v>1</v>
      </c>
      <c r="D1867" s="16">
        <v>2.2304489213782701</v>
      </c>
      <c r="E1867" s="16">
        <v>2.3002730369517437</v>
      </c>
      <c r="F1867" s="16">
        <v>-6.9824115573473636E-2</v>
      </c>
      <c r="G1867" s="16">
        <v>-0.13112584287575174</v>
      </c>
      <c r="H1867" s="16">
        <v>4.0568092462292565E-2</v>
      </c>
      <c r="I1867" s="16">
        <v>2.2085016364874557</v>
      </c>
      <c r="J1867" s="16">
        <v>2.3920444374160317</v>
      </c>
      <c r="K1867" s="16">
        <v>0.32816750412394641</v>
      </c>
      <c r="L1867" s="16">
        <v>1.5579065707858215</v>
      </c>
      <c r="M1867" s="16">
        <v>3.0426395031176661</v>
      </c>
    </row>
    <row r="1868" spans="2:13" x14ac:dyDescent="0.35">
      <c r="B1868" s="7" t="s">
        <v>294</v>
      </c>
      <c r="C1868" s="13">
        <v>1</v>
      </c>
      <c r="D1868" s="16">
        <v>2.6232492903978999</v>
      </c>
      <c r="E1868" s="16">
        <v>2.2931555053811157</v>
      </c>
      <c r="F1868" s="16">
        <v>0.33009378501678427</v>
      </c>
      <c r="G1868" s="16">
        <v>0.61989794547167409</v>
      </c>
      <c r="H1868" s="16">
        <v>3.6750189794035854E-2</v>
      </c>
      <c r="I1868" s="16">
        <v>2.210020800739485</v>
      </c>
      <c r="J1868" s="16">
        <v>2.3762902100227463</v>
      </c>
      <c r="K1868" s="16">
        <v>0.32771743482275845</v>
      </c>
      <c r="L1868" s="16">
        <v>1.5518071667033024</v>
      </c>
      <c r="M1868" s="16">
        <v>3.0345038440589289</v>
      </c>
    </row>
    <row r="1869" spans="2:13" x14ac:dyDescent="0.35">
      <c r="B1869" s="7" t="s">
        <v>295</v>
      </c>
      <c r="C1869" s="13">
        <v>1</v>
      </c>
      <c r="D1869" s="16">
        <v>2.5563025007672899</v>
      </c>
      <c r="E1869" s="16">
        <v>2.269528690364639</v>
      </c>
      <c r="F1869" s="16">
        <v>0.28677381040265082</v>
      </c>
      <c r="G1869" s="16">
        <v>0.53854541937118738</v>
      </c>
      <c r="H1869" s="16">
        <v>4.0239903180485634E-2</v>
      </c>
      <c r="I1869" s="16">
        <v>2.1784997056310584</v>
      </c>
      <c r="J1869" s="16">
        <v>2.3605576750982196</v>
      </c>
      <c r="K1869" s="16">
        <v>0.3281270949569482</v>
      </c>
      <c r="L1869" s="16">
        <v>1.5272536360848061</v>
      </c>
      <c r="M1869" s="16">
        <v>3.0118037446444719</v>
      </c>
    </row>
    <row r="1870" spans="2:13" x14ac:dyDescent="0.35">
      <c r="B1870" s="7" t="s">
        <v>296</v>
      </c>
      <c r="C1870" s="13">
        <v>1</v>
      </c>
      <c r="D1870" s="16">
        <v>1.65321251377534</v>
      </c>
      <c r="E1870" s="16">
        <v>1.743061623568281</v>
      </c>
      <c r="F1870" s="16">
        <v>-8.9849109792941043E-2</v>
      </c>
      <c r="G1870" s="16">
        <v>-0.16873167896896632</v>
      </c>
      <c r="H1870" s="16">
        <v>4.3407579684144243E-2</v>
      </c>
      <c r="I1870" s="16">
        <v>1.6448668567800284</v>
      </c>
      <c r="J1870" s="16">
        <v>1.8412563903565335</v>
      </c>
      <c r="K1870" s="16">
        <v>0.32853060528807143</v>
      </c>
      <c r="L1870" s="16">
        <v>0.99987376550741236</v>
      </c>
      <c r="M1870" s="16">
        <v>2.4862494816291498</v>
      </c>
    </row>
    <row r="1871" spans="2:13" x14ac:dyDescent="0.35">
      <c r="B1871" s="7" t="s">
        <v>297</v>
      </c>
      <c r="C1871" s="13">
        <v>1</v>
      </c>
      <c r="D1871" s="16">
        <v>1.93951925261862</v>
      </c>
      <c r="E1871" s="16">
        <v>1.7827236791143319</v>
      </c>
      <c r="F1871" s="16">
        <v>0.1567955735042881</v>
      </c>
      <c r="G1871" s="16">
        <v>0.29445345015938085</v>
      </c>
      <c r="H1871" s="16">
        <v>4.9690865155368781E-2</v>
      </c>
      <c r="I1871" s="16">
        <v>1.6703151331658401</v>
      </c>
      <c r="J1871" s="16">
        <v>1.8951322250628237</v>
      </c>
      <c r="K1871" s="16">
        <v>0.32941967566737762</v>
      </c>
      <c r="L1871" s="16">
        <v>1.0375246041372113</v>
      </c>
      <c r="M1871" s="16">
        <v>2.5279227540914526</v>
      </c>
    </row>
    <row r="1872" spans="2:13" x14ac:dyDescent="0.35">
      <c r="B1872" s="7" t="s">
        <v>298</v>
      </c>
      <c r="C1872" s="13">
        <v>1</v>
      </c>
      <c r="D1872" s="16">
        <v>1.90308998699194</v>
      </c>
      <c r="E1872" s="16">
        <v>1.8605671549989631</v>
      </c>
      <c r="F1872" s="16">
        <v>4.2522831992976927E-2</v>
      </c>
      <c r="G1872" s="16">
        <v>7.9855536167526622E-2</v>
      </c>
      <c r="H1872" s="16">
        <v>4.6820663818042028E-2</v>
      </c>
      <c r="I1872" s="16">
        <v>1.7546514555303934</v>
      </c>
      <c r="J1872" s="16">
        <v>1.9664828544675328</v>
      </c>
      <c r="K1872" s="16">
        <v>0.32899895926472678</v>
      </c>
      <c r="L1872" s="16">
        <v>1.1163198066406239</v>
      </c>
      <c r="M1872" s="16">
        <v>2.6048145033573022</v>
      </c>
    </row>
    <row r="1873" spans="2:13" x14ac:dyDescent="0.35">
      <c r="B1873" s="7" t="s">
        <v>299</v>
      </c>
      <c r="C1873" s="13">
        <v>1</v>
      </c>
      <c r="D1873" s="16">
        <v>1.9777236052888501</v>
      </c>
      <c r="E1873" s="16">
        <v>1.8797489703721766</v>
      </c>
      <c r="F1873" s="16">
        <v>9.7974634916673548E-2</v>
      </c>
      <c r="G1873" s="16">
        <v>0.18399096756727826</v>
      </c>
      <c r="H1873" s="16">
        <v>4.1092867177074936E-2</v>
      </c>
      <c r="I1873" s="16">
        <v>1.786790447034202</v>
      </c>
      <c r="J1873" s="16">
        <v>1.9727074937101512</v>
      </c>
      <c r="K1873" s="16">
        <v>0.3282327899064077</v>
      </c>
      <c r="L1873" s="16">
        <v>1.1372348175066036</v>
      </c>
      <c r="M1873" s="16">
        <v>2.6222631232377496</v>
      </c>
    </row>
    <row r="1874" spans="2:13" x14ac:dyDescent="0.35">
      <c r="B1874" s="7" t="s">
        <v>300</v>
      </c>
      <c r="C1874" s="13">
        <v>1</v>
      </c>
      <c r="D1874" s="16">
        <v>1.8573324964312701</v>
      </c>
      <c r="E1874" s="16">
        <v>2.0144985214817805</v>
      </c>
      <c r="F1874" s="16">
        <v>-0.15716602505051047</v>
      </c>
      <c r="G1874" s="16">
        <v>-0.29514913775734142</v>
      </c>
      <c r="H1874" s="16">
        <v>4.3078257449641888E-2</v>
      </c>
      <c r="I1874" s="16">
        <v>1.9170487333412769</v>
      </c>
      <c r="J1874" s="16">
        <v>2.1119483096222842</v>
      </c>
      <c r="K1874" s="16">
        <v>0.32848725531108336</v>
      </c>
      <c r="L1874" s="16">
        <v>1.2714087278813493</v>
      </c>
      <c r="M1874" s="16">
        <v>2.757588315082212</v>
      </c>
    </row>
    <row r="1875" spans="2:13" x14ac:dyDescent="0.35">
      <c r="B1875" s="7" t="s">
        <v>301</v>
      </c>
      <c r="C1875" s="13">
        <v>1</v>
      </c>
      <c r="D1875" s="16">
        <v>1.77085201164214</v>
      </c>
      <c r="E1875" s="16">
        <v>1.8138897573200925</v>
      </c>
      <c r="F1875" s="16">
        <v>-4.3037745677952599E-2</v>
      </c>
      <c r="G1875" s="16">
        <v>-8.0822515704555578E-2</v>
      </c>
      <c r="H1875" s="16">
        <v>3.9254371913985668E-2</v>
      </c>
      <c r="I1875" s="16">
        <v>1.7250901991885172</v>
      </c>
      <c r="J1875" s="16">
        <v>1.9026893154516678</v>
      </c>
      <c r="K1875" s="16">
        <v>0.32800769251844197</v>
      </c>
      <c r="L1875" s="16">
        <v>1.0718848101203682</v>
      </c>
      <c r="M1875" s="16">
        <v>2.555894704519817</v>
      </c>
    </row>
    <row r="1876" spans="2:13" x14ac:dyDescent="0.35">
      <c r="B1876" s="7" t="s">
        <v>302</v>
      </c>
      <c r="C1876" s="13">
        <v>1</v>
      </c>
      <c r="D1876" s="16">
        <v>2.17609125905568</v>
      </c>
      <c r="E1876" s="16">
        <v>1.8661796316047359</v>
      </c>
      <c r="F1876" s="16">
        <v>0.30991162745094408</v>
      </c>
      <c r="G1876" s="16">
        <v>0.58199696527111133</v>
      </c>
      <c r="H1876" s="16">
        <v>3.6584494295150316E-2</v>
      </c>
      <c r="I1876" s="16">
        <v>1.7834197562207907</v>
      </c>
      <c r="J1876" s="16">
        <v>1.948939506988681</v>
      </c>
      <c r="K1876" s="16">
        <v>0.32769889511523093</v>
      </c>
      <c r="L1876" s="16">
        <v>1.1248732326588826</v>
      </c>
      <c r="M1876" s="16">
        <v>2.6074860305505894</v>
      </c>
    </row>
    <row r="1877" spans="2:13" x14ac:dyDescent="0.35">
      <c r="B1877" s="7" t="s">
        <v>303</v>
      </c>
      <c r="C1877" s="13">
        <v>1</v>
      </c>
      <c r="D1877" s="16">
        <v>2</v>
      </c>
      <c r="E1877" s="16">
        <v>1.7597574358558943</v>
      </c>
      <c r="F1877" s="16">
        <v>0.24024256414410575</v>
      </c>
      <c r="G1877" s="16">
        <v>0.45116230201124691</v>
      </c>
      <c r="H1877" s="16">
        <v>5.1027162579546315E-2</v>
      </c>
      <c r="I1877" s="16">
        <v>1.6443259751334931</v>
      </c>
      <c r="J1877" s="16">
        <v>1.8751888965782955</v>
      </c>
      <c r="K1877" s="16">
        <v>0.32962389470096171</v>
      </c>
      <c r="L1877" s="16">
        <v>1.0140963853315896</v>
      </c>
      <c r="M1877" s="16">
        <v>2.5054184863801989</v>
      </c>
    </row>
    <row r="1878" spans="2:13" x14ac:dyDescent="0.35">
      <c r="B1878" s="7" t="s">
        <v>304</v>
      </c>
      <c r="C1878" s="13">
        <v>1</v>
      </c>
      <c r="D1878" s="16">
        <v>2.3010299956639799</v>
      </c>
      <c r="E1878" s="16">
        <v>1.9286661960524245</v>
      </c>
      <c r="F1878" s="16">
        <v>0.37236379961155536</v>
      </c>
      <c r="G1878" s="16">
        <v>0.69927870449148999</v>
      </c>
      <c r="H1878" s="16">
        <v>5.0033576303121274E-2</v>
      </c>
      <c r="I1878" s="16">
        <v>1.8154823836303315</v>
      </c>
      <c r="J1878" s="16">
        <v>2.0418500084745173</v>
      </c>
      <c r="K1878" s="16">
        <v>0.32947154565241521</v>
      </c>
      <c r="L1878" s="16">
        <v>1.1833497830177309</v>
      </c>
      <c r="M1878" s="16">
        <v>2.6739826090871182</v>
      </c>
    </row>
    <row r="1879" spans="2:13" x14ac:dyDescent="0.35">
      <c r="B1879" s="7" t="s">
        <v>305</v>
      </c>
      <c r="C1879" s="13">
        <v>1</v>
      </c>
      <c r="D1879" s="16">
        <v>2.17609125905568</v>
      </c>
      <c r="E1879" s="16">
        <v>2.0664228452878683</v>
      </c>
      <c r="F1879" s="16">
        <v>0.10966841376781189</v>
      </c>
      <c r="G1879" s="16">
        <v>0.20595124011301003</v>
      </c>
      <c r="H1879" s="16">
        <v>3.8148476621763502E-2</v>
      </c>
      <c r="I1879" s="16">
        <v>1.9801249960998037</v>
      </c>
      <c r="J1879" s="16">
        <v>2.1527206944759327</v>
      </c>
      <c r="K1879" s="16">
        <v>0.3278771826545307</v>
      </c>
      <c r="L1879" s="16">
        <v>1.3247131319100616</v>
      </c>
      <c r="M1879" s="16">
        <v>2.8081325586656751</v>
      </c>
    </row>
    <row r="1880" spans="2:13" x14ac:dyDescent="0.35">
      <c r="B1880" s="7" t="s">
        <v>306</v>
      </c>
      <c r="C1880" s="13">
        <v>1</v>
      </c>
      <c r="D1880" s="16">
        <v>2.1613680022349699</v>
      </c>
      <c r="E1880" s="16">
        <v>1.8801224652593318</v>
      </c>
      <c r="F1880" s="16">
        <v>0.2812455369756382</v>
      </c>
      <c r="G1880" s="16">
        <v>0.52816362639305992</v>
      </c>
      <c r="H1880" s="16">
        <v>3.8203864737689941E-2</v>
      </c>
      <c r="I1880" s="16">
        <v>1.7936993194487463</v>
      </c>
      <c r="J1880" s="16">
        <v>1.9665456110699173</v>
      </c>
      <c r="K1880" s="16">
        <v>0.32788363167106555</v>
      </c>
      <c r="L1880" s="16">
        <v>1.1383981631926541</v>
      </c>
      <c r="M1880" s="16">
        <v>2.6218467673260095</v>
      </c>
    </row>
    <row r="1881" spans="2:13" x14ac:dyDescent="0.35">
      <c r="B1881" s="7" t="s">
        <v>307</v>
      </c>
      <c r="C1881" s="13">
        <v>1</v>
      </c>
      <c r="D1881" s="16">
        <v>2.9493900066449101</v>
      </c>
      <c r="E1881" s="16">
        <v>3.0181150882026335</v>
      </c>
      <c r="F1881" s="16">
        <v>-6.8725081557723527E-2</v>
      </c>
      <c r="G1881" s="16">
        <v>-0.12906191753304244</v>
      </c>
      <c r="H1881" s="16">
        <v>6.4156426687767804E-2</v>
      </c>
      <c r="I1881" s="16">
        <v>2.872983168791007</v>
      </c>
      <c r="J1881" s="16">
        <v>3.16324700761426</v>
      </c>
      <c r="K1881" s="16">
        <v>0.33190990904499096</v>
      </c>
      <c r="L1881" s="16">
        <v>2.2672827139827909</v>
      </c>
      <c r="M1881" s="16">
        <v>3.7689474624224761</v>
      </c>
    </row>
    <row r="1882" spans="2:13" x14ac:dyDescent="0.35">
      <c r="B1882" s="7" t="s">
        <v>308</v>
      </c>
      <c r="C1882" s="13">
        <v>1</v>
      </c>
      <c r="D1882" s="16">
        <v>3.17609125905568</v>
      </c>
      <c r="E1882" s="16">
        <v>2.9667702010554651</v>
      </c>
      <c r="F1882" s="16">
        <v>0.20932105800021475</v>
      </c>
      <c r="G1882" s="16">
        <v>0.39309341674425186</v>
      </c>
      <c r="H1882" s="16">
        <v>4.6260535192069435E-2</v>
      </c>
      <c r="I1882" s="16">
        <v>2.8621216005635954</v>
      </c>
      <c r="J1882" s="16">
        <v>3.0714188015473347</v>
      </c>
      <c r="K1882" s="16">
        <v>0.3289197132328312</v>
      </c>
      <c r="L1882" s="16">
        <v>2.2227021196748638</v>
      </c>
      <c r="M1882" s="16">
        <v>3.7108382824360664</v>
      </c>
    </row>
    <row r="1883" spans="2:13" x14ac:dyDescent="0.35">
      <c r="B1883" s="7" t="s">
        <v>309</v>
      </c>
      <c r="C1883" s="13">
        <v>1</v>
      </c>
      <c r="D1883" s="16">
        <v>3.2185355052165301</v>
      </c>
      <c r="E1883" s="16">
        <v>2.9598671245439143</v>
      </c>
      <c r="F1883" s="16">
        <v>0.25866838067261577</v>
      </c>
      <c r="G1883" s="16">
        <v>0.48576497048948131</v>
      </c>
      <c r="H1883" s="16">
        <v>5.2307237230790178E-2</v>
      </c>
      <c r="I1883" s="16">
        <v>2.8415399337954419</v>
      </c>
      <c r="J1883" s="16">
        <v>3.0781943152923867</v>
      </c>
      <c r="K1883" s="16">
        <v>0.32982448014607618</v>
      </c>
      <c r="L1883" s="16">
        <v>2.2137523182205658</v>
      </c>
      <c r="M1883" s="16">
        <v>3.7059819308672628</v>
      </c>
    </row>
    <row r="1884" spans="2:13" x14ac:dyDescent="0.35">
      <c r="B1884" s="7" t="s">
        <v>310</v>
      </c>
      <c r="C1884" s="13">
        <v>1</v>
      </c>
      <c r="D1884" s="16">
        <v>3.0534626049254601</v>
      </c>
      <c r="E1884" s="16">
        <v>2.9865361262104511</v>
      </c>
      <c r="F1884" s="16">
        <v>6.6926478715008952E-2</v>
      </c>
      <c r="G1884" s="16">
        <v>0.12568424046813925</v>
      </c>
      <c r="H1884" s="16">
        <v>5.220887981358447E-2</v>
      </c>
      <c r="I1884" s="16">
        <v>2.8684314353966602</v>
      </c>
      <c r="J1884" s="16">
        <v>3.1046408170242419</v>
      </c>
      <c r="K1884" s="16">
        <v>0.32980889582954026</v>
      </c>
      <c r="L1884" s="16">
        <v>2.2404565740601972</v>
      </c>
      <c r="M1884" s="16">
        <v>3.732615678360705</v>
      </c>
    </row>
    <row r="1885" spans="2:13" x14ac:dyDescent="0.35">
      <c r="B1885" s="7" t="s">
        <v>311</v>
      </c>
      <c r="C1885" s="13">
        <v>1</v>
      </c>
      <c r="D1885" s="16">
        <v>3.29402509409532</v>
      </c>
      <c r="E1885" s="16">
        <v>2.9737590020301963</v>
      </c>
      <c r="F1885" s="16">
        <v>0.3202660920651238</v>
      </c>
      <c r="G1885" s="16">
        <v>0.60144207945422989</v>
      </c>
      <c r="H1885" s="16">
        <v>4.8852759704571432E-2</v>
      </c>
      <c r="I1885" s="16">
        <v>2.8632463823204826</v>
      </c>
      <c r="J1885" s="16">
        <v>3.08427162173991</v>
      </c>
      <c r="K1885" s="16">
        <v>0.32929429507306052</v>
      </c>
      <c r="L1885" s="16">
        <v>2.2288435576611012</v>
      </c>
      <c r="M1885" s="16">
        <v>3.7186744463992913</v>
      </c>
    </row>
    <row r="1886" spans="2:13" x14ac:dyDescent="0.35">
      <c r="B1886" s="7" t="s">
        <v>312</v>
      </c>
      <c r="C1886" s="13">
        <v>1</v>
      </c>
      <c r="D1886" s="16">
        <v>3.4005379893919501</v>
      </c>
      <c r="E1886" s="16">
        <v>3.0124411632846537</v>
      </c>
      <c r="F1886" s="16">
        <v>0.3880968261072964</v>
      </c>
      <c r="G1886" s="16">
        <v>0.72882446161704562</v>
      </c>
      <c r="H1886" s="16">
        <v>4.964266169078535E-2</v>
      </c>
      <c r="I1886" s="16">
        <v>2.9001416611482704</v>
      </c>
      <c r="J1886" s="16">
        <v>3.124740665421037</v>
      </c>
      <c r="K1886" s="16">
        <v>0.32941240792759613</v>
      </c>
      <c r="L1886" s="16">
        <v>2.2672585290770511</v>
      </c>
      <c r="M1886" s="16">
        <v>3.7576237974922564</v>
      </c>
    </row>
    <row r="1887" spans="2:13" x14ac:dyDescent="0.35">
      <c r="B1887" s="7" t="s">
        <v>313</v>
      </c>
      <c r="C1887" s="13">
        <v>1</v>
      </c>
      <c r="D1887" s="16">
        <v>2.7641761323903302</v>
      </c>
      <c r="E1887" s="16">
        <v>2.8632457986570161</v>
      </c>
      <c r="F1887" s="16">
        <v>-9.906966626668598E-2</v>
      </c>
      <c r="G1887" s="16">
        <v>-0.18604737612421388</v>
      </c>
      <c r="H1887" s="16">
        <v>5.3340144408139542E-2</v>
      </c>
      <c r="I1887" s="16">
        <v>2.7425820095510276</v>
      </c>
      <c r="J1887" s="16">
        <v>2.9839095877630046</v>
      </c>
      <c r="K1887" s="16">
        <v>0.32998986596923313</v>
      </c>
      <c r="L1887" s="16">
        <v>2.1167568636111462</v>
      </c>
      <c r="M1887" s="16">
        <v>3.609734733702886</v>
      </c>
    </row>
    <row r="1888" spans="2:13" x14ac:dyDescent="0.35">
      <c r="B1888" s="7" t="s">
        <v>314</v>
      </c>
      <c r="C1888" s="13">
        <v>1</v>
      </c>
      <c r="D1888" s="16">
        <v>2.7701152947871002</v>
      </c>
      <c r="E1888" s="16">
        <v>2.9457821177072754</v>
      </c>
      <c r="F1888" s="16">
        <v>-0.1756668229201753</v>
      </c>
      <c r="G1888" s="16">
        <v>-0.32989261706401429</v>
      </c>
      <c r="H1888" s="16">
        <v>4.3692313843884591E-2</v>
      </c>
      <c r="I1888" s="16">
        <v>2.846943237503444</v>
      </c>
      <c r="J1888" s="16">
        <v>3.0446209979111067</v>
      </c>
      <c r="K1888" s="16">
        <v>0.32856834741944296</v>
      </c>
      <c r="L1888" s="16">
        <v>2.2025088810140323</v>
      </c>
      <c r="M1888" s="16">
        <v>3.6890553544005185</v>
      </c>
    </row>
    <row r="1889" spans="2:13" x14ac:dyDescent="0.35">
      <c r="B1889" s="7" t="s">
        <v>315</v>
      </c>
      <c r="C1889" s="13">
        <v>1</v>
      </c>
      <c r="D1889" s="16">
        <v>3.0457140589408702</v>
      </c>
      <c r="E1889" s="16">
        <v>2.7106354231204075</v>
      </c>
      <c r="F1889" s="16">
        <v>0.33507863582046277</v>
      </c>
      <c r="G1889" s="16">
        <v>0.62925922069691353</v>
      </c>
      <c r="H1889" s="16">
        <v>3.7446491252855985E-2</v>
      </c>
      <c r="I1889" s="16">
        <v>2.625925575154485</v>
      </c>
      <c r="J1889" s="16">
        <v>2.79534527108633</v>
      </c>
      <c r="K1889" s="16">
        <v>0.32779624821535319</v>
      </c>
      <c r="L1889" s="16">
        <v>1.9691087961629448</v>
      </c>
      <c r="M1889" s="16">
        <v>3.4521620500778702</v>
      </c>
    </row>
    <row r="1890" spans="2:13" x14ac:dyDescent="0.35">
      <c r="B1890" s="7" t="s">
        <v>316</v>
      </c>
      <c r="C1890" s="13">
        <v>1</v>
      </c>
      <c r="D1890" s="16">
        <v>3.14488541828714</v>
      </c>
      <c r="E1890" s="16">
        <v>2.7423975343638247</v>
      </c>
      <c r="F1890" s="16">
        <v>0.40248788392331525</v>
      </c>
      <c r="G1890" s="16">
        <v>0.75585007548269467</v>
      </c>
      <c r="H1890" s="16">
        <v>3.5778223878461433E-2</v>
      </c>
      <c r="I1890" s="16">
        <v>2.6614615693685981</v>
      </c>
      <c r="J1890" s="16">
        <v>2.8233334993590513</v>
      </c>
      <c r="K1890" s="16">
        <v>0.32760986239856782</v>
      </c>
      <c r="L1890" s="16">
        <v>2.0012925414146401</v>
      </c>
      <c r="M1890" s="16">
        <v>3.4835025273130094</v>
      </c>
    </row>
    <row r="1891" spans="2:13" x14ac:dyDescent="0.35">
      <c r="B1891" s="7" t="s">
        <v>317</v>
      </c>
      <c r="C1891" s="13">
        <v>1</v>
      </c>
      <c r="D1891" s="16">
        <v>2.9912260756924902</v>
      </c>
      <c r="E1891" s="16">
        <v>2.7733292137618273</v>
      </c>
      <c r="F1891" s="16">
        <v>0.21789686193066277</v>
      </c>
      <c r="G1891" s="16">
        <v>0.40919830413854896</v>
      </c>
      <c r="H1891" s="16">
        <v>3.2745494379929865E-2</v>
      </c>
      <c r="I1891" s="16">
        <v>2.6992537594886241</v>
      </c>
      <c r="J1891" s="16">
        <v>2.8474046680350305</v>
      </c>
      <c r="K1891" s="16">
        <v>0.32729254198514407</v>
      </c>
      <c r="L1891" s="16">
        <v>2.0329420494550141</v>
      </c>
      <c r="M1891" s="16">
        <v>3.5137163780686405</v>
      </c>
    </row>
    <row r="1892" spans="2:13" x14ac:dyDescent="0.35">
      <c r="B1892" s="7" t="s">
        <v>318</v>
      </c>
      <c r="C1892" s="13">
        <v>1</v>
      </c>
      <c r="D1892" s="16">
        <v>2.6170003411209</v>
      </c>
      <c r="E1892" s="16">
        <v>2.7740111812041053</v>
      </c>
      <c r="F1892" s="16">
        <v>-0.15701084008320537</v>
      </c>
      <c r="G1892" s="16">
        <v>-0.29485770893690599</v>
      </c>
      <c r="H1892" s="16">
        <v>3.1359811883565021E-2</v>
      </c>
      <c r="I1892" s="16">
        <v>2.7030703584990108</v>
      </c>
      <c r="J1892" s="16">
        <v>2.8449520039091998</v>
      </c>
      <c r="K1892" s="16">
        <v>0.32715681016644577</v>
      </c>
      <c r="L1892" s="16">
        <v>2.0339310636015728</v>
      </c>
      <c r="M1892" s="16">
        <v>3.5140912988066377</v>
      </c>
    </row>
    <row r="1893" spans="2:13" x14ac:dyDescent="0.35">
      <c r="B1893" s="7" t="s">
        <v>319</v>
      </c>
      <c r="C1893" s="13">
        <v>1</v>
      </c>
      <c r="D1893" s="16">
        <v>2.6551384348113798</v>
      </c>
      <c r="E1893" s="16">
        <v>2.6153266190791196</v>
      </c>
      <c r="F1893" s="16">
        <v>3.9811815732260204E-2</v>
      </c>
      <c r="G1893" s="16">
        <v>7.4764396962730184E-2</v>
      </c>
      <c r="H1893" s="16">
        <v>4.785119099502845E-2</v>
      </c>
      <c r="I1893" s="16">
        <v>2.5070797051878739</v>
      </c>
      <c r="J1893" s="16">
        <v>2.7235735329703652</v>
      </c>
      <c r="K1893" s="16">
        <v>0.32914719673203041</v>
      </c>
      <c r="L1893" s="16">
        <v>1.8707439342740799</v>
      </c>
      <c r="M1893" s="16">
        <v>3.3599093038841592</v>
      </c>
    </row>
    <row r="1894" spans="2:13" x14ac:dyDescent="0.35">
      <c r="B1894" s="7" t="s">
        <v>320</v>
      </c>
      <c r="C1894" s="13">
        <v>1</v>
      </c>
      <c r="D1894" s="16">
        <v>2.2810333672477299</v>
      </c>
      <c r="E1894" s="16">
        <v>1.6364374638187518</v>
      </c>
      <c r="F1894" s="16">
        <v>0.64459590342897821</v>
      </c>
      <c r="G1894" s="16">
        <v>1.2105155999067465</v>
      </c>
      <c r="H1894" s="16">
        <v>6.0445602508510221E-2</v>
      </c>
      <c r="I1894" s="16">
        <v>1.4997000118601793</v>
      </c>
      <c r="J1894" s="16">
        <v>1.7731749157773242</v>
      </c>
      <c r="K1894" s="16">
        <v>0.33121263789222788</v>
      </c>
      <c r="L1894" s="16">
        <v>0.88718242652328894</v>
      </c>
      <c r="M1894" s="16">
        <v>2.3856925011142147</v>
      </c>
    </row>
    <row r="1895" spans="2:13" x14ac:dyDescent="0.35">
      <c r="B1895" s="7" t="s">
        <v>321</v>
      </c>
      <c r="C1895" s="13">
        <v>1</v>
      </c>
      <c r="D1895" s="16">
        <v>1.9777236052888501</v>
      </c>
      <c r="E1895" s="16">
        <v>1.6354041163733566</v>
      </c>
      <c r="F1895" s="16">
        <v>0.34231948891549335</v>
      </c>
      <c r="G1895" s="16">
        <v>0.64285714395633942</v>
      </c>
      <c r="H1895" s="16">
        <v>6.1304522960565246E-2</v>
      </c>
      <c r="I1895" s="16">
        <v>1.4967236513720641</v>
      </c>
      <c r="J1895" s="16">
        <v>1.7740845813746491</v>
      </c>
      <c r="K1895" s="16">
        <v>0.3313704651478972</v>
      </c>
      <c r="L1895" s="16">
        <v>0.88579204902286535</v>
      </c>
      <c r="M1895" s="16">
        <v>2.3850161837238479</v>
      </c>
    </row>
    <row r="1896" spans="2:13" x14ac:dyDescent="0.35">
      <c r="B1896" s="7" t="s">
        <v>322</v>
      </c>
      <c r="C1896" s="13">
        <v>1</v>
      </c>
      <c r="D1896" s="16">
        <v>2.2624510897304302</v>
      </c>
      <c r="E1896" s="16">
        <v>2.3761795342539758</v>
      </c>
      <c r="F1896" s="16">
        <v>-0.11372844452354551</v>
      </c>
      <c r="G1896" s="16">
        <v>-0.21357575423072692</v>
      </c>
      <c r="H1896" s="16">
        <v>3.4170234031730549E-2</v>
      </c>
      <c r="I1896" s="16">
        <v>2.2988810949891989</v>
      </c>
      <c r="J1896" s="16">
        <v>2.4534779735187526</v>
      </c>
      <c r="K1896" s="16">
        <v>0.32743815527622083</v>
      </c>
      <c r="L1896" s="16">
        <v>1.6354629697994787</v>
      </c>
      <c r="M1896" s="16">
        <v>3.1168960987084731</v>
      </c>
    </row>
    <row r="1897" spans="2:13" x14ac:dyDescent="0.35">
      <c r="B1897" s="7" t="s">
        <v>323</v>
      </c>
      <c r="C1897" s="13">
        <v>1</v>
      </c>
      <c r="D1897" s="16">
        <v>1.91381385238372</v>
      </c>
      <c r="E1897" s="16">
        <v>2.330641135975176</v>
      </c>
      <c r="F1897" s="16">
        <v>-0.41682728359145615</v>
      </c>
      <c r="G1897" s="16">
        <v>-0.78277867819215119</v>
      </c>
      <c r="H1897" s="16">
        <v>3.2989796177264295E-2</v>
      </c>
      <c r="I1897" s="16">
        <v>2.256013032644141</v>
      </c>
      <c r="J1897" s="16">
        <v>2.4052692393062109</v>
      </c>
      <c r="K1897" s="16">
        <v>0.32731707454504827</v>
      </c>
      <c r="L1897" s="16">
        <v>1.590198475162544</v>
      </c>
      <c r="M1897" s="16">
        <v>3.071083796787808</v>
      </c>
    </row>
    <row r="1898" spans="2:13" x14ac:dyDescent="0.35">
      <c r="B1898" s="7" t="s">
        <v>324</v>
      </c>
      <c r="C1898" s="13">
        <v>1</v>
      </c>
      <c r="D1898" s="16">
        <v>2.0128372247051698</v>
      </c>
      <c r="E1898" s="16">
        <v>2.0298734114303896</v>
      </c>
      <c r="F1898" s="16">
        <v>-1.7036186725219969E-2</v>
      </c>
      <c r="G1898" s="16">
        <v>-3.199302025361879E-2</v>
      </c>
      <c r="H1898" s="16">
        <v>5.5960632019157582E-2</v>
      </c>
      <c r="I1898" s="16">
        <v>1.9032816675361404</v>
      </c>
      <c r="J1898" s="16">
        <v>2.1564651553246388</v>
      </c>
      <c r="K1898" s="16">
        <v>0.33042356600717032</v>
      </c>
      <c r="L1898" s="16">
        <v>1.2824033787423295</v>
      </c>
      <c r="M1898" s="16">
        <v>2.7773434441184497</v>
      </c>
    </row>
    <row r="1899" spans="2:13" x14ac:dyDescent="0.35">
      <c r="B1899" s="7" t="s">
        <v>325</v>
      </c>
      <c r="C1899" s="13">
        <v>1</v>
      </c>
      <c r="D1899" s="16">
        <v>2.0293837776852102</v>
      </c>
      <c r="E1899" s="16">
        <v>2.3034811614348274</v>
      </c>
      <c r="F1899" s="16">
        <v>-0.2740973837496174</v>
      </c>
      <c r="G1899" s="16">
        <v>-0.51473978838138168</v>
      </c>
      <c r="H1899" s="16">
        <v>4.1162803766187195E-2</v>
      </c>
      <c r="I1899" s="16">
        <v>2.210364430541679</v>
      </c>
      <c r="J1899" s="16">
        <v>2.3965978923279758</v>
      </c>
      <c r="K1899" s="16">
        <v>0.32824155290091611</v>
      </c>
      <c r="L1899" s="16">
        <v>1.5609471852985637</v>
      </c>
      <c r="M1899" s="16">
        <v>3.0460151375710911</v>
      </c>
    </row>
    <row r="1900" spans="2:13" x14ac:dyDescent="0.35">
      <c r="B1900" s="7" t="s">
        <v>326</v>
      </c>
      <c r="C1900" s="13">
        <v>1</v>
      </c>
      <c r="D1900" s="16">
        <v>2.11727129565576</v>
      </c>
      <c r="E1900" s="16">
        <v>2.1997412385043953</v>
      </c>
      <c r="F1900" s="16">
        <v>-8.2469942848635458E-2</v>
      </c>
      <c r="G1900" s="16">
        <v>-0.1548740099194417</v>
      </c>
      <c r="H1900" s="16">
        <v>2.8558290925082837E-2</v>
      </c>
      <c r="I1900" s="16">
        <v>2.135137896469089</v>
      </c>
      <c r="J1900" s="16">
        <v>2.2643445805397016</v>
      </c>
      <c r="K1900" s="16">
        <v>0.32690016307348779</v>
      </c>
      <c r="L1900" s="16">
        <v>1.4602416969584704</v>
      </c>
      <c r="M1900" s="16">
        <v>2.9392407800503202</v>
      </c>
    </row>
    <row r="1901" spans="2:13" x14ac:dyDescent="0.35">
      <c r="B1901" s="7" t="s">
        <v>327</v>
      </c>
      <c r="C1901" s="13">
        <v>1</v>
      </c>
      <c r="D1901" s="16">
        <v>2.3802112417116099</v>
      </c>
      <c r="E1901" s="16">
        <v>2.3226969077739579</v>
      </c>
      <c r="F1901" s="16">
        <v>5.7514333937652234E-2</v>
      </c>
      <c r="G1901" s="16">
        <v>0.10800875103210306</v>
      </c>
      <c r="H1901" s="16">
        <v>5.6878094991073012E-2</v>
      </c>
      <c r="I1901" s="16">
        <v>2.1940297184570512</v>
      </c>
      <c r="J1901" s="16">
        <v>2.4513640970908646</v>
      </c>
      <c r="K1901" s="16">
        <v>0.33058018441328996</v>
      </c>
      <c r="L1901" s="16">
        <v>1.5748725796385226</v>
      </c>
      <c r="M1901" s="16">
        <v>3.0705212359093932</v>
      </c>
    </row>
    <row r="1902" spans="2:13" x14ac:dyDescent="0.35">
      <c r="B1902" s="7" t="s">
        <v>328</v>
      </c>
      <c r="C1902" s="13">
        <v>1</v>
      </c>
      <c r="D1902" s="16">
        <v>2.1139433523068401</v>
      </c>
      <c r="E1902" s="16">
        <v>2.2884768852414492</v>
      </c>
      <c r="F1902" s="16">
        <v>-0.1745335329346093</v>
      </c>
      <c r="G1902" s="16">
        <v>-0.32776436089693656</v>
      </c>
      <c r="H1902" s="16">
        <v>4.2084593341099069E-2</v>
      </c>
      <c r="I1902" s="16">
        <v>2.1932749214697358</v>
      </c>
      <c r="J1902" s="16">
        <v>2.3836788490131626</v>
      </c>
      <c r="K1902" s="16">
        <v>0.32835842251051961</v>
      </c>
      <c r="L1902" s="16">
        <v>1.5456785316820911</v>
      </c>
      <c r="M1902" s="16">
        <v>3.0312752388008075</v>
      </c>
    </row>
    <row r="1903" spans="2:13" x14ac:dyDescent="0.35">
      <c r="B1903" s="7" t="s">
        <v>329</v>
      </c>
      <c r="C1903" s="13">
        <v>1</v>
      </c>
      <c r="D1903" s="16">
        <v>2.2479732663618099</v>
      </c>
      <c r="E1903" s="16">
        <v>2.2868653872592879</v>
      </c>
      <c r="F1903" s="16">
        <v>-3.8892120897478018E-2</v>
      </c>
      <c r="G1903" s="16">
        <v>-7.303726072321147E-2</v>
      </c>
      <c r="H1903" s="16">
        <v>3.9393428383712181E-2</v>
      </c>
      <c r="I1903" s="16">
        <v>2.1977512615403336</v>
      </c>
      <c r="J1903" s="16">
        <v>2.3759795129782422</v>
      </c>
      <c r="K1903" s="16">
        <v>0.32802436317556338</v>
      </c>
      <c r="L1903" s="16">
        <v>1.5448227284133451</v>
      </c>
      <c r="M1903" s="16">
        <v>3.0289080461052307</v>
      </c>
    </row>
    <row r="1904" spans="2:13" x14ac:dyDescent="0.35">
      <c r="B1904" s="7" t="s">
        <v>330</v>
      </c>
      <c r="C1904" s="13">
        <v>1</v>
      </c>
      <c r="D1904" s="16">
        <v>2.0681858617461599</v>
      </c>
      <c r="E1904" s="16">
        <v>2.2130611293262668</v>
      </c>
      <c r="F1904" s="16">
        <v>-0.14487526758010694</v>
      </c>
      <c r="G1904" s="16">
        <v>-0.27206777224842593</v>
      </c>
      <c r="H1904" s="16">
        <v>2.8206260058738126E-2</v>
      </c>
      <c r="I1904" s="16">
        <v>2.1492541364326199</v>
      </c>
      <c r="J1904" s="16">
        <v>2.2768681222199136</v>
      </c>
      <c r="K1904" s="16">
        <v>0.32686959745961752</v>
      </c>
      <c r="L1904" s="16">
        <v>1.4736307320023316</v>
      </c>
      <c r="M1904" s="16">
        <v>2.9524915266502019</v>
      </c>
    </row>
    <row r="1905" spans="2:13" x14ac:dyDescent="0.35">
      <c r="B1905" s="7" t="s">
        <v>331</v>
      </c>
      <c r="C1905" s="13">
        <v>1</v>
      </c>
      <c r="D1905" s="16">
        <v>2.2304489213782701</v>
      </c>
      <c r="E1905" s="16">
        <v>2.2284733519923723</v>
      </c>
      <c r="F1905" s="16">
        <v>1.9755693858979906E-3</v>
      </c>
      <c r="G1905" s="16">
        <v>3.7100104850281606E-3</v>
      </c>
      <c r="H1905" s="16">
        <v>2.5659409685308884E-2</v>
      </c>
      <c r="I1905" s="16">
        <v>2.1704277348833978</v>
      </c>
      <c r="J1905" s="16">
        <v>2.2865189691013468</v>
      </c>
      <c r="K1905" s="16">
        <v>0.32665967908866522</v>
      </c>
      <c r="L1905" s="16">
        <v>1.4895178230124044</v>
      </c>
      <c r="M1905" s="16">
        <v>2.9674288809723404</v>
      </c>
    </row>
    <row r="1906" spans="2:13" x14ac:dyDescent="0.35">
      <c r="B1906" s="7" t="s">
        <v>332</v>
      </c>
      <c r="C1906" s="13">
        <v>1</v>
      </c>
      <c r="D1906" s="16">
        <v>2.1931245983544598</v>
      </c>
      <c r="E1906" s="16">
        <v>2.0024560980736097</v>
      </c>
      <c r="F1906" s="16">
        <v>0.19066850028085008</v>
      </c>
      <c r="G1906" s="16">
        <v>0.35806494079933804</v>
      </c>
      <c r="H1906" s="16">
        <v>3.022458554283914E-2</v>
      </c>
      <c r="I1906" s="16">
        <v>1.9340833357531437</v>
      </c>
      <c r="J1906" s="16">
        <v>2.0708288603940757</v>
      </c>
      <c r="K1906" s="16">
        <v>0.32704994451635006</v>
      </c>
      <c r="L1906" s="16">
        <v>1.2626177273656332</v>
      </c>
      <c r="M1906" s="16">
        <v>2.7422944687815862</v>
      </c>
    </row>
    <row r="1907" spans="2:13" x14ac:dyDescent="0.35">
      <c r="B1907" s="7" t="s">
        <v>333</v>
      </c>
      <c r="C1907" s="13">
        <v>1</v>
      </c>
      <c r="D1907" s="16">
        <v>2.47567118832443</v>
      </c>
      <c r="E1907" s="16">
        <v>1.8825469295581647</v>
      </c>
      <c r="F1907" s="16">
        <v>0.59312425876626518</v>
      </c>
      <c r="G1907" s="16">
        <v>1.1138546864792445</v>
      </c>
      <c r="H1907" s="16">
        <v>3.7301832881251072E-2</v>
      </c>
      <c r="I1907" s="16">
        <v>1.798164321562014</v>
      </c>
      <c r="J1907" s="16">
        <v>1.9669295375543154</v>
      </c>
      <c r="K1907" s="16">
        <v>0.32777975436748996</v>
      </c>
      <c r="L1907" s="16">
        <v>1.1410576142765927</v>
      </c>
      <c r="M1907" s="16">
        <v>2.6240362448397367</v>
      </c>
    </row>
    <row r="1908" spans="2:13" x14ac:dyDescent="0.35">
      <c r="B1908" s="7" t="s">
        <v>334</v>
      </c>
      <c r="C1908" s="13">
        <v>1</v>
      </c>
      <c r="D1908" s="16">
        <v>2.2671717284030102</v>
      </c>
      <c r="E1908" s="16">
        <v>2.0114896161255271</v>
      </c>
      <c r="F1908" s="16">
        <v>0.25568211227748289</v>
      </c>
      <c r="G1908" s="16">
        <v>0.4801569229381597</v>
      </c>
      <c r="H1908" s="16">
        <v>4.3270442942331198E-2</v>
      </c>
      <c r="I1908" s="16">
        <v>1.9136050741984258</v>
      </c>
      <c r="J1908" s="16">
        <v>2.1093741580526282</v>
      </c>
      <c r="K1908" s="16">
        <v>0.32851251402242926</v>
      </c>
      <c r="L1908" s="16">
        <v>1.2683426833506006</v>
      </c>
      <c r="M1908" s="16">
        <v>2.7546365489004536</v>
      </c>
    </row>
    <row r="1909" spans="2:13" x14ac:dyDescent="0.35">
      <c r="B1909" s="7" t="s">
        <v>335</v>
      </c>
      <c r="C1909" s="13">
        <v>1</v>
      </c>
      <c r="D1909" s="16">
        <v>2.02530586526477</v>
      </c>
      <c r="E1909" s="16">
        <v>2.0313524019503189</v>
      </c>
      <c r="F1909" s="16">
        <v>-6.0465366855489691E-3</v>
      </c>
      <c r="G1909" s="16">
        <v>-1.1355062829796463E-2</v>
      </c>
      <c r="H1909" s="16">
        <v>5.733848152167368E-2</v>
      </c>
      <c r="I1909" s="16">
        <v>1.9016437459510094</v>
      </c>
      <c r="J1909" s="16">
        <v>2.1610610579496283</v>
      </c>
      <c r="K1909" s="16">
        <v>0.33065970740343092</v>
      </c>
      <c r="L1909" s="16">
        <v>1.2833481803140705</v>
      </c>
      <c r="M1909" s="16">
        <v>2.7793566235865672</v>
      </c>
    </row>
    <row r="1910" spans="2:13" x14ac:dyDescent="0.35">
      <c r="B1910" s="7" t="s">
        <v>336</v>
      </c>
      <c r="C1910" s="13">
        <v>1</v>
      </c>
      <c r="D1910" s="16">
        <v>1.92941892571429</v>
      </c>
      <c r="E1910" s="16">
        <v>2.0307827866069479</v>
      </c>
      <c r="F1910" s="16">
        <v>-0.10136386089265804</v>
      </c>
      <c r="G1910" s="16">
        <v>-0.19035574725904131</v>
      </c>
      <c r="H1910" s="16">
        <v>5.9000015903199365E-2</v>
      </c>
      <c r="I1910" s="16">
        <v>1.897315478724908</v>
      </c>
      <c r="J1910" s="16">
        <v>2.1642500944889878</v>
      </c>
      <c r="K1910" s="16">
        <v>0.33095187340984944</v>
      </c>
      <c r="L1910" s="16">
        <v>1.2821176395500133</v>
      </c>
      <c r="M1910" s="16">
        <v>2.7794479336638824</v>
      </c>
    </row>
    <row r="1911" spans="2:13" x14ac:dyDescent="0.35">
      <c r="B1911" s="7" t="s">
        <v>337</v>
      </c>
      <c r="C1911" s="13">
        <v>1</v>
      </c>
      <c r="D1911" s="16">
        <v>2.18184358794477</v>
      </c>
      <c r="E1911" s="16">
        <v>2.0150938947073844</v>
      </c>
      <c r="F1911" s="16">
        <v>0.16674969323738553</v>
      </c>
      <c r="G1911" s="16">
        <v>0.31314673870830756</v>
      </c>
      <c r="H1911" s="16">
        <v>6.6944645545336398E-2</v>
      </c>
      <c r="I1911" s="16">
        <v>1.863654586068674</v>
      </c>
      <c r="J1911" s="16">
        <v>2.1665332033460949</v>
      </c>
      <c r="K1911" s="16">
        <v>0.33246011220009836</v>
      </c>
      <c r="L1911" s="16">
        <v>1.2630168744857364</v>
      </c>
      <c r="M1911" s="16">
        <v>2.7671709149290322</v>
      </c>
    </row>
    <row r="1912" spans="2:13" x14ac:dyDescent="0.35">
      <c r="B1912" s="7" t="s">
        <v>338</v>
      </c>
      <c r="C1912" s="13">
        <v>1</v>
      </c>
      <c r="D1912" s="16">
        <v>2.1105897102992501</v>
      </c>
      <c r="E1912" s="16">
        <v>2.093624509439711</v>
      </c>
      <c r="F1912" s="16">
        <v>1.6965200859539235E-2</v>
      </c>
      <c r="G1912" s="16">
        <v>3.1859712708035108E-2</v>
      </c>
      <c r="H1912" s="16">
        <v>2.9195379515092355E-2</v>
      </c>
      <c r="I1912" s="16">
        <v>2.027579972894721</v>
      </c>
      <c r="J1912" s="16">
        <v>2.159669045984701</v>
      </c>
      <c r="K1912" s="16">
        <v>0.32695643566374638</v>
      </c>
      <c r="L1912" s="16">
        <v>1.3539976704513297</v>
      </c>
      <c r="M1912" s="16">
        <v>2.8332513484280923</v>
      </c>
    </row>
    <row r="1913" spans="2:13" x14ac:dyDescent="0.35">
      <c r="B1913" s="7" t="s">
        <v>339</v>
      </c>
      <c r="C1913" s="13">
        <v>1</v>
      </c>
      <c r="D1913" s="16">
        <v>2.1003705451175598</v>
      </c>
      <c r="E1913" s="16">
        <v>2.3086054676763288</v>
      </c>
      <c r="F1913" s="16">
        <v>-0.20823492255876885</v>
      </c>
      <c r="G1913" s="16">
        <v>-0.39105371421358454</v>
      </c>
      <c r="H1913" s="16">
        <v>2.2745772897951232E-2</v>
      </c>
      <c r="I1913" s="16">
        <v>2.257150954861169</v>
      </c>
      <c r="J1913" s="16">
        <v>2.3600599804914886</v>
      </c>
      <c r="K1913" s="16">
        <v>0.32644373301020263</v>
      </c>
      <c r="L1913" s="16">
        <v>1.5701384426619764</v>
      </c>
      <c r="M1913" s="16">
        <v>3.0470724926906811</v>
      </c>
    </row>
    <row r="1914" spans="2:13" x14ac:dyDescent="0.35">
      <c r="B1914" s="7" t="s">
        <v>340</v>
      </c>
      <c r="C1914" s="13">
        <v>1</v>
      </c>
      <c r="D1914" s="16">
        <v>2.4927603890268402</v>
      </c>
      <c r="E1914" s="16">
        <v>2.5741692321974834</v>
      </c>
      <c r="F1914" s="16">
        <v>-8.1408843170643119E-2</v>
      </c>
      <c r="G1914" s="16">
        <v>-0.1528813231734775</v>
      </c>
      <c r="H1914" s="16">
        <v>4.0697944964194585E-2</v>
      </c>
      <c r="I1914" s="16">
        <v>2.4821040849674483</v>
      </c>
      <c r="J1914" s="16">
        <v>2.6662343794275185</v>
      </c>
      <c r="K1914" s="16">
        <v>0.32818358179717017</v>
      </c>
      <c r="L1914" s="16">
        <v>1.8317663958081072</v>
      </c>
      <c r="M1914" s="16">
        <v>3.3165720685868596</v>
      </c>
    </row>
    <row r="1915" spans="2:13" x14ac:dyDescent="0.35">
      <c r="B1915" s="7" t="s">
        <v>341</v>
      </c>
      <c r="C1915" s="13">
        <v>1</v>
      </c>
      <c r="D1915" s="16">
        <v>2.5670263661590602</v>
      </c>
      <c r="E1915" s="16">
        <v>2.5818822369967851</v>
      </c>
      <c r="F1915" s="16">
        <v>-1.4855870837725025E-2</v>
      </c>
      <c r="G1915" s="16">
        <v>-2.7898507116788172E-2</v>
      </c>
      <c r="H1915" s="16">
        <v>3.9428301921983447E-2</v>
      </c>
      <c r="I1915" s="16">
        <v>2.4926892218538517</v>
      </c>
      <c r="J1915" s="16">
        <v>2.6710752521397185</v>
      </c>
      <c r="K1915" s="16">
        <v>0.32802855307025075</v>
      </c>
      <c r="L1915" s="16">
        <v>1.8398300999506136</v>
      </c>
      <c r="M1915" s="16">
        <v>3.3239343740429566</v>
      </c>
    </row>
    <row r="1916" spans="2:13" x14ac:dyDescent="0.35">
      <c r="B1916" s="7" t="s">
        <v>342</v>
      </c>
      <c r="C1916" s="13">
        <v>1</v>
      </c>
      <c r="D1916" s="16">
        <v>2.3729120029701098</v>
      </c>
      <c r="E1916" s="16">
        <v>2.3367620991349605</v>
      </c>
      <c r="F1916" s="16">
        <v>3.614990383514935E-2</v>
      </c>
      <c r="G1916" s="16">
        <v>6.7887528131643657E-2</v>
      </c>
      <c r="H1916" s="16">
        <v>2.336281595354683E-2</v>
      </c>
      <c r="I1916" s="16">
        <v>2.2839117379591363</v>
      </c>
      <c r="J1916" s="16">
        <v>2.3896124603107847</v>
      </c>
      <c r="K1916" s="16">
        <v>0.32648730726659281</v>
      </c>
      <c r="L1916" s="16">
        <v>1.5981965023049174</v>
      </c>
      <c r="M1916" s="16">
        <v>3.0753276959650035</v>
      </c>
    </row>
    <row r="1917" spans="2:13" x14ac:dyDescent="0.35">
      <c r="B1917" s="7" t="s">
        <v>343</v>
      </c>
      <c r="C1917" s="13">
        <v>1</v>
      </c>
      <c r="D1917" s="16">
        <v>1.7160033436347999</v>
      </c>
      <c r="E1917" s="16">
        <v>1.6707497969186089</v>
      </c>
      <c r="F1917" s="16">
        <v>4.5253546716190966E-2</v>
      </c>
      <c r="G1917" s="16">
        <v>8.4983667999828635E-2</v>
      </c>
      <c r="H1917" s="16">
        <v>6.1849329989402756E-2</v>
      </c>
      <c r="I1917" s="16">
        <v>1.5308368928011395</v>
      </c>
      <c r="J1917" s="16">
        <v>1.8106627010360783</v>
      </c>
      <c r="K1917" s="16">
        <v>0.33147168846984393</v>
      </c>
      <c r="L1917" s="16">
        <v>0.92090874650653221</v>
      </c>
      <c r="M1917" s="16">
        <v>2.4205908473306854</v>
      </c>
    </row>
    <row r="1918" spans="2:13" x14ac:dyDescent="0.35">
      <c r="B1918" s="7" t="s">
        <v>344</v>
      </c>
      <c r="C1918" s="13">
        <v>1</v>
      </c>
      <c r="D1918" s="16">
        <v>2.0293837776852102</v>
      </c>
      <c r="E1918" s="16">
        <v>1.7551481653062198</v>
      </c>
      <c r="F1918" s="16">
        <v>0.27423561237899041</v>
      </c>
      <c r="G1918" s="16">
        <v>0.51499937413319874</v>
      </c>
      <c r="H1918" s="16">
        <v>5.8532048084879829E-2</v>
      </c>
      <c r="I1918" s="16">
        <v>1.6227394741708094</v>
      </c>
      <c r="J1918" s="16">
        <v>1.8875568564416301</v>
      </c>
      <c r="K1918" s="16">
        <v>0.33086876747423882</v>
      </c>
      <c r="L1918" s="16">
        <v>1.0066710169358135</v>
      </c>
      <c r="M1918" s="16">
        <v>2.503625313676626</v>
      </c>
    </row>
    <row r="1919" spans="2:13" x14ac:dyDescent="0.35">
      <c r="B1919" s="7" t="s">
        <v>345</v>
      </c>
      <c r="C1919" s="13">
        <v>1</v>
      </c>
      <c r="D1919" s="16">
        <v>2.4065401804339599</v>
      </c>
      <c r="E1919" s="16">
        <v>2.5539963163141417</v>
      </c>
      <c r="F1919" s="16">
        <v>-0.147456135880182</v>
      </c>
      <c r="G1919" s="16">
        <v>-0.27691450075216967</v>
      </c>
      <c r="H1919" s="16">
        <v>4.1487906280925885E-2</v>
      </c>
      <c r="I1919" s="16">
        <v>2.4601441524424827</v>
      </c>
      <c r="J1919" s="16">
        <v>2.6478484801858007</v>
      </c>
      <c r="K1919" s="16">
        <v>0.32828248050190878</v>
      </c>
      <c r="L1919" s="16">
        <v>1.8113697555126207</v>
      </c>
      <c r="M1919" s="16">
        <v>3.2966228771156629</v>
      </c>
    </row>
    <row r="1920" spans="2:13" x14ac:dyDescent="0.35">
      <c r="B1920" s="7" t="s">
        <v>346</v>
      </c>
      <c r="C1920" s="13">
        <v>1</v>
      </c>
      <c r="D1920" s="16">
        <v>2.6757783416740901</v>
      </c>
      <c r="E1920" s="16">
        <v>2.6550544241777123</v>
      </c>
      <c r="F1920" s="16">
        <v>2.0723917496377628E-2</v>
      </c>
      <c r="G1920" s="16">
        <v>3.8918375507965883E-2</v>
      </c>
      <c r="H1920" s="16">
        <v>4.2947505900451932E-2</v>
      </c>
      <c r="I1920" s="16">
        <v>2.5579004165892076</v>
      </c>
      <c r="J1920" s="16">
        <v>2.752208431766217</v>
      </c>
      <c r="K1920" s="16">
        <v>0.32847013395433777</v>
      </c>
      <c r="L1920" s="16">
        <v>1.9120033617768772</v>
      </c>
      <c r="M1920" s="16">
        <v>3.3981054865785474</v>
      </c>
    </row>
    <row r="1921" spans="2:13" x14ac:dyDescent="0.35">
      <c r="B1921" s="7" t="s">
        <v>347</v>
      </c>
      <c r="C1921" s="13">
        <v>1</v>
      </c>
      <c r="D1921" s="16">
        <v>2.5327543789925002</v>
      </c>
      <c r="E1921" s="16">
        <v>2.4962885204805954</v>
      </c>
      <c r="F1921" s="16">
        <v>3.6465858511905001E-2</v>
      </c>
      <c r="G1921" s="16">
        <v>6.8480873610635443E-2</v>
      </c>
      <c r="H1921" s="16">
        <v>4.1603734137353125E-2</v>
      </c>
      <c r="I1921" s="16">
        <v>2.4021743357952396</v>
      </c>
      <c r="J1921" s="16">
        <v>2.5904027051659511</v>
      </c>
      <c r="K1921" s="16">
        <v>0.32829713877992112</v>
      </c>
      <c r="L1921" s="16">
        <v>1.7536288003506479</v>
      </c>
      <c r="M1921" s="16">
        <v>3.2389482406105428</v>
      </c>
    </row>
    <row r="1922" spans="2:13" x14ac:dyDescent="0.35">
      <c r="B1922" s="7" t="s">
        <v>348</v>
      </c>
      <c r="C1922" s="13">
        <v>1</v>
      </c>
      <c r="D1922" s="16">
        <v>2.6627578316815699</v>
      </c>
      <c r="E1922" s="16">
        <v>2.4493027820847861</v>
      </c>
      <c r="F1922" s="16">
        <v>0.21345504959678385</v>
      </c>
      <c r="G1922" s="16">
        <v>0.40085682524702038</v>
      </c>
      <c r="H1922" s="16">
        <v>3.3291953792680386E-2</v>
      </c>
      <c r="I1922" s="16">
        <v>2.3739911507433211</v>
      </c>
      <c r="J1922" s="16">
        <v>2.5246144134262511</v>
      </c>
      <c r="K1922" s="16">
        <v>0.32734766659355502</v>
      </c>
      <c r="L1922" s="16">
        <v>1.7087909172508624</v>
      </c>
      <c r="M1922" s="16">
        <v>3.1898146469187099</v>
      </c>
    </row>
    <row r="1923" spans="2:13" x14ac:dyDescent="0.35">
      <c r="B1923" s="7" t="s">
        <v>349</v>
      </c>
      <c r="C1923" s="13">
        <v>1</v>
      </c>
      <c r="D1923" s="16">
        <v>2.7979596437372001</v>
      </c>
      <c r="E1923" s="16">
        <v>2.6810961912901536</v>
      </c>
      <c r="F1923" s="16">
        <v>0.11686345244704649</v>
      </c>
      <c r="G1923" s="16">
        <v>0.21946312642319904</v>
      </c>
      <c r="H1923" s="16">
        <v>4.3328627011757735E-2</v>
      </c>
      <c r="I1923" s="16">
        <v>2.5830800278543276</v>
      </c>
      <c r="J1923" s="16">
        <v>2.7791123547259797</v>
      </c>
      <c r="K1923" s="16">
        <v>0.32852018287410484</v>
      </c>
      <c r="L1923" s="16">
        <v>1.9379319103675696</v>
      </c>
      <c r="M1923" s="16">
        <v>3.4242604722127377</v>
      </c>
    </row>
    <row r="1924" spans="2:13" x14ac:dyDescent="0.35">
      <c r="B1924" s="7" t="s">
        <v>350</v>
      </c>
      <c r="C1924" s="13">
        <v>1</v>
      </c>
      <c r="D1924" s="16">
        <v>2.4265112613645798</v>
      </c>
      <c r="E1924" s="16">
        <v>2.7010613780453427</v>
      </c>
      <c r="F1924" s="16">
        <v>-0.27455011668076296</v>
      </c>
      <c r="G1924" s="16">
        <v>-0.51558999588786425</v>
      </c>
      <c r="H1924" s="16">
        <v>3.2244756452125156E-2</v>
      </c>
      <c r="I1924" s="16">
        <v>2.6281186716562788</v>
      </c>
      <c r="J1924" s="16">
        <v>2.7740040844344067</v>
      </c>
      <c r="K1924" s="16">
        <v>0.32724282261887444</v>
      </c>
      <c r="L1924" s="16">
        <v>1.9607866867584773</v>
      </c>
      <c r="M1924" s="16">
        <v>3.4413360693322081</v>
      </c>
    </row>
    <row r="1925" spans="2:13" x14ac:dyDescent="0.35">
      <c r="B1925" s="7" t="s">
        <v>351</v>
      </c>
      <c r="C1925" s="13">
        <v>1</v>
      </c>
      <c r="D1925" s="16">
        <v>2.3710678622717398</v>
      </c>
      <c r="E1925" s="16">
        <v>2.7112475728087024</v>
      </c>
      <c r="F1925" s="16">
        <v>-0.34017971053696272</v>
      </c>
      <c r="G1925" s="16">
        <v>-0.63883875802838741</v>
      </c>
      <c r="H1925" s="16">
        <v>3.1698179465088197E-2</v>
      </c>
      <c r="I1925" s="16">
        <v>2.6395413094594131</v>
      </c>
      <c r="J1925" s="16">
        <v>2.7829538361579917</v>
      </c>
      <c r="K1925" s="16">
        <v>0.32718941794977446</v>
      </c>
      <c r="L1925" s="16">
        <v>1.9710936912759363</v>
      </c>
      <c r="M1925" s="16">
        <v>3.4514014543414686</v>
      </c>
    </row>
    <row r="1926" spans="2:13" x14ac:dyDescent="0.35">
      <c r="B1926" s="7" t="s">
        <v>352</v>
      </c>
      <c r="C1926" s="13">
        <v>1</v>
      </c>
      <c r="D1926" s="16">
        <v>2.4232458739368101</v>
      </c>
      <c r="E1926" s="16">
        <v>2.5774733142978432</v>
      </c>
      <c r="F1926" s="16">
        <v>-0.15422744036103317</v>
      </c>
      <c r="G1926" s="16">
        <v>-0.28963063757864566</v>
      </c>
      <c r="H1926" s="16">
        <v>5.0374224067618531E-2</v>
      </c>
      <c r="I1926" s="16">
        <v>2.463518903099335</v>
      </c>
      <c r="J1926" s="16">
        <v>2.6914277254963515</v>
      </c>
      <c r="K1926" s="16">
        <v>0.32952344846357423</v>
      </c>
      <c r="L1926" s="16">
        <v>1.8320394889477314</v>
      </c>
      <c r="M1926" s="16">
        <v>3.3229071396479553</v>
      </c>
    </row>
    <row r="1927" spans="2:13" x14ac:dyDescent="0.35">
      <c r="B1927" s="7" t="s">
        <v>353</v>
      </c>
      <c r="C1927" s="13">
        <v>1</v>
      </c>
      <c r="D1927" s="16">
        <v>2.3483048630481602</v>
      </c>
      <c r="E1927" s="16">
        <v>2.7260748519954152</v>
      </c>
      <c r="F1927" s="16">
        <v>-0.37776998894725483</v>
      </c>
      <c r="G1927" s="16">
        <v>-0.70943123027097599</v>
      </c>
      <c r="H1927" s="16">
        <v>3.0829860059878554E-2</v>
      </c>
      <c r="I1927" s="16">
        <v>2.6563328635979362</v>
      </c>
      <c r="J1927" s="16">
        <v>2.7958168403928942</v>
      </c>
      <c r="K1927" s="16">
        <v>0.32710643666583961</v>
      </c>
      <c r="L1927" s="16">
        <v>1.9861086871674978</v>
      </c>
      <c r="M1927" s="16">
        <v>3.4660410168233327</v>
      </c>
    </row>
    <row r="1928" spans="2:13" x14ac:dyDescent="0.35">
      <c r="B1928" s="7" t="s">
        <v>354</v>
      </c>
      <c r="C1928" s="13">
        <v>1</v>
      </c>
      <c r="D1928" s="16">
        <v>3.0425755124401901</v>
      </c>
      <c r="E1928" s="16">
        <v>3.0255980009212591</v>
      </c>
      <c r="F1928" s="16">
        <v>1.6977511518931E-2</v>
      </c>
      <c r="G1928" s="16">
        <v>3.1882831448256072E-2</v>
      </c>
      <c r="H1928" s="16">
        <v>5.0730598717322536E-2</v>
      </c>
      <c r="I1928" s="16">
        <v>2.9108374142605031</v>
      </c>
      <c r="J1928" s="16">
        <v>3.140358587582015</v>
      </c>
      <c r="K1928" s="16">
        <v>0.32957811560103506</v>
      </c>
      <c r="L1928" s="16">
        <v>2.2800405099152177</v>
      </c>
      <c r="M1928" s="16">
        <v>3.7711554919273005</v>
      </c>
    </row>
    <row r="1929" spans="2:13" x14ac:dyDescent="0.35">
      <c r="B1929" s="7" t="s">
        <v>355</v>
      </c>
      <c r="C1929" s="13">
        <v>1</v>
      </c>
      <c r="D1929" s="16">
        <v>3.1872386198314802</v>
      </c>
      <c r="E1929" s="16">
        <v>3.1272756196180551</v>
      </c>
      <c r="F1929" s="16">
        <v>5.9963000213425155E-2</v>
      </c>
      <c r="G1929" s="16">
        <v>0.11260721141638513</v>
      </c>
      <c r="H1929" s="16">
        <v>5.0157456419906703E-2</v>
      </c>
      <c r="I1929" s="16">
        <v>3.0138115709039144</v>
      </c>
      <c r="J1929" s="16">
        <v>3.2407396683321958</v>
      </c>
      <c r="K1929" s="16">
        <v>0.32949038084810017</v>
      </c>
      <c r="L1929" s="16">
        <v>2.3819165984107529</v>
      </c>
      <c r="M1929" s="16">
        <v>3.8726346408253574</v>
      </c>
    </row>
    <row r="1930" spans="2:13" x14ac:dyDescent="0.35">
      <c r="B1930" s="7" t="s">
        <v>356</v>
      </c>
      <c r="C1930" s="13">
        <v>1</v>
      </c>
      <c r="D1930" s="16">
        <v>2.5092025223310999</v>
      </c>
      <c r="E1930" s="16">
        <v>2.6117218760476564</v>
      </c>
      <c r="F1930" s="16">
        <v>-0.10251935371655654</v>
      </c>
      <c r="G1930" s="16">
        <v>-0.19252569913349271</v>
      </c>
      <c r="H1930" s="16">
        <v>4.3122845454670426E-2</v>
      </c>
      <c r="I1930" s="16">
        <v>2.5141712228327302</v>
      </c>
      <c r="J1930" s="16">
        <v>2.7092725292625826</v>
      </c>
      <c r="K1930" s="16">
        <v>0.32849310561565614</v>
      </c>
      <c r="L1930" s="16">
        <v>1.8686188481389006</v>
      </c>
      <c r="M1930" s="16">
        <v>3.3548249039564122</v>
      </c>
    </row>
    <row r="1931" spans="2:13" x14ac:dyDescent="0.35">
      <c r="B1931" s="7" t="s">
        <v>357</v>
      </c>
      <c r="C1931" s="13">
        <v>1</v>
      </c>
      <c r="D1931" s="16">
        <v>2.7024305364455299</v>
      </c>
      <c r="E1931" s="16">
        <v>2.613236775702195</v>
      </c>
      <c r="F1931" s="16">
        <v>8.9193760743334655E-2</v>
      </c>
      <c r="G1931" s="16">
        <v>0.16750096955286156</v>
      </c>
      <c r="H1931" s="16">
        <v>4.3361762967564853E-2</v>
      </c>
      <c r="I1931" s="16">
        <v>2.5151456535269858</v>
      </c>
      <c r="J1931" s="16">
        <v>2.7113278978774042</v>
      </c>
      <c r="K1931" s="16">
        <v>0.32852455482743831</v>
      </c>
      <c r="L1931" s="16">
        <v>1.8700626047341142</v>
      </c>
      <c r="M1931" s="16">
        <v>3.3564109466702758</v>
      </c>
    </row>
    <row r="1932" spans="2:13" x14ac:dyDescent="0.35">
      <c r="B1932" s="7" t="s">
        <v>358</v>
      </c>
      <c r="C1932" s="13">
        <v>1</v>
      </c>
      <c r="D1932" s="16">
        <v>2.5224442335063202</v>
      </c>
      <c r="E1932" s="16">
        <v>2.4649254512305925</v>
      </c>
      <c r="F1932" s="16">
        <v>5.7518782275727917E-2</v>
      </c>
      <c r="G1932" s="16">
        <v>0.10801710476597821</v>
      </c>
      <c r="H1932" s="16">
        <v>4.5317923146029088E-2</v>
      </c>
      <c r="I1932" s="16">
        <v>2.3624091873192516</v>
      </c>
      <c r="J1932" s="16">
        <v>2.5674417151419333</v>
      </c>
      <c r="K1932" s="16">
        <v>0.32878846511880655</v>
      </c>
      <c r="L1932" s="16">
        <v>1.7211542737096817</v>
      </c>
      <c r="M1932" s="16">
        <v>3.2086966287515031</v>
      </c>
    </row>
    <row r="1933" spans="2:13" x14ac:dyDescent="0.35">
      <c r="B1933" s="7" t="s">
        <v>359</v>
      </c>
      <c r="C1933" s="13">
        <v>1</v>
      </c>
      <c r="D1933" s="16">
        <v>2.5921767573958698</v>
      </c>
      <c r="E1933" s="16">
        <v>2.4994942430534928</v>
      </c>
      <c r="F1933" s="16">
        <v>9.2682514342377176E-2</v>
      </c>
      <c r="G1933" s="16">
        <v>0.17405265663837699</v>
      </c>
      <c r="H1933" s="16">
        <v>5.7709453276219042E-2</v>
      </c>
      <c r="I1933" s="16">
        <v>2.3689463906468351</v>
      </c>
      <c r="J1933" s="16">
        <v>2.6300420954601504</v>
      </c>
      <c r="K1933" s="16">
        <v>0.33072423805090451</v>
      </c>
      <c r="L1933" s="16">
        <v>1.7513440429516063</v>
      </c>
      <c r="M1933" s="16">
        <v>3.2476444431553793</v>
      </c>
    </row>
    <row r="1934" spans="2:13" x14ac:dyDescent="0.35">
      <c r="B1934" s="7" t="s">
        <v>360</v>
      </c>
      <c r="C1934" s="13">
        <v>1</v>
      </c>
      <c r="D1934" s="16">
        <v>2.8549130223078598</v>
      </c>
      <c r="E1934" s="16">
        <v>2.6625791289970056</v>
      </c>
      <c r="F1934" s="16">
        <v>0.1923338933108544</v>
      </c>
      <c r="G1934" s="16">
        <v>0.36119245717366188</v>
      </c>
      <c r="H1934" s="16">
        <v>4.9664039790880389E-2</v>
      </c>
      <c r="I1934" s="16">
        <v>2.5502312662386184</v>
      </c>
      <c r="J1934" s="16">
        <v>2.7749269917553927</v>
      </c>
      <c r="K1934" s="16">
        <v>0.32941563029896054</v>
      </c>
      <c r="L1934" s="16">
        <v>1.9173892052789778</v>
      </c>
      <c r="M1934" s="16">
        <v>3.4077690527150333</v>
      </c>
    </row>
    <row r="1935" spans="2:13" x14ac:dyDescent="0.35">
      <c r="B1935" s="7" t="s">
        <v>361</v>
      </c>
      <c r="C1935" s="13">
        <v>1</v>
      </c>
      <c r="D1935" s="16">
        <v>0.95424250943932498</v>
      </c>
      <c r="E1935" s="16">
        <v>1.7355876045513479</v>
      </c>
      <c r="F1935" s="16">
        <v>-0.78134509511202288</v>
      </c>
      <c r="G1935" s="16">
        <v>-1.4673230492348859</v>
      </c>
      <c r="H1935" s="16">
        <v>6.2655908663736437E-2</v>
      </c>
      <c r="I1935" s="16">
        <v>1.5938500927179247</v>
      </c>
      <c r="J1935" s="16">
        <v>1.8773251163847711</v>
      </c>
      <c r="K1935" s="16">
        <v>0.33162313478916056</v>
      </c>
      <c r="L1935" s="16">
        <v>0.98540395876504283</v>
      </c>
      <c r="M1935" s="16">
        <v>2.485771250337653</v>
      </c>
    </row>
    <row r="1936" spans="2:13" x14ac:dyDescent="0.35">
      <c r="B1936" s="7" t="s">
        <v>362</v>
      </c>
      <c r="C1936" s="13">
        <v>1</v>
      </c>
      <c r="D1936" s="16">
        <v>1.88081359228079</v>
      </c>
      <c r="E1936" s="16">
        <v>1.7404804430979315</v>
      </c>
      <c r="F1936" s="16">
        <v>0.14033314918285852</v>
      </c>
      <c r="G1936" s="16">
        <v>0.26353792409511934</v>
      </c>
      <c r="H1936" s="16">
        <v>6.3429512386737469E-2</v>
      </c>
      <c r="I1936" s="16">
        <v>1.596992918070514</v>
      </c>
      <c r="J1936" s="16">
        <v>1.8839679681253489</v>
      </c>
      <c r="K1936" s="16">
        <v>0.33177016695075301</v>
      </c>
      <c r="L1936" s="16">
        <v>0.98996418745585935</v>
      </c>
      <c r="M1936" s="16">
        <v>2.4909966987400036</v>
      </c>
    </row>
    <row r="1937" spans="2:13" x14ac:dyDescent="0.35">
      <c r="B1937" s="7" t="s">
        <v>363</v>
      </c>
      <c r="C1937" s="13">
        <v>1</v>
      </c>
      <c r="D1937" s="16">
        <v>1.53147891704226</v>
      </c>
      <c r="E1937" s="16">
        <v>1.7309053047491172</v>
      </c>
      <c r="F1937" s="16">
        <v>-0.19942638770685711</v>
      </c>
      <c r="G1937" s="16">
        <v>-0.37451177096846078</v>
      </c>
      <c r="H1937" s="16">
        <v>6.7242340715554086E-2</v>
      </c>
      <c r="I1937" s="16">
        <v>1.5787925628522932</v>
      </c>
      <c r="J1937" s="16">
        <v>1.8830180466459412</v>
      </c>
      <c r="K1937" s="16">
        <v>0.33252018438256936</v>
      </c>
      <c r="L1937" s="16">
        <v>0.97869239181031875</v>
      </c>
      <c r="M1937" s="16">
        <v>2.4831182176879159</v>
      </c>
    </row>
    <row r="1938" spans="2:13" x14ac:dyDescent="0.35">
      <c r="B1938" s="7" t="s">
        <v>364</v>
      </c>
      <c r="C1938" s="13">
        <v>1</v>
      </c>
      <c r="D1938" s="16">
        <v>1.2041199826559199</v>
      </c>
      <c r="E1938" s="16">
        <v>1.7103166195267434</v>
      </c>
      <c r="F1938" s="16">
        <v>-0.50619663687082339</v>
      </c>
      <c r="G1938" s="16">
        <v>-0.9506094008553938</v>
      </c>
      <c r="H1938" s="16">
        <v>6.9967602373315896E-2</v>
      </c>
      <c r="I1938" s="16">
        <v>1.5520389074825827</v>
      </c>
      <c r="J1938" s="16">
        <v>1.8685943315709042</v>
      </c>
      <c r="K1938" s="16">
        <v>0.33308198092779157</v>
      </c>
      <c r="L1938" s="16">
        <v>0.95683283451578727</v>
      </c>
      <c r="M1938" s="16">
        <v>2.4638004045376993</v>
      </c>
    </row>
    <row r="1939" spans="2:13" x14ac:dyDescent="0.35">
      <c r="B1939" s="7" t="s">
        <v>365</v>
      </c>
      <c r="C1939" s="13">
        <v>1</v>
      </c>
      <c r="D1939" s="16">
        <v>2.17318626841227</v>
      </c>
      <c r="E1939" s="16">
        <v>2.0116539223314707</v>
      </c>
      <c r="F1939" s="16">
        <v>0.16153234608079953</v>
      </c>
      <c r="G1939" s="16">
        <v>0.30334884813906926</v>
      </c>
      <c r="H1939" s="16">
        <v>3.8644352386541618E-2</v>
      </c>
      <c r="I1939" s="16">
        <v>1.9242343242361266</v>
      </c>
      <c r="J1939" s="16">
        <v>2.0990735204268147</v>
      </c>
      <c r="K1939" s="16">
        <v>0.32793524758446824</v>
      </c>
      <c r="L1939" s="16">
        <v>1.2698128569571856</v>
      </c>
      <c r="M1939" s="16">
        <v>2.7534949877057557</v>
      </c>
    </row>
    <row r="1940" spans="2:13" x14ac:dyDescent="0.35">
      <c r="B1940" s="7" t="s">
        <v>366</v>
      </c>
      <c r="C1940" s="13">
        <v>1</v>
      </c>
      <c r="D1940" s="16">
        <v>2.3926969532596698</v>
      </c>
      <c r="E1940" s="16">
        <v>2.2041284292907823</v>
      </c>
      <c r="F1940" s="16">
        <v>0.18856852396888726</v>
      </c>
      <c r="G1940" s="16">
        <v>0.35412130095995503</v>
      </c>
      <c r="H1940" s="16">
        <v>4.4391282187613339E-2</v>
      </c>
      <c r="I1940" s="16">
        <v>2.103708372849892</v>
      </c>
      <c r="J1940" s="16">
        <v>2.3045484857316727</v>
      </c>
      <c r="K1940" s="16">
        <v>0.3286620248388481</v>
      </c>
      <c r="L1940" s="16">
        <v>1.4606432795533486</v>
      </c>
      <c r="M1940" s="16">
        <v>2.9476135790282161</v>
      </c>
    </row>
    <row r="1941" spans="2:13" x14ac:dyDescent="0.35">
      <c r="B1941" s="7" t="s">
        <v>367</v>
      </c>
      <c r="C1941" s="13">
        <v>1</v>
      </c>
      <c r="D1941" s="16">
        <v>3.14612803567824</v>
      </c>
      <c r="E1941" s="16">
        <v>3.0520696182780558</v>
      </c>
      <c r="F1941" s="16">
        <v>9.4058417400184363E-2</v>
      </c>
      <c r="G1941" s="16">
        <v>0.17663652679109584</v>
      </c>
      <c r="H1941" s="16">
        <v>5.4187513914778121E-2</v>
      </c>
      <c r="I1941" s="16">
        <v>2.9294889461831213</v>
      </c>
      <c r="J1941" s="16">
        <v>3.1746502903729903</v>
      </c>
      <c r="K1941" s="16">
        <v>0.33012789536962117</v>
      </c>
      <c r="L1941" s="16">
        <v>2.3052684390370555</v>
      </c>
      <c r="M1941" s="16">
        <v>3.7988707975190561</v>
      </c>
    </row>
    <row r="1942" spans="2:13" ht="15" thickBot="1" x14ac:dyDescent="0.4">
      <c r="B1942" s="11" t="s">
        <v>368</v>
      </c>
      <c r="C1942" s="14">
        <v>1</v>
      </c>
      <c r="D1942" s="17">
        <v>2.43136376415899</v>
      </c>
      <c r="E1942" s="17">
        <v>1.6693855303656546</v>
      </c>
      <c r="F1942" s="17">
        <v>0.76197823379333551</v>
      </c>
      <c r="G1942" s="17">
        <v>1.4309531504769355</v>
      </c>
      <c r="H1942" s="17">
        <v>5.5086433768150513E-2</v>
      </c>
      <c r="I1942" s="17">
        <v>1.5447713602962758</v>
      </c>
      <c r="J1942" s="17">
        <v>1.7939997004350334</v>
      </c>
      <c r="K1942" s="17">
        <v>0.33027663529563223</v>
      </c>
      <c r="L1942" s="17">
        <v>0.92224787803739561</v>
      </c>
      <c r="M1942" s="17">
        <v>2.4165231826939135</v>
      </c>
    </row>
    <row r="1962" spans="7:7" x14ac:dyDescent="0.35">
      <c r="G1962" t="s">
        <v>103</v>
      </c>
    </row>
    <row r="1982" spans="7:7" x14ac:dyDescent="0.35">
      <c r="G1982" t="s">
        <v>103</v>
      </c>
    </row>
    <row r="1985" spans="2:6" x14ac:dyDescent="0.35">
      <c r="B1985" s="6" t="s">
        <v>417</v>
      </c>
    </row>
    <row r="1986" spans="2:6" ht="15" thickBot="1" x14ac:dyDescent="0.4"/>
    <row r="1987" spans="2:6" ht="43.5" x14ac:dyDescent="0.35">
      <c r="B1987" s="8" t="s">
        <v>134</v>
      </c>
      <c r="C1987" s="9" t="s">
        <v>418</v>
      </c>
      <c r="D1987" s="9" t="s">
        <v>419</v>
      </c>
      <c r="E1987" s="9" t="s">
        <v>420</v>
      </c>
      <c r="F1987" s="9" t="s">
        <v>421</v>
      </c>
    </row>
    <row r="1988" spans="2:6" x14ac:dyDescent="0.35">
      <c r="B1988" s="22" t="s">
        <v>135</v>
      </c>
      <c r="C1988" s="23">
        <v>0.44975332238099924</v>
      </c>
      <c r="D1988" s="23">
        <v>0.19212600510431019</v>
      </c>
      <c r="E1988" s="23">
        <v>0.56643572229744021</v>
      </c>
      <c r="F1988" s="23">
        <v>0.31757182253511346</v>
      </c>
    </row>
    <row r="1989" spans="2:6" x14ac:dyDescent="0.35">
      <c r="B1989" s="7" t="s">
        <v>136</v>
      </c>
      <c r="C1989" s="16">
        <v>0.57562720615897689</v>
      </c>
      <c r="D1989" s="16">
        <v>1.2034787814656998</v>
      </c>
      <c r="E1989" s="16">
        <v>0.72496587811419466</v>
      </c>
      <c r="F1989" s="31">
        <v>1.9892723517823545</v>
      </c>
    </row>
    <row r="1990" spans="2:6" x14ac:dyDescent="0.35">
      <c r="B1990" s="7" t="s">
        <v>137</v>
      </c>
      <c r="C1990" s="16">
        <v>0.70819412839386087</v>
      </c>
      <c r="D1990" s="16">
        <v>0.75863522224044022</v>
      </c>
      <c r="E1990" s="16">
        <v>0.89192549044420355</v>
      </c>
      <c r="F1990" s="16">
        <v>1.2539748069784988</v>
      </c>
    </row>
    <row r="1991" spans="2:6" x14ac:dyDescent="0.35">
      <c r="B1991" s="7" t="s">
        <v>138</v>
      </c>
      <c r="C1991" s="16">
        <v>0.54605621103764557</v>
      </c>
      <c r="D1991" s="16">
        <v>0.61836522852049092</v>
      </c>
      <c r="E1991" s="16">
        <v>0.68772308935183424</v>
      </c>
      <c r="F1991" s="16">
        <v>1.0221176071764826</v>
      </c>
    </row>
    <row r="1992" spans="2:6" x14ac:dyDescent="0.35">
      <c r="B1992" s="7" t="s">
        <v>139</v>
      </c>
      <c r="C1992" s="16">
        <v>1.7860120040373473</v>
      </c>
      <c r="D1992" s="16">
        <v>0.43562698996742416</v>
      </c>
      <c r="E1992" s="31">
        <v>2.2493685965076335</v>
      </c>
      <c r="F1992" s="16">
        <v>0.72006315373252339</v>
      </c>
    </row>
    <row r="1993" spans="2:6" x14ac:dyDescent="0.35">
      <c r="B1993" s="7" t="s">
        <v>140</v>
      </c>
      <c r="C1993" s="16">
        <v>0.44058536038415935</v>
      </c>
      <c r="D1993" s="16">
        <v>0.11355481508637182</v>
      </c>
      <c r="E1993" s="16">
        <v>0.55488925689684387</v>
      </c>
      <c r="F1993" s="16">
        <v>0.18769874263006719</v>
      </c>
    </row>
    <row r="1994" spans="2:6" x14ac:dyDescent="0.35">
      <c r="B1994" s="7" t="s">
        <v>141</v>
      </c>
      <c r="C1994" s="16">
        <v>0.79996329607741812</v>
      </c>
      <c r="D1994" s="16">
        <v>0.1321539476099495</v>
      </c>
      <c r="E1994" s="16">
        <v>1.0075029241055735</v>
      </c>
      <c r="F1994" s="16">
        <v>0.21844190209917627</v>
      </c>
    </row>
    <row r="1995" spans="2:6" x14ac:dyDescent="0.35">
      <c r="B1995" s="7" t="s">
        <v>142</v>
      </c>
      <c r="C1995" s="16">
        <v>0.53257710186368201</v>
      </c>
      <c r="D1995" s="16">
        <v>1.0062573859969448</v>
      </c>
      <c r="E1995" s="16">
        <v>0.67074700810698629</v>
      </c>
      <c r="F1995" s="31">
        <v>1.663278179531043</v>
      </c>
    </row>
    <row r="1996" spans="2:6" x14ac:dyDescent="0.35">
      <c r="B1996" s="7" t="s">
        <v>143</v>
      </c>
      <c r="C1996" s="16">
        <v>0.89154702680123243</v>
      </c>
      <c r="D1996" s="16">
        <v>0.41972657332457136</v>
      </c>
      <c r="E1996" s="16">
        <v>1.1228468117028998</v>
      </c>
      <c r="F1996" s="16">
        <v>0.69378079653888425</v>
      </c>
    </row>
    <row r="1997" spans="2:6" x14ac:dyDescent="0.35">
      <c r="B1997" s="7" t="s">
        <v>144</v>
      </c>
      <c r="C1997" s="16">
        <v>0.86204380445186735</v>
      </c>
      <c r="D1997" s="16">
        <v>1.5927146711148896</v>
      </c>
      <c r="E1997" s="16">
        <v>1.0856893784390547</v>
      </c>
      <c r="F1997" s="31">
        <v>2.632654026245727</v>
      </c>
    </row>
    <row r="1998" spans="2:6" x14ac:dyDescent="0.35">
      <c r="B1998" s="7" t="s">
        <v>145</v>
      </c>
      <c r="C1998" s="16">
        <v>0.83445730891815295</v>
      </c>
      <c r="D1998" s="16">
        <v>6.9588793730526358E-2</v>
      </c>
      <c r="E1998" s="16">
        <v>1.0509459407684432</v>
      </c>
      <c r="F1998" s="16">
        <v>0.11502576156218401</v>
      </c>
    </row>
    <row r="1999" spans="2:6" x14ac:dyDescent="0.35">
      <c r="B1999" s="7" t="s">
        <v>146</v>
      </c>
      <c r="C1999" s="16">
        <v>0.50266718905768204</v>
      </c>
      <c r="D1999" s="16">
        <v>0.9985530036132636</v>
      </c>
      <c r="E1999" s="16">
        <v>0.63307737406308717</v>
      </c>
      <c r="F1999" s="31">
        <v>1.6505433352617069</v>
      </c>
    </row>
    <row r="2000" spans="2:6" x14ac:dyDescent="0.35">
      <c r="B2000" s="7" t="s">
        <v>147</v>
      </c>
      <c r="C2000" s="16">
        <v>0.45982873463586449</v>
      </c>
      <c r="D2000" s="16">
        <v>0.1370775366807962</v>
      </c>
      <c r="E2000" s="16">
        <v>0.57912506361862437</v>
      </c>
      <c r="F2000" s="16">
        <v>0.22658027542242229</v>
      </c>
    </row>
    <row r="2001" spans="2:6" x14ac:dyDescent="0.35">
      <c r="B2001" s="7" t="s">
        <v>148</v>
      </c>
      <c r="C2001" s="16">
        <v>0.8089484981010483</v>
      </c>
      <c r="D2001" s="16">
        <v>7.2246592381874863E-2</v>
      </c>
      <c r="E2001" s="16">
        <v>1.0188192149365101</v>
      </c>
      <c r="F2001" s="16">
        <v>0.11941893031194206</v>
      </c>
    </row>
    <row r="2002" spans="2:6" x14ac:dyDescent="0.35">
      <c r="B2002" s="7" t="s">
        <v>149</v>
      </c>
      <c r="C2002" s="16">
        <v>0.63543080830578236</v>
      </c>
      <c r="D2002" s="16">
        <v>1.7964383711563849</v>
      </c>
      <c r="E2002" s="16">
        <v>0.8002847137787773</v>
      </c>
      <c r="F2002" s="31">
        <v>2.969396086127984</v>
      </c>
    </row>
    <row r="2003" spans="2:6" x14ac:dyDescent="0.35">
      <c r="B2003" s="7" t="s">
        <v>150</v>
      </c>
      <c r="C2003" s="16">
        <v>0.6918524230039067</v>
      </c>
      <c r="D2003" s="16">
        <v>0.54917641840995624</v>
      </c>
      <c r="E2003" s="16">
        <v>0.87134415121778819</v>
      </c>
      <c r="F2003" s="16">
        <v>0.90775299258977438</v>
      </c>
    </row>
    <row r="2004" spans="2:6" x14ac:dyDescent="0.35">
      <c r="B2004" s="7" t="s">
        <v>151</v>
      </c>
      <c r="C2004" s="16">
        <v>0.81779676310584093</v>
      </c>
      <c r="D2004" s="16">
        <v>0.12525696886803944</v>
      </c>
      <c r="E2004" s="16">
        <v>1.0299630422962178</v>
      </c>
      <c r="F2004" s="16">
        <v>0.2070416436705208</v>
      </c>
    </row>
    <row r="2005" spans="2:6" x14ac:dyDescent="0.35">
      <c r="B2005" s="7" t="s">
        <v>152</v>
      </c>
      <c r="C2005" s="16">
        <v>0.78952607209608805</v>
      </c>
      <c r="D2005" s="16">
        <v>0.13352564986731122</v>
      </c>
      <c r="E2005" s="16">
        <v>0.99435790391240042</v>
      </c>
      <c r="F2005" s="16">
        <v>0.22070923694335512</v>
      </c>
    </row>
    <row r="2006" spans="2:6" x14ac:dyDescent="0.35">
      <c r="B2006" s="7" t="s">
        <v>153</v>
      </c>
      <c r="C2006" s="16">
        <v>0.55632030337073901</v>
      </c>
      <c r="D2006" s="16">
        <v>0.62597806224794506</v>
      </c>
      <c r="E2006" s="16">
        <v>0.70065006123865492</v>
      </c>
      <c r="F2006" s="16">
        <v>1.0347011274561648</v>
      </c>
    </row>
    <row r="2007" spans="2:6" x14ac:dyDescent="0.35">
      <c r="B2007" s="7" t="s">
        <v>154</v>
      </c>
      <c r="C2007" s="16">
        <v>0.70725893533998829</v>
      </c>
      <c r="D2007" s="16">
        <v>0.12178254305652121</v>
      </c>
      <c r="E2007" s="16">
        <v>0.89074767423563506</v>
      </c>
      <c r="F2007" s="16">
        <v>0.20129864320253193</v>
      </c>
    </row>
    <row r="2008" spans="2:6" x14ac:dyDescent="0.35">
      <c r="B2008" s="7" t="s">
        <v>155</v>
      </c>
      <c r="C2008" s="16">
        <v>0.91108434170960106</v>
      </c>
      <c r="D2008" s="16">
        <v>0.21227913869797979</v>
      </c>
      <c r="E2008" s="16">
        <v>1.1474528179982784</v>
      </c>
      <c r="F2008" s="16">
        <v>0.35088364495946728</v>
      </c>
    </row>
    <row r="2009" spans="2:6" x14ac:dyDescent="0.35">
      <c r="B2009" s="7" t="s">
        <v>156</v>
      </c>
      <c r="C2009" s="16">
        <v>0.54619790416718283</v>
      </c>
      <c r="D2009" s="16">
        <v>0.643862422143056</v>
      </c>
      <c r="E2009" s="16">
        <v>0.68790154284218119</v>
      </c>
      <c r="F2009" s="16">
        <v>1.0642628141402797</v>
      </c>
    </row>
    <row r="2010" spans="2:6" x14ac:dyDescent="0.35">
      <c r="B2010" s="7" t="s">
        <v>157</v>
      </c>
      <c r="C2010" s="16">
        <v>0.64041954214039409</v>
      </c>
      <c r="D2010" s="16">
        <v>6.9086293373640445E-2</v>
      </c>
      <c r="E2010" s="16">
        <v>0.80656770694934055</v>
      </c>
      <c r="F2010" s="16">
        <v>0.11419516107125013</v>
      </c>
    </row>
    <row r="2011" spans="2:6" x14ac:dyDescent="0.35">
      <c r="B2011" s="7" t="s">
        <v>158</v>
      </c>
      <c r="C2011" s="16">
        <v>0.57232768425757208</v>
      </c>
      <c r="D2011" s="16">
        <v>0.41120940902768938</v>
      </c>
      <c r="E2011" s="16">
        <v>0.72081034000373867</v>
      </c>
      <c r="F2011" s="16">
        <v>0.67970247649510207</v>
      </c>
    </row>
    <row r="2012" spans="2:6" x14ac:dyDescent="0.35">
      <c r="B2012" s="7" t="s">
        <v>159</v>
      </c>
      <c r="C2012" s="16">
        <v>0.60986607791637182</v>
      </c>
      <c r="D2012" s="16">
        <v>0.92940640948231135</v>
      </c>
      <c r="E2012" s="16">
        <v>0.76808756079988727</v>
      </c>
      <c r="F2012" s="31">
        <v>1.5362485009505464</v>
      </c>
    </row>
    <row r="2013" spans="2:6" x14ac:dyDescent="0.35">
      <c r="B2013" s="7" t="s">
        <v>160</v>
      </c>
      <c r="C2013" s="16">
        <v>0.62754375482886704</v>
      </c>
      <c r="D2013" s="16">
        <v>0.27228265102449989</v>
      </c>
      <c r="E2013" s="16">
        <v>0.79035147124185945</v>
      </c>
      <c r="F2013" s="16">
        <v>0.45006555819237631</v>
      </c>
    </row>
    <row r="2014" spans="2:6" x14ac:dyDescent="0.35">
      <c r="B2014" s="7" t="s">
        <v>161</v>
      </c>
      <c r="C2014" s="16">
        <v>0.415708229056027</v>
      </c>
      <c r="D2014" s="16">
        <v>0.24078300951573364</v>
      </c>
      <c r="E2014" s="16">
        <v>0.5235580912304304</v>
      </c>
      <c r="F2014" s="16">
        <v>0.39799869427298912</v>
      </c>
    </row>
    <row r="2015" spans="2:6" x14ac:dyDescent="0.35">
      <c r="B2015" s="7" t="s">
        <v>162</v>
      </c>
      <c r="C2015" s="16">
        <v>0.57649590939269113</v>
      </c>
      <c r="D2015" s="16">
        <v>0.50505454046584575</v>
      </c>
      <c r="E2015" s="16">
        <v>0.72605995462050277</v>
      </c>
      <c r="F2015" s="16">
        <v>0.83482239069246433</v>
      </c>
    </row>
    <row r="2016" spans="2:6" x14ac:dyDescent="0.35">
      <c r="B2016" s="7" t="s">
        <v>163</v>
      </c>
      <c r="C2016" s="16">
        <v>2.0193732093446561</v>
      </c>
      <c r="D2016" s="16">
        <v>0.50438673153573976</v>
      </c>
      <c r="E2016" s="31">
        <v>2.5432722016764906</v>
      </c>
      <c r="F2016" s="16">
        <v>0.83371854585415717</v>
      </c>
    </row>
    <row r="2017" spans="2:6" x14ac:dyDescent="0.35">
      <c r="B2017" s="7" t="s">
        <v>164</v>
      </c>
      <c r="C2017" s="16">
        <v>0.41617355455220434</v>
      </c>
      <c r="D2017" s="16">
        <v>0.81956928645312277</v>
      </c>
      <c r="E2017" s="16">
        <v>0.52414413911582514</v>
      </c>
      <c r="F2017" s="16">
        <v>1.3546948621109995</v>
      </c>
    </row>
    <row r="2018" spans="2:6" x14ac:dyDescent="0.35">
      <c r="B2018" s="7" t="s">
        <v>165</v>
      </c>
      <c r="C2018" s="16">
        <v>0.56177967457274425</v>
      </c>
      <c r="D2018" s="16">
        <v>0.36561363841642458</v>
      </c>
      <c r="E2018" s="16">
        <v>0.70752579225877632</v>
      </c>
      <c r="F2018" s="16">
        <v>0.6043356256356841</v>
      </c>
    </row>
    <row r="2019" spans="2:6" x14ac:dyDescent="0.35">
      <c r="B2019" s="7" t="s">
        <v>166</v>
      </c>
      <c r="C2019" s="16">
        <v>0.67433666732955433</v>
      </c>
      <c r="D2019" s="16">
        <v>0.48698759825549787</v>
      </c>
      <c r="E2019" s="16">
        <v>0.84928417028321168</v>
      </c>
      <c r="F2019" s="16">
        <v>0.80495890728603181</v>
      </c>
    </row>
    <row r="2020" spans="2:6" x14ac:dyDescent="0.35">
      <c r="B2020" s="7" t="s">
        <v>167</v>
      </c>
      <c r="C2020" s="16">
        <v>0.47176614994379074</v>
      </c>
      <c r="D2020" s="16">
        <v>0.75860748736748873</v>
      </c>
      <c r="E2020" s="16">
        <v>0.59415947943241498</v>
      </c>
      <c r="F2020" s="16">
        <v>1.2539289630327706</v>
      </c>
    </row>
    <row r="2021" spans="2:6" x14ac:dyDescent="0.35">
      <c r="B2021" s="7" t="s">
        <v>168</v>
      </c>
      <c r="C2021" s="16">
        <v>0.57162380489904141</v>
      </c>
      <c r="D2021" s="16">
        <v>1.7242417249057529</v>
      </c>
      <c r="E2021" s="16">
        <v>0.71992384869168158</v>
      </c>
      <c r="F2021" s="31">
        <v>2.8500597135308019</v>
      </c>
    </row>
    <row r="2022" spans="2:6" x14ac:dyDescent="0.35">
      <c r="B2022" s="7" t="s">
        <v>169</v>
      </c>
      <c r="C2022" s="16">
        <v>0.51028914250557655</v>
      </c>
      <c r="D2022" s="16">
        <v>0.9179835554534248</v>
      </c>
      <c r="E2022" s="16">
        <v>0.64267673996375352</v>
      </c>
      <c r="F2022" s="31">
        <v>1.5173672642822644</v>
      </c>
    </row>
    <row r="2023" spans="2:6" x14ac:dyDescent="0.35">
      <c r="B2023" s="7" t="s">
        <v>170</v>
      </c>
      <c r="C2023" s="16">
        <v>0.61333874261215893</v>
      </c>
      <c r="D2023" s="16">
        <v>1.3070127624850907</v>
      </c>
      <c r="E2023" s="16">
        <v>0.77246116125455744</v>
      </c>
      <c r="F2023" s="31">
        <v>2.1604073057871114</v>
      </c>
    </row>
    <row r="2024" spans="2:6" x14ac:dyDescent="0.35">
      <c r="B2024" s="7" t="s">
        <v>171</v>
      </c>
      <c r="C2024" s="16">
        <v>0.61884356971654619</v>
      </c>
      <c r="D2024" s="16">
        <v>0.86410313237912739</v>
      </c>
      <c r="E2024" s="16">
        <v>0.77939414109445881</v>
      </c>
      <c r="F2024" s="16">
        <v>1.4283064203565414</v>
      </c>
    </row>
    <row r="2025" spans="2:6" x14ac:dyDescent="0.35">
      <c r="B2025" s="7" t="s">
        <v>172</v>
      </c>
      <c r="C2025" s="16">
        <v>0.48021188871140869</v>
      </c>
      <c r="D2025" s="16">
        <v>1.9717545529263931E-2</v>
      </c>
      <c r="E2025" s="16">
        <v>0.60479635058179249</v>
      </c>
      <c r="F2025" s="16">
        <v>3.2591823612049632E-2</v>
      </c>
    </row>
    <row r="2026" spans="2:6" x14ac:dyDescent="0.35">
      <c r="B2026" s="7" t="s">
        <v>173</v>
      </c>
      <c r="C2026" s="16">
        <v>0.70700847919048582</v>
      </c>
      <c r="D2026" s="16">
        <v>1.6348140620755094</v>
      </c>
      <c r="E2026" s="16">
        <v>0.89043224063484194</v>
      </c>
      <c r="F2026" s="31">
        <v>2.7022415883653039</v>
      </c>
    </row>
    <row r="2027" spans="2:6" x14ac:dyDescent="0.35">
      <c r="B2027" s="7" t="s">
        <v>174</v>
      </c>
      <c r="C2027" s="16">
        <v>2.063600007717195</v>
      </c>
      <c r="D2027" s="16">
        <v>1.1694850474952281</v>
      </c>
      <c r="E2027" s="31">
        <v>2.5989730430809042</v>
      </c>
      <c r="F2027" s="31">
        <v>1.9330829148244824</v>
      </c>
    </row>
    <row r="2028" spans="2:6" x14ac:dyDescent="0.35">
      <c r="B2028" s="7" t="s">
        <v>175</v>
      </c>
      <c r="C2028" s="16">
        <v>0.51911541434123165</v>
      </c>
      <c r="D2028" s="16">
        <v>0.54827112487597762</v>
      </c>
      <c r="E2028" s="16">
        <v>0.6537928683248635</v>
      </c>
      <c r="F2028" s="16">
        <v>0.90625660110774275</v>
      </c>
    </row>
    <row r="2029" spans="2:6" x14ac:dyDescent="0.35">
      <c r="B2029" s="7" t="s">
        <v>176</v>
      </c>
      <c r="C2029" s="16">
        <v>0.48290818471522101</v>
      </c>
      <c r="D2029" s="16">
        <v>1.1573972413635378</v>
      </c>
      <c r="E2029" s="16">
        <v>0.60819216401650311</v>
      </c>
      <c r="F2029" s="31">
        <v>1.9131025554680909</v>
      </c>
    </row>
    <row r="2030" spans="2:6" x14ac:dyDescent="0.35">
      <c r="B2030" s="7" t="s">
        <v>177</v>
      </c>
      <c r="C2030" s="16">
        <v>0.65462476396561264</v>
      </c>
      <c r="D2030" s="16">
        <v>0.46706895907718776</v>
      </c>
      <c r="E2030" s="16">
        <v>0.82445828092523832</v>
      </c>
      <c r="F2030" s="16">
        <v>0.77203468891777438</v>
      </c>
    </row>
    <row r="2031" spans="2:6" x14ac:dyDescent="0.35">
      <c r="B2031" s="7" t="s">
        <v>178</v>
      </c>
      <c r="C2031" s="16">
        <v>1.932661617165798</v>
      </c>
      <c r="D2031" s="16">
        <v>0.36463534218014049</v>
      </c>
      <c r="E2031" s="31">
        <v>2.4340644628934416</v>
      </c>
      <c r="F2031" s="16">
        <v>0.60271856542268842</v>
      </c>
    </row>
    <row r="2032" spans="2:6" x14ac:dyDescent="0.35">
      <c r="B2032" s="7" t="s">
        <v>179</v>
      </c>
      <c r="C2032" s="16">
        <v>0.50907463330567937</v>
      </c>
      <c r="D2032" s="16">
        <v>1.1876393496221334</v>
      </c>
      <c r="E2032" s="16">
        <v>0.64114714282317287</v>
      </c>
      <c r="F2032" s="31">
        <v>1.9630907985056334</v>
      </c>
    </row>
    <row r="2033" spans="2:6" x14ac:dyDescent="0.35">
      <c r="B2033" s="7" t="s">
        <v>180</v>
      </c>
      <c r="C2033" s="16">
        <v>1.8524981934967832</v>
      </c>
      <c r="D2033" s="16">
        <v>0.96958845521659376</v>
      </c>
      <c r="E2033" s="31">
        <v>2.3331037261335514</v>
      </c>
      <c r="F2033" s="31">
        <v>1.602666815796042</v>
      </c>
    </row>
    <row r="2034" spans="2:6" x14ac:dyDescent="0.35">
      <c r="B2034" s="7" t="s">
        <v>181</v>
      </c>
      <c r="C2034" s="16">
        <v>0.60424076313929731</v>
      </c>
      <c r="D2034" s="16">
        <v>1.0751085789132093</v>
      </c>
      <c r="E2034" s="16">
        <v>0.76100283439467931</v>
      </c>
      <c r="F2034" s="31">
        <v>1.7770847347980596</v>
      </c>
    </row>
    <row r="2035" spans="2:6" x14ac:dyDescent="0.35">
      <c r="B2035" s="7" t="s">
        <v>182</v>
      </c>
      <c r="C2035" s="16">
        <v>0.84565898372756787</v>
      </c>
      <c r="D2035" s="16">
        <v>1.6009238030078026</v>
      </c>
      <c r="E2035" s="16">
        <v>1.0650537381895302</v>
      </c>
      <c r="F2035" s="31">
        <v>2.6462231887089143</v>
      </c>
    </row>
    <row r="2036" spans="2:6" x14ac:dyDescent="0.35">
      <c r="B2036" s="7" t="s">
        <v>183</v>
      </c>
      <c r="C2036" s="16">
        <v>0.40093467147569939</v>
      </c>
      <c r="D2036" s="16">
        <v>0.3169931047187266</v>
      </c>
      <c r="E2036" s="16">
        <v>0.50495173449555641</v>
      </c>
      <c r="F2036" s="16">
        <v>0.52396903762161073</v>
      </c>
    </row>
    <row r="2037" spans="2:6" x14ac:dyDescent="0.35">
      <c r="B2037" s="7" t="s">
        <v>184</v>
      </c>
      <c r="C2037" s="16">
        <v>0.60883846756732118</v>
      </c>
      <c r="D2037" s="16">
        <v>1.0361652859975818</v>
      </c>
      <c r="E2037" s="16">
        <v>0.7667933508822744</v>
      </c>
      <c r="F2037" s="31">
        <v>1.7127139979994672</v>
      </c>
    </row>
    <row r="2038" spans="2:6" x14ac:dyDescent="0.35">
      <c r="B2038" s="7" t="s">
        <v>185</v>
      </c>
      <c r="C2038" s="16">
        <v>0.62419912092271512</v>
      </c>
      <c r="D2038" s="16">
        <v>0.71798483570690463</v>
      </c>
      <c r="E2038" s="16">
        <v>0.7861391174288358</v>
      </c>
      <c r="F2038" s="16">
        <v>1.1867823551747834</v>
      </c>
    </row>
    <row r="2039" spans="2:6" x14ac:dyDescent="0.35">
      <c r="B2039" s="7" t="s">
        <v>186</v>
      </c>
      <c r="C2039" s="16">
        <v>0.7690219707990763</v>
      </c>
      <c r="D2039" s="16">
        <v>0.31997081720421489</v>
      </c>
      <c r="E2039" s="16">
        <v>0.96853429161144688</v>
      </c>
      <c r="F2039" s="16">
        <v>0.52889100318524518</v>
      </c>
    </row>
    <row r="2040" spans="2:6" x14ac:dyDescent="0.35">
      <c r="B2040" s="7" t="s">
        <v>187</v>
      </c>
      <c r="C2040" s="16">
        <v>0.71677219764597599</v>
      </c>
      <c r="D2040" s="16">
        <v>0.35055101155226381</v>
      </c>
      <c r="E2040" s="16">
        <v>0.90272902342760897</v>
      </c>
      <c r="F2040" s="16">
        <v>0.57943808059579827</v>
      </c>
    </row>
    <row r="2041" spans="2:6" x14ac:dyDescent="0.35">
      <c r="B2041" s="7" t="s">
        <v>188</v>
      </c>
      <c r="C2041" s="16">
        <v>0.57350761867309075</v>
      </c>
      <c r="D2041" s="16">
        <v>0.53419793781934533</v>
      </c>
      <c r="E2041" s="16">
        <v>0.72229639240103871</v>
      </c>
      <c r="F2041" s="16">
        <v>0.88299453588119625</v>
      </c>
    </row>
    <row r="2042" spans="2:6" x14ac:dyDescent="0.35">
      <c r="B2042" s="7" t="s">
        <v>189</v>
      </c>
      <c r="C2042" s="16">
        <v>0.76597020261256354</v>
      </c>
      <c r="D2042" s="16">
        <v>0.53123731477604696</v>
      </c>
      <c r="E2042" s="16">
        <v>0.96469078355716431</v>
      </c>
      <c r="F2042" s="16">
        <v>0.87810081805684836</v>
      </c>
    </row>
    <row r="2043" spans="2:6" x14ac:dyDescent="0.35">
      <c r="B2043" s="7" t="s">
        <v>190</v>
      </c>
      <c r="C2043" s="16">
        <v>0.81432874817510048</v>
      </c>
      <c r="D2043" s="16">
        <v>0.14820176060572127</v>
      </c>
      <c r="E2043" s="16">
        <v>1.0255952979250753</v>
      </c>
      <c r="F2043" s="16">
        <v>0.24496789590206092</v>
      </c>
    </row>
    <row r="2044" spans="2:6" x14ac:dyDescent="0.35">
      <c r="B2044" s="7" t="s">
        <v>191</v>
      </c>
      <c r="C2044" s="16">
        <v>0.45694336563675847</v>
      </c>
      <c r="D2044" s="16">
        <v>0.93835040613779397</v>
      </c>
      <c r="E2044" s="16">
        <v>0.57549112476420783</v>
      </c>
      <c r="F2044" s="31">
        <v>1.5510323471929512</v>
      </c>
    </row>
    <row r="2045" spans="2:6" x14ac:dyDescent="0.35">
      <c r="B2045" s="7" t="s">
        <v>192</v>
      </c>
      <c r="C2045" s="16">
        <v>0.43383232571062247</v>
      </c>
      <c r="D2045" s="16">
        <v>0.65874294727521787</v>
      </c>
      <c r="E2045" s="16">
        <v>0.54638423896222565</v>
      </c>
      <c r="F2045" s="16">
        <v>1.088859356830763</v>
      </c>
    </row>
    <row r="2046" spans="2:6" x14ac:dyDescent="0.35">
      <c r="B2046" s="7" t="s">
        <v>193</v>
      </c>
      <c r="C2046" s="16">
        <v>0.3911075041491997</v>
      </c>
      <c r="D2046" s="16">
        <v>0.37887424545405451</v>
      </c>
      <c r="E2046" s="16">
        <v>0.49257504188269302</v>
      </c>
      <c r="F2046" s="16">
        <v>0.6262545488057969</v>
      </c>
    </row>
    <row r="2047" spans="2:6" x14ac:dyDescent="0.35">
      <c r="B2047" s="7" t="s">
        <v>194</v>
      </c>
      <c r="C2047" s="16">
        <v>0.50644373463786729</v>
      </c>
      <c r="D2047" s="16">
        <v>0.35728238275427221</v>
      </c>
      <c r="E2047" s="16">
        <v>0.63783369317636607</v>
      </c>
      <c r="F2047" s="16">
        <v>0.59056460050455073</v>
      </c>
    </row>
    <row r="2048" spans="2:6" x14ac:dyDescent="0.35">
      <c r="B2048" s="7" t="s">
        <v>195</v>
      </c>
      <c r="C2048" s="16">
        <v>0.75443740308298635</v>
      </c>
      <c r="D2048" s="16">
        <v>1.3522667326566895</v>
      </c>
      <c r="E2048" s="16">
        <v>0.95016595559799766</v>
      </c>
      <c r="F2048" s="31">
        <v>2.2352091826935809</v>
      </c>
    </row>
    <row r="2049" spans="2:6" x14ac:dyDescent="0.35">
      <c r="B2049" s="7" t="s">
        <v>196</v>
      </c>
      <c r="C2049" s="16">
        <v>0.52831204974459833</v>
      </c>
      <c r="D2049" s="16">
        <v>0.79019829790588181</v>
      </c>
      <c r="E2049" s="16">
        <v>0.66537544605844001</v>
      </c>
      <c r="F2049" s="16">
        <v>1.3061465234436693</v>
      </c>
    </row>
    <row r="2050" spans="2:6" x14ac:dyDescent="0.35">
      <c r="B2050" s="7" t="s">
        <v>197</v>
      </c>
      <c r="C2050" s="16">
        <v>0.41688353424314073</v>
      </c>
      <c r="D2050" s="16">
        <v>1.4089816027849911</v>
      </c>
      <c r="E2050" s="16">
        <v>0.5250383134087977</v>
      </c>
      <c r="F2050" s="31">
        <v>2.3289551837188367</v>
      </c>
    </row>
    <row r="2051" spans="2:6" x14ac:dyDescent="0.35">
      <c r="B2051" s="7" t="s">
        <v>198</v>
      </c>
      <c r="C2051" s="16">
        <v>0.82828546169095452</v>
      </c>
      <c r="D2051" s="16">
        <v>0.32737466212366384</v>
      </c>
      <c r="E2051" s="16">
        <v>1.043172891481025</v>
      </c>
      <c r="F2051" s="16">
        <v>0.54112907852314751</v>
      </c>
    </row>
    <row r="2052" spans="2:6" x14ac:dyDescent="0.35">
      <c r="B2052" s="7" t="s">
        <v>199</v>
      </c>
      <c r="C2052" s="16">
        <v>0.71687833734796735</v>
      </c>
      <c r="D2052" s="16">
        <v>0.29932278312507626</v>
      </c>
      <c r="E2052" s="16">
        <v>0.90286269963581045</v>
      </c>
      <c r="F2052" s="16">
        <v>0.49476114236437874</v>
      </c>
    </row>
    <row r="2053" spans="2:6" x14ac:dyDescent="0.35">
      <c r="B2053" s="7" t="s">
        <v>200</v>
      </c>
      <c r="C2053" s="16">
        <v>0.7883894837659049</v>
      </c>
      <c r="D2053" s="16">
        <v>3.7385165786542329E-2</v>
      </c>
      <c r="E2053" s="16">
        <v>0.9929264431544147</v>
      </c>
      <c r="F2053" s="16">
        <v>6.1795253735504166E-2</v>
      </c>
    </row>
    <row r="2054" spans="2:6" x14ac:dyDescent="0.35">
      <c r="B2054" s="7" t="s">
        <v>201</v>
      </c>
      <c r="C2054" s="16">
        <v>0.61513916238396027</v>
      </c>
      <c r="D2054" s="16">
        <v>0.43438277262289776</v>
      </c>
      <c r="E2054" s="16">
        <v>0.77472867551877667</v>
      </c>
      <c r="F2054" s="16">
        <v>0.71800654317885826</v>
      </c>
    </row>
    <row r="2055" spans="2:6" x14ac:dyDescent="0.35">
      <c r="B2055" s="7" t="s">
        <v>202</v>
      </c>
      <c r="C2055" s="16">
        <v>0.73463785054894981</v>
      </c>
      <c r="D2055" s="16">
        <v>1.5167672829844534</v>
      </c>
      <c r="E2055" s="16">
        <v>0.92522967768145037</v>
      </c>
      <c r="F2055" s="31">
        <v>2.5071179206452929</v>
      </c>
    </row>
    <row r="2056" spans="2:6" x14ac:dyDescent="0.35">
      <c r="B2056" s="7" t="s">
        <v>203</v>
      </c>
      <c r="C2056" s="16">
        <v>0.76055080868826541</v>
      </c>
      <c r="D2056" s="16">
        <v>0.42037135451387464</v>
      </c>
      <c r="E2056" s="16">
        <v>0.95786540137727749</v>
      </c>
      <c r="F2056" s="16">
        <v>0.69484657801553662</v>
      </c>
    </row>
    <row r="2057" spans="2:6" x14ac:dyDescent="0.35">
      <c r="B2057" s="7" t="s">
        <v>204</v>
      </c>
      <c r="C2057" s="16">
        <v>0.7634038296755794</v>
      </c>
      <c r="D2057" s="16">
        <v>0.19605360635261429</v>
      </c>
      <c r="E2057" s="16">
        <v>0.96145859996694782</v>
      </c>
      <c r="F2057" s="16">
        <v>0.32406389260099511</v>
      </c>
    </row>
    <row r="2058" spans="2:6" x14ac:dyDescent="0.35">
      <c r="B2058" s="7" t="s">
        <v>205</v>
      </c>
      <c r="C2058" s="16">
        <v>0.38809406201065338</v>
      </c>
      <c r="D2058" s="16">
        <v>0.71563046686505261</v>
      </c>
      <c r="E2058" s="16">
        <v>0.48877980304974217</v>
      </c>
      <c r="F2058" s="16">
        <v>1.1828907362155441</v>
      </c>
    </row>
    <row r="2059" spans="2:6" x14ac:dyDescent="0.35">
      <c r="B2059" s="7" t="s">
        <v>206</v>
      </c>
      <c r="C2059" s="16">
        <v>0.5094844180646162</v>
      </c>
      <c r="D2059" s="16">
        <v>0.86053921600330641</v>
      </c>
      <c r="E2059" s="16">
        <v>0.64166324068029601</v>
      </c>
      <c r="F2059" s="16">
        <v>1.4224154977913337</v>
      </c>
    </row>
    <row r="2060" spans="2:6" x14ac:dyDescent="0.35">
      <c r="B2060" s="7" t="s">
        <v>207</v>
      </c>
      <c r="C2060" s="16">
        <v>0.47097580626513835</v>
      </c>
      <c r="D2060" s="16">
        <v>8.3263258909505606E-3</v>
      </c>
      <c r="E2060" s="16">
        <v>0.59316409180501362</v>
      </c>
      <c r="F2060" s="16">
        <v>1.376287653914869E-2</v>
      </c>
    </row>
    <row r="2061" spans="2:6" x14ac:dyDescent="0.35">
      <c r="B2061" s="7" t="s">
        <v>208</v>
      </c>
      <c r="C2061" s="16">
        <v>0.53742364954632849</v>
      </c>
      <c r="D2061" s="16">
        <v>0.74970155790171877</v>
      </c>
      <c r="E2061" s="16">
        <v>0.67685092685679216</v>
      </c>
      <c r="F2061" s="16">
        <v>1.2392080393854059</v>
      </c>
    </row>
    <row r="2062" spans="2:6" x14ac:dyDescent="0.35">
      <c r="B2062" s="7" t="s">
        <v>209</v>
      </c>
      <c r="C2062" s="16">
        <v>0.75333661380787287</v>
      </c>
      <c r="D2062" s="16">
        <v>1.02579067544846</v>
      </c>
      <c r="E2062" s="16">
        <v>0.94877958147441088</v>
      </c>
      <c r="F2062" s="31">
        <v>1.695565439799926</v>
      </c>
    </row>
    <row r="2063" spans="2:6" x14ac:dyDescent="0.35">
      <c r="B2063" s="7" t="s">
        <v>210</v>
      </c>
      <c r="C2063" s="16">
        <v>0.74743983964009908</v>
      </c>
      <c r="D2063" s="16">
        <v>9.4483527033515508E-3</v>
      </c>
      <c r="E2063" s="16">
        <v>0.94135296922113154</v>
      </c>
      <c r="F2063" s="16">
        <v>1.5617514070148142E-2</v>
      </c>
    </row>
    <row r="2064" spans="2:6" x14ac:dyDescent="0.35">
      <c r="B2064" s="7" t="s">
        <v>211</v>
      </c>
      <c r="C2064" s="16">
        <v>0.49627469602353597</v>
      </c>
      <c r="D2064" s="16">
        <v>0.8613631129398277</v>
      </c>
      <c r="E2064" s="16">
        <v>0.62502643540651737</v>
      </c>
      <c r="F2064" s="16">
        <v>1.4237773459782572</v>
      </c>
    </row>
    <row r="2065" spans="2:6" x14ac:dyDescent="0.35">
      <c r="B2065" s="7" t="s">
        <v>212</v>
      </c>
      <c r="C2065" s="16">
        <v>0.52720657827041328</v>
      </c>
      <c r="D2065" s="16">
        <v>9.8821863746026431E-2</v>
      </c>
      <c r="E2065" s="16">
        <v>0.66398317500273274</v>
      </c>
      <c r="F2065" s="16">
        <v>0.1633461298438158</v>
      </c>
    </row>
    <row r="2066" spans="2:6" x14ac:dyDescent="0.35">
      <c r="B2066" s="7" t="s">
        <v>213</v>
      </c>
      <c r="C2066" s="16">
        <v>0.70827993188426719</v>
      </c>
      <c r="D2066" s="16">
        <v>8.2632239076842487E-2</v>
      </c>
      <c r="E2066" s="16">
        <v>0.89203355448652488</v>
      </c>
      <c r="F2066" s="16">
        <v>0.13658573054461215</v>
      </c>
    </row>
    <row r="2067" spans="2:6" x14ac:dyDescent="0.35">
      <c r="B2067" s="7" t="s">
        <v>214</v>
      </c>
      <c r="C2067" s="16">
        <v>0.49987596746794627</v>
      </c>
      <c r="D2067" s="16">
        <v>0.58450655079445535</v>
      </c>
      <c r="E2067" s="16">
        <v>0.62956200788657046</v>
      </c>
      <c r="F2067" s="16">
        <v>0.96615140942908073</v>
      </c>
    </row>
    <row r="2068" spans="2:6" x14ac:dyDescent="0.35">
      <c r="B2068" s="7" t="s">
        <v>215</v>
      </c>
      <c r="C2068" s="16">
        <v>0.3970392122930021</v>
      </c>
      <c r="D2068" s="16">
        <v>0.22091504033847692</v>
      </c>
      <c r="E2068" s="16">
        <v>0.50004565125830547</v>
      </c>
      <c r="F2068" s="16">
        <v>0.36515823012932841</v>
      </c>
    </row>
    <row r="2069" spans="2:6" x14ac:dyDescent="0.35">
      <c r="B2069" s="7" t="s">
        <v>216</v>
      </c>
      <c r="C2069" s="16">
        <v>0.73940463363998565</v>
      </c>
      <c r="D2069" s="16">
        <v>2.2150106456687971E-2</v>
      </c>
      <c r="E2069" s="16">
        <v>0.93123313799812324</v>
      </c>
      <c r="F2069" s="16">
        <v>3.6612689016138691E-2</v>
      </c>
    </row>
    <row r="2070" spans="2:6" x14ac:dyDescent="0.35">
      <c r="B2070" s="7" t="s">
        <v>217</v>
      </c>
      <c r="C2070" s="16">
        <v>0.76196093781519658</v>
      </c>
      <c r="D2070" s="16">
        <v>0.27391315235175351</v>
      </c>
      <c r="E2070" s="16">
        <v>0.95964136938195466</v>
      </c>
      <c r="F2070" s="16">
        <v>0.45276067110986362</v>
      </c>
    </row>
    <row r="2071" spans="2:6" x14ac:dyDescent="0.35">
      <c r="B2071" s="7" t="s">
        <v>218</v>
      </c>
      <c r="C2071" s="16">
        <v>0.80051726150117442</v>
      </c>
      <c r="D2071" s="16">
        <v>0.1612916046234848</v>
      </c>
      <c r="E2071" s="16">
        <v>1.0082006083456188</v>
      </c>
      <c r="F2071" s="16">
        <v>0.26660455887834356</v>
      </c>
    </row>
    <row r="2072" spans="2:6" x14ac:dyDescent="0.35">
      <c r="B2072" s="7" t="s">
        <v>219</v>
      </c>
      <c r="C2072" s="16">
        <v>0.55044383060035529</v>
      </c>
      <c r="D2072" s="16">
        <v>0.67552484960433024</v>
      </c>
      <c r="E2072" s="16">
        <v>0.69324901730499</v>
      </c>
      <c r="F2072" s="16">
        <v>1.1165987526786545</v>
      </c>
    </row>
    <row r="2073" spans="2:6" x14ac:dyDescent="0.35">
      <c r="B2073" s="7" t="s">
        <v>220</v>
      </c>
      <c r="C2073" s="16">
        <v>0.45955271473061765</v>
      </c>
      <c r="D2073" s="16">
        <v>1.079304303113799</v>
      </c>
      <c r="E2073" s="16">
        <v>0.57877743409235594</v>
      </c>
      <c r="F2073" s="31">
        <v>1.7840199947099729</v>
      </c>
    </row>
    <row r="2074" spans="2:6" x14ac:dyDescent="0.35">
      <c r="B2074" s="7" t="s">
        <v>221</v>
      </c>
      <c r="C2074" s="16">
        <v>0.48024815422198963</v>
      </c>
      <c r="D2074" s="16">
        <v>1.0613980374152194E-2</v>
      </c>
      <c r="E2074" s="16">
        <v>0.60484202468725912</v>
      </c>
      <c r="F2074" s="16">
        <v>1.7544220991538323E-2</v>
      </c>
    </row>
    <row r="2075" spans="2:6" x14ac:dyDescent="0.35">
      <c r="B2075" s="7" t="s">
        <v>222</v>
      </c>
      <c r="C2075" s="16">
        <v>1.2205903460758549</v>
      </c>
      <c r="D2075" s="16">
        <v>0.60081737113098999</v>
      </c>
      <c r="E2075" s="31">
        <v>1.5372559576626452</v>
      </c>
      <c r="F2075" s="16">
        <v>0.99311213730401793</v>
      </c>
    </row>
    <row r="2076" spans="2:6" x14ac:dyDescent="0.35">
      <c r="B2076" s="7" t="s">
        <v>223</v>
      </c>
      <c r="C2076" s="16">
        <v>0.39560835760423047</v>
      </c>
      <c r="D2076" s="16">
        <v>0.33664524721368566</v>
      </c>
      <c r="E2076" s="16">
        <v>0.49824358072584929</v>
      </c>
      <c r="F2076" s="16">
        <v>0.55645275426088359</v>
      </c>
    </row>
    <row r="2077" spans="2:6" x14ac:dyDescent="0.35">
      <c r="B2077" s="7" t="s">
        <v>224</v>
      </c>
      <c r="C2077" s="16">
        <v>0.5466881418913252</v>
      </c>
      <c r="D2077" s="16">
        <v>0.3739409675477891</v>
      </c>
      <c r="E2077" s="16">
        <v>0.68851896609522556</v>
      </c>
      <c r="F2077" s="16">
        <v>0.61810016046615324</v>
      </c>
    </row>
    <row r="2078" spans="2:6" x14ac:dyDescent="0.35">
      <c r="B2078" s="7" t="s">
        <v>225</v>
      </c>
      <c r="C2078" s="16">
        <v>0.501754145930006</v>
      </c>
      <c r="D2078" s="16">
        <v>0.21858977994727316</v>
      </c>
      <c r="E2078" s="16">
        <v>0.63192745427866859</v>
      </c>
      <c r="F2078" s="16">
        <v>0.36131472555064126</v>
      </c>
    </row>
    <row r="2079" spans="2:6" x14ac:dyDescent="0.35">
      <c r="B2079" s="7" t="s">
        <v>226</v>
      </c>
      <c r="C2079" s="16">
        <v>0.55597123522316028</v>
      </c>
      <c r="D2079" s="16">
        <v>6.0361427033189467E-2</v>
      </c>
      <c r="E2079" s="16">
        <v>0.70021043209426526</v>
      </c>
      <c r="F2079" s="16">
        <v>9.977352302382414E-2</v>
      </c>
    </row>
    <row r="2080" spans="2:6" x14ac:dyDescent="0.35">
      <c r="B2080" s="7" t="s">
        <v>227</v>
      </c>
      <c r="C2080" s="16">
        <v>0.51478984350101809</v>
      </c>
      <c r="D2080" s="16">
        <v>0.30312232588093485</v>
      </c>
      <c r="E2080" s="16">
        <v>0.6483450867937478</v>
      </c>
      <c r="F2080" s="16">
        <v>0.50104154004986123</v>
      </c>
    </row>
    <row r="2081" spans="2:6" x14ac:dyDescent="0.35">
      <c r="B2081" s="7" t="s">
        <v>228</v>
      </c>
      <c r="C2081" s="16">
        <v>0.39700407090020828</v>
      </c>
      <c r="D2081" s="16">
        <v>0.27363921330727514</v>
      </c>
      <c r="E2081" s="16">
        <v>0.50000139290774048</v>
      </c>
      <c r="F2081" s="16">
        <v>0.45230786764074815</v>
      </c>
    </row>
    <row r="2082" spans="2:6" x14ac:dyDescent="0.35">
      <c r="B2082" s="7" t="s">
        <v>229</v>
      </c>
      <c r="C2082" s="16">
        <v>2.5344507963305305</v>
      </c>
      <c r="D2082" s="16">
        <v>0.1768535149272136</v>
      </c>
      <c r="E2082" s="31">
        <v>3.1919796830998499</v>
      </c>
      <c r="F2082" s="16">
        <v>0.29232738705352973</v>
      </c>
    </row>
    <row r="2083" spans="2:6" x14ac:dyDescent="0.35">
      <c r="B2083" s="7" t="s">
        <v>230</v>
      </c>
      <c r="C2083" s="16">
        <v>0.62673914948062237</v>
      </c>
      <c r="D2083" s="16">
        <v>0.4737481217735432</v>
      </c>
      <c r="E2083" s="16">
        <v>0.7893381219481076</v>
      </c>
      <c r="F2083" s="16">
        <v>0.78307491155363529</v>
      </c>
    </row>
    <row r="2084" spans="2:6" x14ac:dyDescent="0.35">
      <c r="B2084" s="7" t="s">
        <v>231</v>
      </c>
      <c r="C2084" s="16">
        <v>0.78551535896129132</v>
      </c>
      <c r="D2084" s="16">
        <v>0.14744135134452294</v>
      </c>
      <c r="E2084" s="16">
        <v>0.98930666564825731</v>
      </c>
      <c r="F2084" s="16">
        <v>0.24371098872377328</v>
      </c>
    </row>
    <row r="2085" spans="2:6" x14ac:dyDescent="0.35">
      <c r="B2085" s="7" t="s">
        <v>232</v>
      </c>
      <c r="C2085" s="16">
        <v>0.63600051005929392</v>
      </c>
      <c r="D2085" s="16">
        <v>0.22976467398363598</v>
      </c>
      <c r="E2085" s="16">
        <v>0.801002216925916</v>
      </c>
      <c r="F2085" s="16">
        <v>0.37978610043733479</v>
      </c>
    </row>
    <row r="2086" spans="2:6" x14ac:dyDescent="0.35">
      <c r="B2086" s="7" t="s">
        <v>233</v>
      </c>
      <c r="C2086" s="16">
        <v>0.45456588935739961</v>
      </c>
      <c r="D2086" s="16">
        <v>0.26804005519787444</v>
      </c>
      <c r="E2086" s="16">
        <v>0.57249684450761229</v>
      </c>
      <c r="F2086" s="16">
        <v>0.44305282252335637</v>
      </c>
    </row>
    <row r="2087" spans="2:6" x14ac:dyDescent="0.35">
      <c r="B2087" s="7" t="s">
        <v>234</v>
      </c>
      <c r="C2087" s="16">
        <v>1.7099977985541785</v>
      </c>
      <c r="D2087" s="16">
        <v>7.2603032787993516E-2</v>
      </c>
      <c r="E2087" s="31">
        <v>2.1536335363200187</v>
      </c>
      <c r="F2087" s="16">
        <v>0.12000810317968998</v>
      </c>
    </row>
    <row r="2088" spans="2:6" x14ac:dyDescent="0.35">
      <c r="B2088" s="7" t="s">
        <v>235</v>
      </c>
      <c r="C2088" s="16">
        <v>0.53904345980867852</v>
      </c>
      <c r="D2088" s="16">
        <v>0.81286443446359735</v>
      </c>
      <c r="E2088" s="16">
        <v>0.67889097492376738</v>
      </c>
      <c r="F2088" s="16">
        <v>1.343612176740085</v>
      </c>
    </row>
    <row r="2089" spans="2:6" x14ac:dyDescent="0.35">
      <c r="B2089" s="7" t="s">
        <v>236</v>
      </c>
      <c r="C2089" s="16">
        <v>0.81669953565983988</v>
      </c>
      <c r="D2089" s="16">
        <v>0.60303993210138807</v>
      </c>
      <c r="E2089" s="16">
        <v>1.0285811540700012</v>
      </c>
      <c r="F2089" s="16">
        <v>0.99678588640259269</v>
      </c>
    </row>
    <row r="2090" spans="2:6" x14ac:dyDescent="0.35">
      <c r="B2090" s="7" t="s">
        <v>237</v>
      </c>
      <c r="C2090" s="16">
        <v>1.2338571814650885</v>
      </c>
      <c r="D2090" s="16">
        <v>1.0017272337235448</v>
      </c>
      <c r="E2090" s="31">
        <v>1.5539646935681819</v>
      </c>
      <c r="F2090" s="31">
        <v>1.6557901317103216</v>
      </c>
    </row>
    <row r="2091" spans="2:6" x14ac:dyDescent="0.35">
      <c r="B2091" s="7" t="s">
        <v>238</v>
      </c>
      <c r="C2091" s="16">
        <v>0.59587627571754809</v>
      </c>
      <c r="D2091" s="16">
        <v>7.3614824373849669E-2</v>
      </c>
      <c r="E2091" s="16">
        <v>0.75046829415092153</v>
      </c>
      <c r="F2091" s="16">
        <v>0.12168052903256492</v>
      </c>
    </row>
    <row r="2092" spans="2:6" x14ac:dyDescent="0.35">
      <c r="B2092" s="7" t="s">
        <v>239</v>
      </c>
      <c r="C2092" s="16">
        <v>0.5533413686540628</v>
      </c>
      <c r="D2092" s="16">
        <v>0.62159843111520263</v>
      </c>
      <c r="E2092" s="16">
        <v>0.69689828231018713</v>
      </c>
      <c r="F2092" s="16">
        <v>1.0274618813161047</v>
      </c>
    </row>
    <row r="2093" spans="2:6" x14ac:dyDescent="0.35">
      <c r="B2093" s="7" t="s">
        <v>240</v>
      </c>
      <c r="C2093" s="16">
        <v>0.56334912746144616</v>
      </c>
      <c r="D2093" s="16">
        <v>0.83719891361807974</v>
      </c>
      <c r="E2093" s="16">
        <v>0.70950241841445949</v>
      </c>
      <c r="F2093" s="16">
        <v>1.3838354921175948</v>
      </c>
    </row>
    <row r="2094" spans="2:6" x14ac:dyDescent="0.35">
      <c r="B2094" s="7" t="s">
        <v>241</v>
      </c>
      <c r="C2094" s="16">
        <v>0.55800992131674776</v>
      </c>
      <c r="D2094" s="16">
        <v>0.29903217768169754</v>
      </c>
      <c r="E2094" s="16">
        <v>0.70277802764607911</v>
      </c>
      <c r="F2094" s="16">
        <v>0.49428079041909007</v>
      </c>
    </row>
    <row r="2095" spans="2:6" x14ac:dyDescent="0.35">
      <c r="B2095" s="7" t="s">
        <v>242</v>
      </c>
      <c r="C2095" s="16">
        <v>0.75805197152548798</v>
      </c>
      <c r="D2095" s="16">
        <v>0.19308544462913199</v>
      </c>
      <c r="E2095" s="16">
        <v>0.95471827480196236</v>
      </c>
      <c r="F2095" s="16">
        <v>0.31915771382736441</v>
      </c>
    </row>
    <row r="2096" spans="2:6" x14ac:dyDescent="0.35">
      <c r="B2096" s="7" t="s">
        <v>243</v>
      </c>
      <c r="C2096" s="16">
        <v>0.82267953892799561</v>
      </c>
      <c r="D2096" s="16">
        <v>0.66405536744410576</v>
      </c>
      <c r="E2096" s="16">
        <v>1.0361125880849995</v>
      </c>
      <c r="F2096" s="16">
        <v>1.0976404427342048</v>
      </c>
    </row>
    <row r="2097" spans="2:6" x14ac:dyDescent="0.35">
      <c r="B2097" s="7" t="s">
        <v>244</v>
      </c>
      <c r="C2097" s="16">
        <v>0.68143691177367005</v>
      </c>
      <c r="D2097" s="16">
        <v>0.18481327450641571</v>
      </c>
      <c r="E2097" s="16">
        <v>0.85822647685451048</v>
      </c>
      <c r="F2097" s="16">
        <v>0.30548435325982826</v>
      </c>
    </row>
    <row r="2098" spans="2:6" x14ac:dyDescent="0.35">
      <c r="B2098" s="7" t="s">
        <v>245</v>
      </c>
      <c r="C2098" s="16">
        <v>0.8179402416329915</v>
      </c>
      <c r="D2098" s="16">
        <v>0.16946584412434432</v>
      </c>
      <c r="E2098" s="16">
        <v>1.0301437443813752</v>
      </c>
      <c r="F2098" s="16">
        <v>0.28011604648106075</v>
      </c>
    </row>
    <row r="2099" spans="2:6" x14ac:dyDescent="0.35">
      <c r="B2099" s="7" t="s">
        <v>246</v>
      </c>
      <c r="C2099" s="16">
        <v>0.53808225175841351</v>
      </c>
      <c r="D2099" s="16">
        <v>0.41251965196651735</v>
      </c>
      <c r="E2099" s="16">
        <v>0.67768039448080908</v>
      </c>
      <c r="F2099" s="16">
        <v>0.68186822307283079</v>
      </c>
    </row>
    <row r="2100" spans="2:6" x14ac:dyDescent="0.35">
      <c r="B2100" s="7" t="s">
        <v>247</v>
      </c>
      <c r="C2100" s="16">
        <v>0.77866174623234941</v>
      </c>
      <c r="D2100" s="16">
        <v>0.37650168461943573</v>
      </c>
      <c r="E2100" s="16">
        <v>0.98067497604580345</v>
      </c>
      <c r="F2100" s="16">
        <v>0.62233285966269403</v>
      </c>
    </row>
    <row r="2101" spans="2:6" x14ac:dyDescent="0.35">
      <c r="B2101" s="7" t="s">
        <v>248</v>
      </c>
      <c r="C2101" s="16">
        <v>0.60930551533684474</v>
      </c>
      <c r="D2101" s="16">
        <v>1.1370419051903932E-2</v>
      </c>
      <c r="E2101" s="16">
        <v>0.76738156786147738</v>
      </c>
      <c r="F2101" s="16">
        <v>1.8794565052974707E-2</v>
      </c>
    </row>
    <row r="2102" spans="2:6" x14ac:dyDescent="0.35">
      <c r="B2102" s="7" t="s">
        <v>249</v>
      </c>
      <c r="C2102" s="16">
        <v>0.58184189599129243</v>
      </c>
      <c r="D2102" s="16">
        <v>0.29010579166177247</v>
      </c>
      <c r="E2102" s="16">
        <v>0.73279288493959427</v>
      </c>
      <c r="F2102" s="16">
        <v>0.47952605341479698</v>
      </c>
    </row>
    <row r="2103" spans="2:6" x14ac:dyDescent="0.35">
      <c r="B2103" s="7" t="s">
        <v>250</v>
      </c>
      <c r="C2103" s="16">
        <v>0.78152165559518783</v>
      </c>
      <c r="D2103" s="16">
        <v>3.0463597203680595E-2</v>
      </c>
      <c r="E2103" s="16">
        <v>0.98427685010660759</v>
      </c>
      <c r="F2103" s="16">
        <v>5.0354349894986682E-2</v>
      </c>
    </row>
    <row r="2104" spans="2:6" x14ac:dyDescent="0.35">
      <c r="B2104" s="7" t="s">
        <v>251</v>
      </c>
      <c r="C2104" s="16">
        <v>0.61917620447123844</v>
      </c>
      <c r="D2104" s="16">
        <v>0.36115189081661164</v>
      </c>
      <c r="E2104" s="16">
        <v>0.77981307342504813</v>
      </c>
      <c r="F2104" s="16">
        <v>0.59696064630274592</v>
      </c>
    </row>
    <row r="2105" spans="2:6" x14ac:dyDescent="0.35">
      <c r="B2105" s="7" t="s">
        <v>252</v>
      </c>
      <c r="C2105" s="16">
        <v>0.78559154104182127</v>
      </c>
      <c r="D2105" s="16">
        <v>0.32684637378166609</v>
      </c>
      <c r="E2105" s="16">
        <v>0.98940261213639591</v>
      </c>
      <c r="F2105" s="16">
        <v>0.54025585216578276</v>
      </c>
    </row>
    <row r="2106" spans="2:6" x14ac:dyDescent="0.35">
      <c r="B2106" s="7" t="s">
        <v>253</v>
      </c>
      <c r="C2106" s="16">
        <v>0.75771800090129959</v>
      </c>
      <c r="D2106" s="16">
        <v>7.4319125871997946E-2</v>
      </c>
      <c r="E2106" s="16">
        <v>0.95429766002865324</v>
      </c>
      <c r="F2106" s="16">
        <v>0.12284469371844242</v>
      </c>
    </row>
    <row r="2107" spans="2:6" x14ac:dyDescent="0.35">
      <c r="B2107" s="7" t="s">
        <v>254</v>
      </c>
      <c r="C2107" s="16">
        <v>0.76376291476583624</v>
      </c>
      <c r="D2107" s="16">
        <v>0.33627595858088638</v>
      </c>
      <c r="E2107" s="16">
        <v>0.96191084481394318</v>
      </c>
      <c r="F2107" s="16">
        <v>0.55584234410794309</v>
      </c>
    </row>
    <row r="2108" spans="2:6" x14ac:dyDescent="0.35">
      <c r="B2108" s="7" t="s">
        <v>255</v>
      </c>
      <c r="C2108" s="16">
        <v>1.4989881137227627</v>
      </c>
      <c r="D2108" s="16">
        <v>0.20982377568747745</v>
      </c>
      <c r="E2108" s="31">
        <v>1.8878802504821737</v>
      </c>
      <c r="F2108" s="16">
        <v>0.34682508919130262</v>
      </c>
    </row>
    <row r="2109" spans="2:6" x14ac:dyDescent="0.35">
      <c r="B2109" s="7" t="s">
        <v>256</v>
      </c>
      <c r="C2109" s="16">
        <v>0.83089808423591216</v>
      </c>
      <c r="D2109" s="16">
        <v>1.8623143195466294</v>
      </c>
      <c r="E2109" s="16">
        <v>1.0464633235127645</v>
      </c>
      <c r="F2109" s="31">
        <v>3.0782847552082617</v>
      </c>
    </row>
    <row r="2110" spans="2:6" x14ac:dyDescent="0.35">
      <c r="B2110" s="7" t="s">
        <v>257</v>
      </c>
      <c r="C2110" s="16">
        <v>0.69252725087568168</v>
      </c>
      <c r="D2110" s="16">
        <v>4.8754929901665564E-2</v>
      </c>
      <c r="E2110" s="16">
        <v>0.87219405402884842</v>
      </c>
      <c r="F2110" s="16">
        <v>8.0588736220468471E-2</v>
      </c>
    </row>
    <row r="2111" spans="2:6" x14ac:dyDescent="0.35">
      <c r="B2111" s="7" t="s">
        <v>258</v>
      </c>
      <c r="C2111" s="16">
        <v>1.1250309846530597</v>
      </c>
      <c r="D2111" s="16">
        <v>0.21893166707815218</v>
      </c>
      <c r="E2111" s="31">
        <v>1.4169050158991745</v>
      </c>
      <c r="F2111" s="16">
        <v>0.36187984279854113</v>
      </c>
    </row>
    <row r="2112" spans="2:6" x14ac:dyDescent="0.35">
      <c r="B2112" s="7" t="s">
        <v>259</v>
      </c>
      <c r="C2112" s="16">
        <v>1.1011896326272943</v>
      </c>
      <c r="D2112" s="16">
        <v>3.3311842947967199E-2</v>
      </c>
      <c r="E2112" s="31">
        <v>1.3868783484278404</v>
      </c>
      <c r="F2112" s="16">
        <v>5.5062315334386144E-2</v>
      </c>
    </row>
    <row r="2113" spans="2:6" x14ac:dyDescent="0.35">
      <c r="B2113" s="7" t="s">
        <v>260</v>
      </c>
      <c r="C2113" s="16">
        <v>1.1569275466673004</v>
      </c>
      <c r="D2113" s="16">
        <v>0.2529519244300481</v>
      </c>
      <c r="E2113" s="31">
        <v>1.4570767083453642</v>
      </c>
      <c r="F2113" s="16">
        <v>0.41811312118524097</v>
      </c>
    </row>
    <row r="2114" spans="2:6" x14ac:dyDescent="0.35">
      <c r="B2114" s="7" t="s">
        <v>261</v>
      </c>
      <c r="C2114" s="16">
        <v>0.97930212504511793</v>
      </c>
      <c r="D2114" s="16">
        <v>0.56485911892592688</v>
      </c>
      <c r="E2114" s="16">
        <v>1.23336878004747</v>
      </c>
      <c r="F2114" s="16">
        <v>0.9336754791497025</v>
      </c>
    </row>
    <row r="2115" spans="2:6" x14ac:dyDescent="0.35">
      <c r="B2115" s="7" t="s">
        <v>262</v>
      </c>
      <c r="C2115" s="16">
        <v>1.1054752147049112</v>
      </c>
      <c r="D2115" s="16">
        <v>7.4942926700441476E-2</v>
      </c>
      <c r="E2115" s="31">
        <v>1.3922757666542331</v>
      </c>
      <c r="F2115" s="16">
        <v>0.12387579601966485</v>
      </c>
    </row>
    <row r="2116" spans="2:6" x14ac:dyDescent="0.35">
      <c r="B2116" s="7" t="s">
        <v>263</v>
      </c>
      <c r="C2116" s="16">
        <v>1.1306996596085435</v>
      </c>
      <c r="D2116" s="16">
        <v>0.62084763647552232</v>
      </c>
      <c r="E2116" s="31">
        <v>1.4240443516930272</v>
      </c>
      <c r="F2116" s="16">
        <v>1.0262208664834513</v>
      </c>
    </row>
    <row r="2117" spans="2:6" x14ac:dyDescent="0.35">
      <c r="B2117" s="7" t="s">
        <v>264</v>
      </c>
      <c r="C2117" s="16">
        <v>0.89169513750766827</v>
      </c>
      <c r="D2117" s="16">
        <v>6.0193215701533791E-2</v>
      </c>
      <c r="E2117" s="16">
        <v>1.123033347723436</v>
      </c>
      <c r="F2117" s="16">
        <v>9.9495480605069062E-2</v>
      </c>
    </row>
    <row r="2118" spans="2:6" x14ac:dyDescent="0.35">
      <c r="B2118" s="7" t="s">
        <v>265</v>
      </c>
      <c r="C2118" s="16">
        <v>0.91563392947317768</v>
      </c>
      <c r="D2118" s="16">
        <v>1.0068950373417549</v>
      </c>
      <c r="E2118" s="16">
        <v>1.1531827346053958</v>
      </c>
      <c r="F2118" s="31">
        <v>1.6643321758372867</v>
      </c>
    </row>
    <row r="2119" spans="2:6" x14ac:dyDescent="0.35">
      <c r="B2119" s="7" t="s">
        <v>266</v>
      </c>
      <c r="C2119" s="16">
        <v>1.6349501126689898</v>
      </c>
      <c r="D2119" s="16">
        <v>1.2410792628514014</v>
      </c>
      <c r="E2119" s="31">
        <v>2.0591157461320964</v>
      </c>
      <c r="F2119" s="31">
        <v>2.0514235082349748</v>
      </c>
    </row>
    <row r="2120" spans="2:6" x14ac:dyDescent="0.35">
      <c r="B2120" s="7" t="s">
        <v>267</v>
      </c>
      <c r="C2120" s="16">
        <v>1.083665629919554</v>
      </c>
      <c r="D2120" s="16">
        <v>0.91322761958143639</v>
      </c>
      <c r="E2120" s="31">
        <v>1.3648079808789102</v>
      </c>
      <c r="F2120" s="31">
        <v>1.5095060108204674</v>
      </c>
    </row>
    <row r="2121" spans="2:6" x14ac:dyDescent="0.35">
      <c r="B2121" s="7" t="s">
        <v>268</v>
      </c>
      <c r="C2121" s="16">
        <v>1.9934383096882764</v>
      </c>
      <c r="D2121" s="16">
        <v>0.17393769083281638</v>
      </c>
      <c r="E2121" s="31">
        <v>2.5106088440345689</v>
      </c>
      <c r="F2121" s="16">
        <v>0.28750771898544714</v>
      </c>
    </row>
    <row r="2122" spans="2:6" x14ac:dyDescent="0.35">
      <c r="B2122" s="7" t="s">
        <v>269</v>
      </c>
      <c r="C2122" s="16">
        <v>1.1001448210915383</v>
      </c>
      <c r="D2122" s="16">
        <v>0.12183874003777685</v>
      </c>
      <c r="E2122" s="31">
        <v>1.3855624747089148</v>
      </c>
      <c r="F2122" s="16">
        <v>0.20139153316684799</v>
      </c>
    </row>
    <row r="2123" spans="2:6" x14ac:dyDescent="0.35">
      <c r="B2123" s="7" t="s">
        <v>270</v>
      </c>
      <c r="C2123" s="16">
        <v>0.58986214545941196</v>
      </c>
      <c r="D2123" s="16">
        <v>0.74922042408093381</v>
      </c>
      <c r="E2123" s="16">
        <v>0.74289387936122409</v>
      </c>
      <c r="F2123" s="16">
        <v>1.2384127563925231</v>
      </c>
    </row>
    <row r="2124" spans="2:6" x14ac:dyDescent="0.35">
      <c r="B2124" s="7" t="s">
        <v>271</v>
      </c>
      <c r="C2124" s="16">
        <v>0.77304615959419609</v>
      </c>
      <c r="D2124" s="16">
        <v>0.12957779030752001</v>
      </c>
      <c r="E2124" s="16">
        <v>0.97360250161322637</v>
      </c>
      <c r="F2124" s="16">
        <v>0.21418368120281453</v>
      </c>
    </row>
    <row r="2125" spans="2:6" x14ac:dyDescent="0.35">
      <c r="B2125" s="7" t="s">
        <v>272</v>
      </c>
      <c r="C2125" s="16">
        <v>0.581877006973471</v>
      </c>
      <c r="D2125" s="16">
        <v>0.11205074737559052</v>
      </c>
      <c r="E2125" s="16">
        <v>0.73283710498992227</v>
      </c>
      <c r="F2125" s="16">
        <v>0.18521261627840699</v>
      </c>
    </row>
    <row r="2126" spans="2:6" x14ac:dyDescent="0.35">
      <c r="B2126" s="7" t="s">
        <v>273</v>
      </c>
      <c r="C2126" s="16">
        <v>0.50981201612426985</v>
      </c>
      <c r="D2126" s="16">
        <v>7.0037288885753834E-2</v>
      </c>
      <c r="E2126" s="16">
        <v>0.64207582961362686</v>
      </c>
      <c r="F2126" s="16">
        <v>0.11576709495828742</v>
      </c>
    </row>
    <row r="2127" spans="2:6" x14ac:dyDescent="0.35">
      <c r="B2127" s="7" t="s">
        <v>274</v>
      </c>
      <c r="C2127" s="16">
        <v>0.50689226924597031</v>
      </c>
      <c r="D2127" s="16">
        <v>7.8882366259625844E-2</v>
      </c>
      <c r="E2127" s="16">
        <v>0.63839859400549437</v>
      </c>
      <c r="F2127" s="16">
        <v>0.13038743404543796</v>
      </c>
    </row>
    <row r="2128" spans="2:6" x14ac:dyDescent="0.35">
      <c r="B2128" s="7" t="s">
        <v>275</v>
      </c>
      <c r="C2128" s="16">
        <v>0.4903014859158103</v>
      </c>
      <c r="D2128" s="16">
        <v>0.21793218606330392</v>
      </c>
      <c r="E2128" s="16">
        <v>0.61750355694529335</v>
      </c>
      <c r="F2128" s="16">
        <v>0.3602277655209114</v>
      </c>
    </row>
    <row r="2129" spans="2:6" x14ac:dyDescent="0.35">
      <c r="B2129" s="7" t="s">
        <v>276</v>
      </c>
      <c r="C2129" s="16">
        <v>0.50044232599380767</v>
      </c>
      <c r="D2129" s="16">
        <v>0.35896445347873956</v>
      </c>
      <c r="E2129" s="16">
        <v>0.63027530045098612</v>
      </c>
      <c r="F2129" s="16">
        <v>0.59334495429014078</v>
      </c>
    </row>
    <row r="2130" spans="2:6" x14ac:dyDescent="0.35">
      <c r="B2130" s="7" t="s">
        <v>277</v>
      </c>
      <c r="C2130" s="16">
        <v>0.74199706391912146</v>
      </c>
      <c r="D2130" s="16">
        <v>4.3479756597163521E-2</v>
      </c>
      <c r="E2130" s="16">
        <v>0.93449813915452173</v>
      </c>
      <c r="F2130" s="16">
        <v>7.1869216967519051E-2</v>
      </c>
    </row>
    <row r="2131" spans="2:6" x14ac:dyDescent="0.35">
      <c r="B2131" s="7" t="s">
        <v>278</v>
      </c>
      <c r="C2131" s="16">
        <v>0.5700344351068749</v>
      </c>
      <c r="D2131" s="16">
        <v>5.2741376479330568E-2</v>
      </c>
      <c r="E2131" s="16">
        <v>0.71792213846204389</v>
      </c>
      <c r="F2131" s="16">
        <v>8.7178073798276356E-2</v>
      </c>
    </row>
    <row r="2132" spans="2:6" x14ac:dyDescent="0.35">
      <c r="B2132" s="7" t="s">
        <v>279</v>
      </c>
      <c r="C2132" s="16">
        <v>0.56241408010456329</v>
      </c>
      <c r="D2132" s="16">
        <v>0.57851668909632448</v>
      </c>
      <c r="E2132" s="16">
        <v>0.70832478570198865</v>
      </c>
      <c r="F2132" s="16">
        <v>0.95625055662585967</v>
      </c>
    </row>
    <row r="2133" spans="2:6" x14ac:dyDescent="0.35">
      <c r="B2133" s="7" t="s">
        <v>280</v>
      </c>
      <c r="C2133" s="16">
        <v>0.55307122433158462</v>
      </c>
      <c r="D2133" s="16">
        <v>0.11127060303595433</v>
      </c>
      <c r="E2133" s="16">
        <v>0.69655805270695181</v>
      </c>
      <c r="F2133" s="16">
        <v>0.18392308829574683</v>
      </c>
    </row>
    <row r="2134" spans="2:6" x14ac:dyDescent="0.35">
      <c r="B2134" s="7" t="s">
        <v>281</v>
      </c>
      <c r="C2134" s="16">
        <v>0.53911123411341955</v>
      </c>
      <c r="D2134" s="16">
        <v>0.2323330427234864</v>
      </c>
      <c r="E2134" s="16">
        <v>0.67897633235271526</v>
      </c>
      <c r="F2134" s="16">
        <v>0.38403144734502526</v>
      </c>
    </row>
    <row r="2135" spans="2:6" x14ac:dyDescent="0.35">
      <c r="B2135" s="7" t="s">
        <v>282</v>
      </c>
      <c r="C2135" s="16">
        <v>0.58131362091867622</v>
      </c>
      <c r="D2135" s="16">
        <v>0.23839299634681377</v>
      </c>
      <c r="E2135" s="16">
        <v>0.73212755606387869</v>
      </c>
      <c r="F2135" s="16">
        <v>0.39404815755348194</v>
      </c>
    </row>
    <row r="2136" spans="2:6" x14ac:dyDescent="0.35">
      <c r="B2136" s="7" t="s">
        <v>283</v>
      </c>
      <c r="C2136" s="16">
        <v>0.6190666486133457</v>
      </c>
      <c r="D2136" s="16">
        <v>0.40094459920396769</v>
      </c>
      <c r="E2136" s="16">
        <v>0.77967509478562669</v>
      </c>
      <c r="F2136" s="16">
        <v>0.66273541177148076</v>
      </c>
    </row>
    <row r="2137" spans="2:6" x14ac:dyDescent="0.35">
      <c r="B2137" s="7" t="s">
        <v>284</v>
      </c>
      <c r="C2137" s="16">
        <v>0.51750601386439088</v>
      </c>
      <c r="D2137" s="16">
        <v>0.52600289608786188</v>
      </c>
      <c r="E2137" s="16">
        <v>0.65176593072106992</v>
      </c>
      <c r="F2137" s="16">
        <v>0.86944866354077288</v>
      </c>
    </row>
    <row r="2138" spans="2:6" x14ac:dyDescent="0.35">
      <c r="B2138" s="7" t="s">
        <v>285</v>
      </c>
      <c r="C2138" s="16">
        <v>0.52236726653794008</v>
      </c>
      <c r="D2138" s="16">
        <v>0.74283099366702554</v>
      </c>
      <c r="E2138" s="16">
        <v>0.65788836947223839</v>
      </c>
      <c r="F2138" s="16">
        <v>1.2278514424235762</v>
      </c>
    </row>
    <row r="2139" spans="2:6" x14ac:dyDescent="0.35">
      <c r="B2139" s="7" t="s">
        <v>286</v>
      </c>
      <c r="C2139" s="16">
        <v>0.53682056495292518</v>
      </c>
      <c r="D2139" s="16">
        <v>0.42940214693799</v>
      </c>
      <c r="E2139" s="16">
        <v>0.67609138014469139</v>
      </c>
      <c r="F2139" s="16">
        <v>0.70977389203273877</v>
      </c>
    </row>
    <row r="2140" spans="2:6" x14ac:dyDescent="0.35">
      <c r="B2140" s="7" t="s">
        <v>287</v>
      </c>
      <c r="C2140" s="16">
        <v>0.52991140962720762</v>
      </c>
      <c r="D2140" s="16">
        <v>0.23280117879725701</v>
      </c>
      <c r="E2140" s="16">
        <v>0.66738973817199976</v>
      </c>
      <c r="F2140" s="16">
        <v>0.38480524590530374</v>
      </c>
    </row>
    <row r="2141" spans="2:6" x14ac:dyDescent="0.35">
      <c r="B2141" s="7" t="s">
        <v>288</v>
      </c>
      <c r="C2141" s="16">
        <v>0.52579142715970428</v>
      </c>
      <c r="D2141" s="16">
        <v>0.49568781711426241</v>
      </c>
      <c r="E2141" s="16">
        <v>0.66220088212869499</v>
      </c>
      <c r="F2141" s="16">
        <v>0.81933980464520062</v>
      </c>
    </row>
    <row r="2142" spans="2:6" x14ac:dyDescent="0.35">
      <c r="B2142" s="7" t="s">
        <v>289</v>
      </c>
      <c r="C2142" s="16">
        <v>0.51291885309347274</v>
      </c>
      <c r="D2142" s="16">
        <v>3.201170978349261E-2</v>
      </c>
      <c r="E2142" s="16">
        <v>0.6459886932994231</v>
      </c>
      <c r="F2142" s="16">
        <v>5.2913279557806225E-2</v>
      </c>
    </row>
    <row r="2143" spans="2:6" x14ac:dyDescent="0.35">
      <c r="B2143" s="7" t="s">
        <v>290</v>
      </c>
      <c r="C2143" s="16">
        <v>0.51573411843794681</v>
      </c>
      <c r="D2143" s="16">
        <v>0.42783240520068555</v>
      </c>
      <c r="E2143" s="16">
        <v>0.64953434105676244</v>
      </c>
      <c r="F2143" s="16">
        <v>0.70717921077574519</v>
      </c>
    </row>
    <row r="2144" spans="2:6" x14ac:dyDescent="0.35">
      <c r="B2144" s="7" t="s">
        <v>291</v>
      </c>
      <c r="C2144" s="16">
        <v>0.5118853547306601</v>
      </c>
      <c r="D2144" s="16">
        <v>0.71500940965093007</v>
      </c>
      <c r="E2144" s="16">
        <v>0.64468706780273122</v>
      </c>
      <c r="F2144" s="16">
        <v>1.1818641689308063</v>
      </c>
    </row>
    <row r="2145" spans="2:6" x14ac:dyDescent="0.35">
      <c r="B2145" s="7" t="s">
        <v>292</v>
      </c>
      <c r="C2145" s="16">
        <v>0.54244818417380947</v>
      </c>
      <c r="D2145" s="16">
        <v>0.68849912225840237</v>
      </c>
      <c r="E2145" s="16">
        <v>0.68317900885040261</v>
      </c>
      <c r="F2145" s="16">
        <v>1.1380443836882836</v>
      </c>
    </row>
    <row r="2146" spans="2:6" x14ac:dyDescent="0.35">
      <c r="B2146" s="7" t="s">
        <v>293</v>
      </c>
      <c r="C2146" s="16">
        <v>0.99920322784749993</v>
      </c>
      <c r="D2146" s="16">
        <v>0.13112584287575174</v>
      </c>
      <c r="E2146" s="31">
        <v>1.2584329540722556</v>
      </c>
      <c r="F2146" s="16">
        <v>0.21674251167038502</v>
      </c>
    </row>
    <row r="2147" spans="2:6" x14ac:dyDescent="0.35">
      <c r="B2147" s="7" t="s">
        <v>294</v>
      </c>
      <c r="C2147" s="16">
        <v>0.83673957316636061</v>
      </c>
      <c r="D2147" s="16">
        <v>0.61989794547167409</v>
      </c>
      <c r="E2147" s="16">
        <v>1.0538203075236754</v>
      </c>
      <c r="F2147" s="16">
        <v>1.0246510888639484</v>
      </c>
    </row>
    <row r="2148" spans="2:6" x14ac:dyDescent="0.35">
      <c r="B2148" s="7" t="s">
        <v>295</v>
      </c>
      <c r="C2148" s="16">
        <v>1.2454546790776873</v>
      </c>
      <c r="D2148" s="16">
        <v>0.53854541937118738</v>
      </c>
      <c r="E2148" s="31">
        <v>1.5685710046505716</v>
      </c>
      <c r="F2148" s="16">
        <v>0.8901806408496864</v>
      </c>
    </row>
    <row r="2149" spans="2:6" x14ac:dyDescent="0.35">
      <c r="B2149" s="7" t="s">
        <v>296</v>
      </c>
      <c r="C2149" s="16">
        <v>0.45456664568972366</v>
      </c>
      <c r="D2149" s="16">
        <v>0.16873167896896632</v>
      </c>
      <c r="E2149" s="16">
        <v>0.5724977970601004</v>
      </c>
      <c r="F2149" s="16">
        <v>0.27890251910714497</v>
      </c>
    </row>
    <row r="2150" spans="2:6" x14ac:dyDescent="0.35">
      <c r="B2150" s="7" t="s">
        <v>297</v>
      </c>
      <c r="C2150" s="16">
        <v>0.40665633303591092</v>
      </c>
      <c r="D2150" s="16">
        <v>0.29445345015938085</v>
      </c>
      <c r="E2150" s="16">
        <v>0.51215780355012674</v>
      </c>
      <c r="F2150" s="16">
        <v>0.48671245086315984</v>
      </c>
    </row>
    <row r="2151" spans="2:6" x14ac:dyDescent="0.35">
      <c r="B2151" s="7" t="s">
        <v>298</v>
      </c>
      <c r="C2151" s="16">
        <v>0.39366989574267836</v>
      </c>
      <c r="D2151" s="16">
        <v>7.9855536167526622E-2</v>
      </c>
      <c r="E2151" s="16">
        <v>0.49580221122382673</v>
      </c>
      <c r="F2151" s="16">
        <v>0.13199602077017927</v>
      </c>
    </row>
    <row r="2152" spans="2:6" x14ac:dyDescent="0.35">
      <c r="B2152" s="7" t="s">
        <v>299</v>
      </c>
      <c r="C2152" s="16">
        <v>0.42752919921611782</v>
      </c>
      <c r="D2152" s="16">
        <v>0.18399096756727826</v>
      </c>
      <c r="E2152" s="16">
        <v>0.5384458517820141</v>
      </c>
      <c r="F2152" s="16">
        <v>0.30412513323543139</v>
      </c>
    </row>
    <row r="2153" spans="2:6" x14ac:dyDescent="0.35">
      <c r="B2153" s="7" t="s">
        <v>300</v>
      </c>
      <c r="C2153" s="16">
        <v>0.40654451122554958</v>
      </c>
      <c r="D2153" s="16">
        <v>0.29514913775734142</v>
      </c>
      <c r="E2153" s="16">
        <v>0.51201697108759969</v>
      </c>
      <c r="F2153" s="16">
        <v>0.48786237733084165</v>
      </c>
    </row>
    <row r="2154" spans="2:6" x14ac:dyDescent="0.35">
      <c r="B2154" s="7" t="s">
        <v>301</v>
      </c>
      <c r="C2154" s="16">
        <v>0.72923426838594385</v>
      </c>
      <c r="D2154" s="16">
        <v>8.0822515704555578E-2</v>
      </c>
      <c r="E2154" s="16">
        <v>0.91842420940988312</v>
      </c>
      <c r="F2154" s="16">
        <v>0.13359437521346104</v>
      </c>
    </row>
    <row r="2155" spans="2:6" x14ac:dyDescent="0.35">
      <c r="B2155" s="7" t="s">
        <v>302</v>
      </c>
      <c r="C2155" s="16">
        <v>0.75383779246103011</v>
      </c>
      <c r="D2155" s="16">
        <v>0.58199696527111133</v>
      </c>
      <c r="E2155" s="16">
        <v>0.94941078413212177</v>
      </c>
      <c r="F2155" s="16">
        <v>0.96200322736479749</v>
      </c>
    </row>
    <row r="2156" spans="2:6" x14ac:dyDescent="0.35">
      <c r="B2156" s="7" t="s">
        <v>303</v>
      </c>
      <c r="C2156" s="16">
        <v>0.41216394761048786</v>
      </c>
      <c r="D2156" s="16">
        <v>0.45116230201124691</v>
      </c>
      <c r="E2156" s="16">
        <v>0.5190942940315546</v>
      </c>
      <c r="F2156" s="16">
        <v>0.74574201670960927</v>
      </c>
    </row>
    <row r="2157" spans="2:6" x14ac:dyDescent="0.35">
      <c r="B2157" s="7" t="s">
        <v>304</v>
      </c>
      <c r="C2157" s="16">
        <v>1.8562396553017828</v>
      </c>
      <c r="D2157" s="16">
        <v>0.69927870449148999</v>
      </c>
      <c r="E2157" s="31">
        <v>2.3378158594619802</v>
      </c>
      <c r="F2157" s="16">
        <v>1.1558623338094565</v>
      </c>
    </row>
    <row r="2158" spans="2:6" x14ac:dyDescent="0.35">
      <c r="B2158" s="7" t="s">
        <v>305</v>
      </c>
      <c r="C2158" s="16">
        <v>1.9033672231928942</v>
      </c>
      <c r="D2158" s="16">
        <v>0.20595124011301003</v>
      </c>
      <c r="E2158" s="31">
        <v>2.3971700356961905</v>
      </c>
      <c r="F2158" s="16">
        <v>0.34042403911196545</v>
      </c>
    </row>
    <row r="2159" spans="2:6" x14ac:dyDescent="0.35">
      <c r="B2159" s="7" t="s">
        <v>306</v>
      </c>
      <c r="C2159" s="16">
        <v>1.9410455480287621</v>
      </c>
      <c r="D2159" s="16">
        <v>0.52816362639305992</v>
      </c>
      <c r="E2159" s="31">
        <v>2.4446234909155442</v>
      </c>
      <c r="F2159" s="16">
        <v>0.8730202105609487</v>
      </c>
    </row>
    <row r="2160" spans="2:6" x14ac:dyDescent="0.35">
      <c r="B2160" s="7" t="s">
        <v>307</v>
      </c>
      <c r="C2160" s="16">
        <v>0.57986433683199878</v>
      </c>
      <c r="D2160" s="16">
        <v>0.12906191753304244</v>
      </c>
      <c r="E2160" s="16">
        <v>0.7303022748761705</v>
      </c>
      <c r="F2160" s="16">
        <v>0.21333097697311829</v>
      </c>
    </row>
    <row r="2161" spans="2:6" x14ac:dyDescent="0.35">
      <c r="B2161" s="7" t="s">
        <v>308</v>
      </c>
      <c r="C2161" s="16">
        <v>0.51587823599800831</v>
      </c>
      <c r="D2161" s="16">
        <v>0.39309341674425186</v>
      </c>
      <c r="E2161" s="16">
        <v>0.64971584796325288</v>
      </c>
      <c r="F2161" s="16">
        <v>0.64975791649990633</v>
      </c>
    </row>
    <row r="2162" spans="2:6" x14ac:dyDescent="0.35">
      <c r="B2162" s="7" t="s">
        <v>309</v>
      </c>
      <c r="C2162" s="16">
        <v>0.76936163066838414</v>
      </c>
      <c r="D2162" s="16">
        <v>0.48576497048948131</v>
      </c>
      <c r="E2162" s="16">
        <v>0.96896207162736381</v>
      </c>
      <c r="F2162" s="16">
        <v>0.80293798290505014</v>
      </c>
    </row>
    <row r="2163" spans="2:6" x14ac:dyDescent="0.35">
      <c r="B2163" s="7" t="s">
        <v>310</v>
      </c>
      <c r="C2163" s="16">
        <v>0.59643040754242127</v>
      </c>
      <c r="D2163" s="16">
        <v>0.12568424046813925</v>
      </c>
      <c r="E2163" s="16">
        <v>0.75116618796259671</v>
      </c>
      <c r="F2163" s="16">
        <v>0.20774789590684625</v>
      </c>
    </row>
    <row r="2164" spans="2:6" x14ac:dyDescent="0.35">
      <c r="B2164" s="7" t="s">
        <v>311</v>
      </c>
      <c r="C2164" s="16">
        <v>0.80633698260125442</v>
      </c>
      <c r="D2164" s="16">
        <v>0.60144207945422989</v>
      </c>
      <c r="E2164" s="16">
        <v>1.0155301771577883</v>
      </c>
      <c r="F2164" s="16">
        <v>0.99414473963526639</v>
      </c>
    </row>
    <row r="2165" spans="2:6" x14ac:dyDescent="0.35">
      <c r="B2165" s="7" t="s">
        <v>312</v>
      </c>
      <c r="C2165" s="16">
        <v>0.80732065249255414</v>
      </c>
      <c r="D2165" s="16">
        <v>0.72882446161704562</v>
      </c>
      <c r="E2165" s="16">
        <v>1.0167690468618094</v>
      </c>
      <c r="F2165" s="16">
        <v>1.2046995535988769</v>
      </c>
    </row>
    <row r="2166" spans="2:6" x14ac:dyDescent="0.35">
      <c r="B2166" s="7" t="s">
        <v>313</v>
      </c>
      <c r="C2166" s="16">
        <v>0.82312444078730385</v>
      </c>
      <c r="D2166" s="16">
        <v>0.18604737612421388</v>
      </c>
      <c r="E2166" s="16">
        <v>1.0366729136979258</v>
      </c>
      <c r="F2166" s="16">
        <v>0.30752424317345506</v>
      </c>
    </row>
    <row r="2167" spans="2:6" x14ac:dyDescent="0.35">
      <c r="B2167" s="7" t="s">
        <v>314</v>
      </c>
      <c r="C2167" s="16">
        <v>0.81666298538604387</v>
      </c>
      <c r="D2167" s="16">
        <v>0.32989261706401429</v>
      </c>
      <c r="E2167" s="16">
        <v>1.0285351213233653</v>
      </c>
      <c r="F2167" s="16">
        <v>0.54529109469078829</v>
      </c>
    </row>
    <row r="2168" spans="2:6" x14ac:dyDescent="0.35">
      <c r="B2168" s="7" t="s">
        <v>315</v>
      </c>
      <c r="C2168" s="16">
        <v>0.42109428202518195</v>
      </c>
      <c r="D2168" s="16">
        <v>0.62925922069691353</v>
      </c>
      <c r="E2168" s="16">
        <v>0.5303414825965338</v>
      </c>
      <c r="F2168" s="16">
        <v>1.0401246695118052</v>
      </c>
    </row>
    <row r="2169" spans="2:6" x14ac:dyDescent="0.35">
      <c r="B2169" s="7" t="s">
        <v>316</v>
      </c>
      <c r="C2169" s="16">
        <v>0.4499446594785374</v>
      </c>
      <c r="D2169" s="16">
        <v>0.75585007548269467</v>
      </c>
      <c r="E2169" s="16">
        <v>0.56667669921001218</v>
      </c>
      <c r="F2169" s="16">
        <v>1.2493711400703944</v>
      </c>
    </row>
    <row r="2170" spans="2:6" x14ac:dyDescent="0.35">
      <c r="B2170" s="7" t="s">
        <v>317</v>
      </c>
      <c r="C2170" s="16">
        <v>0.51890817909164089</v>
      </c>
      <c r="D2170" s="16">
        <v>0.40919830413854896</v>
      </c>
      <c r="E2170" s="16">
        <v>0.65353186870030044</v>
      </c>
      <c r="F2170" s="16">
        <v>0.67637825058093259</v>
      </c>
    </row>
    <row r="2171" spans="2:6" x14ac:dyDescent="0.35">
      <c r="B2171" s="7" t="s">
        <v>318</v>
      </c>
      <c r="C2171" s="16">
        <v>0.51069537688775124</v>
      </c>
      <c r="D2171" s="16">
        <v>0.29485770893690599</v>
      </c>
      <c r="E2171" s="16">
        <v>0.64318836634701404</v>
      </c>
      <c r="F2171" s="16">
        <v>0.48738066439669364</v>
      </c>
    </row>
    <row r="2172" spans="2:6" x14ac:dyDescent="0.35">
      <c r="B2172" s="7" t="s">
        <v>319</v>
      </c>
      <c r="C2172" s="16">
        <v>0.55870613823667614</v>
      </c>
      <c r="D2172" s="16">
        <v>7.4764396962730184E-2</v>
      </c>
      <c r="E2172" s="16">
        <v>0.70365486860375692</v>
      </c>
      <c r="F2172" s="16">
        <v>0.12358069794509181</v>
      </c>
    </row>
    <row r="2173" spans="2:6" x14ac:dyDescent="0.35">
      <c r="B2173" s="7" t="s">
        <v>320</v>
      </c>
      <c r="C2173" s="16">
        <v>0.55839635905973628</v>
      </c>
      <c r="D2173" s="16">
        <v>1.2105155999067465</v>
      </c>
      <c r="E2173" s="16">
        <v>0.70326472142059948</v>
      </c>
      <c r="F2173" s="31">
        <v>2.0009037561617808</v>
      </c>
    </row>
    <row r="2174" spans="2:6" x14ac:dyDescent="0.35">
      <c r="B2174" s="7" t="s">
        <v>321</v>
      </c>
      <c r="C2174" s="16">
        <v>0.53674826868886039</v>
      </c>
      <c r="D2174" s="16">
        <v>0.64285714395633942</v>
      </c>
      <c r="E2174" s="16">
        <v>0.6760003275954003</v>
      </c>
      <c r="F2174" s="16">
        <v>1.0626011545136349</v>
      </c>
    </row>
    <row r="2175" spans="2:6" x14ac:dyDescent="0.35">
      <c r="B2175" s="7" t="s">
        <v>322</v>
      </c>
      <c r="C2175" s="16">
        <v>0.5341124410978515</v>
      </c>
      <c r="D2175" s="16">
        <v>0.21357575423072692</v>
      </c>
      <c r="E2175" s="16">
        <v>0.67268067028311951</v>
      </c>
      <c r="F2175" s="16">
        <v>0.3530268663190031</v>
      </c>
    </row>
    <row r="2176" spans="2:6" x14ac:dyDescent="0.35">
      <c r="B2176" s="7" t="s">
        <v>323</v>
      </c>
      <c r="C2176" s="16">
        <v>0.5819307216601608</v>
      </c>
      <c r="D2176" s="16">
        <v>0.78277867819215119</v>
      </c>
      <c r="E2176" s="16">
        <v>0.73290475522359277</v>
      </c>
      <c r="F2176" s="16">
        <v>1.2938823733941869</v>
      </c>
    </row>
    <row r="2177" spans="2:6" x14ac:dyDescent="0.35">
      <c r="B2177" s="7" t="s">
        <v>324</v>
      </c>
      <c r="C2177" s="16">
        <v>0.56914189068711618</v>
      </c>
      <c r="D2177" s="16">
        <v>3.199302025361879E-2</v>
      </c>
      <c r="E2177" s="16">
        <v>0.71679803549730736</v>
      </c>
      <c r="F2177" s="16">
        <v>5.2882386977381561E-2</v>
      </c>
    </row>
    <row r="2178" spans="2:6" x14ac:dyDescent="0.35">
      <c r="B2178" s="7" t="s">
        <v>325</v>
      </c>
      <c r="C2178" s="16">
        <v>0.52012011268896285</v>
      </c>
      <c r="D2178" s="16">
        <v>0.51473978838138168</v>
      </c>
      <c r="E2178" s="16">
        <v>0.65505822203314823</v>
      </c>
      <c r="F2178" s="16">
        <v>0.85083147718011209</v>
      </c>
    </row>
    <row r="2179" spans="2:6" x14ac:dyDescent="0.35">
      <c r="B2179" s="7" t="s">
        <v>326</v>
      </c>
      <c r="C2179" s="16">
        <v>0.5334021673473105</v>
      </c>
      <c r="D2179" s="16">
        <v>0.1548740099194417</v>
      </c>
      <c r="E2179" s="16">
        <v>0.67178612564076601</v>
      </c>
      <c r="F2179" s="16">
        <v>0.25599669116492207</v>
      </c>
    </row>
    <row r="2180" spans="2:6" x14ac:dyDescent="0.35">
      <c r="B2180" s="7" t="s">
        <v>327</v>
      </c>
      <c r="C2180" s="16">
        <v>0.71571164587299418</v>
      </c>
      <c r="D2180" s="16">
        <v>0.10800875103210306</v>
      </c>
      <c r="E2180" s="16">
        <v>0.90139332588037901</v>
      </c>
      <c r="F2180" s="16">
        <v>0.1785314585414069</v>
      </c>
    </row>
    <row r="2181" spans="2:6" x14ac:dyDescent="0.35">
      <c r="B2181" s="7" t="s">
        <v>328</v>
      </c>
      <c r="C2181" s="16">
        <v>0.72228288586197875</v>
      </c>
      <c r="D2181" s="16">
        <v>0.32776436089693656</v>
      </c>
      <c r="E2181" s="16">
        <v>0.90966938496504579</v>
      </c>
      <c r="F2181" s="16">
        <v>0.54177322531421168</v>
      </c>
    </row>
    <row r="2182" spans="2:6" x14ac:dyDescent="0.35">
      <c r="B2182" s="7" t="s">
        <v>329</v>
      </c>
      <c r="C2182" s="16">
        <v>0.72966389782769958</v>
      </c>
      <c r="D2182" s="16">
        <v>7.303726072321147E-2</v>
      </c>
      <c r="E2182" s="16">
        <v>0.91896530038364799</v>
      </c>
      <c r="F2182" s="16">
        <v>0.12072585378668332</v>
      </c>
    </row>
    <row r="2183" spans="2:6" x14ac:dyDescent="0.35">
      <c r="B2183" s="7" t="s">
        <v>330</v>
      </c>
      <c r="C2183" s="16">
        <v>0.5181559923612501</v>
      </c>
      <c r="D2183" s="16">
        <v>0.27206777224842593</v>
      </c>
      <c r="E2183" s="16">
        <v>0.65258453732390087</v>
      </c>
      <c r="F2183" s="16">
        <v>0.44971037751548215</v>
      </c>
    </row>
    <row r="2184" spans="2:6" x14ac:dyDescent="0.35">
      <c r="B2184" s="7" t="s">
        <v>331</v>
      </c>
      <c r="C2184" s="16">
        <v>0.64185415224783204</v>
      </c>
      <c r="D2184" s="16">
        <v>3.7100104850281606E-3</v>
      </c>
      <c r="E2184" s="16">
        <v>0.80837450719290482</v>
      </c>
      <c r="F2184" s="16">
        <v>6.1324066500789455E-3</v>
      </c>
    </row>
    <row r="2185" spans="2:6" x14ac:dyDescent="0.35">
      <c r="B2185" s="7" t="s">
        <v>332</v>
      </c>
      <c r="C2185" s="16">
        <v>0.56312186707808032</v>
      </c>
      <c r="D2185" s="16">
        <v>0.35806494079933804</v>
      </c>
      <c r="E2185" s="16">
        <v>0.7092161984067451</v>
      </c>
      <c r="F2185" s="16">
        <v>0.59185811818570033</v>
      </c>
    </row>
    <row r="2186" spans="2:6" x14ac:dyDescent="0.35">
      <c r="B2186" s="7" t="s">
        <v>333</v>
      </c>
      <c r="C2186" s="16">
        <v>0.58634747093300221</v>
      </c>
      <c r="D2186" s="16">
        <v>1.1138546864792445</v>
      </c>
      <c r="E2186" s="16">
        <v>0.73846737019511544</v>
      </c>
      <c r="F2186" s="31">
        <v>1.8411295370058962</v>
      </c>
    </row>
    <row r="2187" spans="2:6" x14ac:dyDescent="0.35">
      <c r="B2187" s="7" t="s">
        <v>334</v>
      </c>
      <c r="C2187" s="16">
        <v>0.77779963945488573</v>
      </c>
      <c r="D2187" s="16">
        <v>0.4801569229381597</v>
      </c>
      <c r="E2187" s="16">
        <v>0.97958920735685873</v>
      </c>
      <c r="F2187" s="16">
        <v>0.79366824411685299</v>
      </c>
    </row>
    <row r="2188" spans="2:6" x14ac:dyDescent="0.35">
      <c r="B2188" s="7" t="s">
        <v>335</v>
      </c>
      <c r="C2188" s="16">
        <v>0.65402332688647513</v>
      </c>
      <c r="D2188" s="16">
        <v>1.1355062829796463E-2</v>
      </c>
      <c r="E2188" s="16">
        <v>0.82370080915263599</v>
      </c>
      <c r="F2188" s="16">
        <v>1.8769182214044208E-2</v>
      </c>
    </row>
    <row r="2189" spans="2:6" x14ac:dyDescent="0.35">
      <c r="B2189" s="7" t="s">
        <v>336</v>
      </c>
      <c r="C2189" s="16">
        <v>0.67828324531287221</v>
      </c>
      <c r="D2189" s="16">
        <v>0.19035574725904131</v>
      </c>
      <c r="E2189" s="16">
        <v>0.85425463440062877</v>
      </c>
      <c r="F2189" s="16">
        <v>0.31464570115985302</v>
      </c>
    </row>
    <row r="2190" spans="2:6" x14ac:dyDescent="0.35">
      <c r="B2190" s="7" t="s">
        <v>337</v>
      </c>
      <c r="C2190" s="16">
        <v>1.0782496433500093</v>
      </c>
      <c r="D2190" s="16">
        <v>0.31314673870830756</v>
      </c>
      <c r="E2190" s="31">
        <v>1.3579868900457568</v>
      </c>
      <c r="F2190" s="16">
        <v>0.51761124413393211</v>
      </c>
    </row>
    <row r="2191" spans="2:6" x14ac:dyDescent="0.35">
      <c r="B2191" s="7" t="s">
        <v>338</v>
      </c>
      <c r="C2191" s="16">
        <v>0.58379942254314732</v>
      </c>
      <c r="D2191" s="16">
        <v>3.1859712708035108E-2</v>
      </c>
      <c r="E2191" s="16">
        <v>0.73525826520726245</v>
      </c>
      <c r="F2191" s="16">
        <v>5.2662038252669845E-2</v>
      </c>
    </row>
    <row r="2192" spans="2:6" x14ac:dyDescent="0.35">
      <c r="B2192" s="7" t="s">
        <v>339</v>
      </c>
      <c r="C2192" s="16">
        <v>0.53509394978049618</v>
      </c>
      <c r="D2192" s="16">
        <v>0.39105371421358454</v>
      </c>
      <c r="E2192" s="16">
        <v>0.67391681808221038</v>
      </c>
      <c r="F2192" s="16">
        <v>0.64638642053952433</v>
      </c>
    </row>
    <row r="2193" spans="2:6" x14ac:dyDescent="0.35">
      <c r="B2193" s="7" t="s">
        <v>340</v>
      </c>
      <c r="C2193" s="16">
        <v>0.42979621453026257</v>
      </c>
      <c r="D2193" s="16">
        <v>0.1528813231734775</v>
      </c>
      <c r="E2193" s="16">
        <v>0.54130101347404735</v>
      </c>
      <c r="F2193" s="16">
        <v>0.25270290924657202</v>
      </c>
    </row>
    <row r="2194" spans="2:6" x14ac:dyDescent="0.35">
      <c r="B2194" s="7" t="s">
        <v>341</v>
      </c>
      <c r="C2194" s="16">
        <v>0.43679901097524249</v>
      </c>
      <c r="D2194" s="16">
        <v>2.7898507116788172E-2</v>
      </c>
      <c r="E2194" s="16">
        <v>0.55012059048442885</v>
      </c>
      <c r="F2194" s="16">
        <v>4.6114422387937795E-2</v>
      </c>
    </row>
    <row r="2195" spans="2:6" x14ac:dyDescent="0.35">
      <c r="B2195" s="7" t="s">
        <v>342</v>
      </c>
      <c r="C2195" s="16">
        <v>0.54322157995366449</v>
      </c>
      <c r="D2195" s="16">
        <v>6.7887528131643657E-2</v>
      </c>
      <c r="E2195" s="16">
        <v>0.68415305167651175</v>
      </c>
      <c r="F2195" s="16">
        <v>0.1122136798944257</v>
      </c>
    </row>
    <row r="2196" spans="2:6" x14ac:dyDescent="0.35">
      <c r="B2196" s="7" t="s">
        <v>343</v>
      </c>
      <c r="C2196" s="16">
        <v>0.43414031776110484</v>
      </c>
      <c r="D2196" s="16">
        <v>8.4983667999828635E-2</v>
      </c>
      <c r="E2196" s="16">
        <v>0.54677213537320324</v>
      </c>
      <c r="F2196" s="16">
        <v>0.14047249000868919</v>
      </c>
    </row>
    <row r="2197" spans="2:6" x14ac:dyDescent="0.35">
      <c r="B2197" s="7" t="s">
        <v>344</v>
      </c>
      <c r="C2197" s="16">
        <v>0.37798781969651696</v>
      </c>
      <c r="D2197" s="16">
        <v>0.51499937413319874</v>
      </c>
      <c r="E2197" s="16">
        <v>0.47605163322852762</v>
      </c>
      <c r="F2197" s="16">
        <v>0.85126055558760794</v>
      </c>
    </row>
    <row r="2198" spans="2:6" x14ac:dyDescent="0.35">
      <c r="B2198" s="7" t="s">
        <v>345</v>
      </c>
      <c r="C2198" s="16">
        <v>0.66484382761175675</v>
      </c>
      <c r="D2198" s="16">
        <v>0.27691450075216967</v>
      </c>
      <c r="E2198" s="16">
        <v>0.83732854204296181</v>
      </c>
      <c r="F2198" s="16">
        <v>0.45772170530752737</v>
      </c>
    </row>
    <row r="2199" spans="2:6" x14ac:dyDescent="0.35">
      <c r="B2199" s="7" t="s">
        <v>346</v>
      </c>
      <c r="C2199" s="16">
        <v>0.71508110216280207</v>
      </c>
      <c r="D2199" s="16">
        <v>3.8918375507965883E-2</v>
      </c>
      <c r="E2199" s="16">
        <v>0.90059919615604045</v>
      </c>
      <c r="F2199" s="16">
        <v>6.4329549940209396E-2</v>
      </c>
    </row>
    <row r="2200" spans="2:6" x14ac:dyDescent="0.35">
      <c r="B2200" s="7" t="s">
        <v>347</v>
      </c>
      <c r="C2200" s="16">
        <v>0.94869833463976072</v>
      </c>
      <c r="D2200" s="16">
        <v>6.8480873610635443E-2</v>
      </c>
      <c r="E2200" s="16">
        <v>1.1948252512714603</v>
      </c>
      <c r="F2200" s="16">
        <v>0.11319444147875203</v>
      </c>
    </row>
    <row r="2201" spans="2:6" x14ac:dyDescent="0.35">
      <c r="B2201" s="7" t="s">
        <v>348</v>
      </c>
      <c r="C2201" s="16">
        <v>0.95128471713675788</v>
      </c>
      <c r="D2201" s="16">
        <v>0.40085682524702038</v>
      </c>
      <c r="E2201" s="16">
        <v>1.1980826356306646</v>
      </c>
      <c r="F2201" s="16">
        <v>0.66259032711485788</v>
      </c>
    </row>
    <row r="2202" spans="2:6" x14ac:dyDescent="0.35">
      <c r="B2202" s="7" t="s">
        <v>349</v>
      </c>
      <c r="C2202" s="16">
        <v>0.38482052877043949</v>
      </c>
      <c r="D2202" s="16">
        <v>0.21946312642319904</v>
      </c>
      <c r="E2202" s="16">
        <v>0.48465699600616363</v>
      </c>
      <c r="F2202" s="16">
        <v>0.36275831061823177</v>
      </c>
    </row>
    <row r="2203" spans="2:6" x14ac:dyDescent="0.35">
      <c r="B2203" s="7" t="s">
        <v>350</v>
      </c>
      <c r="C2203" s="16">
        <v>0.52673400182081043</v>
      </c>
      <c r="D2203" s="16">
        <v>0.51558999588786425</v>
      </c>
      <c r="E2203" s="16">
        <v>0.6633879950023841</v>
      </c>
      <c r="F2203" s="16">
        <v>0.85223681503232074</v>
      </c>
    </row>
    <row r="2204" spans="2:6" x14ac:dyDescent="0.35">
      <c r="B2204" s="7" t="s">
        <v>351</v>
      </c>
      <c r="C2204" s="16">
        <v>0.52272166823237354</v>
      </c>
      <c r="D2204" s="16">
        <v>0.63883875802838741</v>
      </c>
      <c r="E2204" s="16">
        <v>0.65833471587988046</v>
      </c>
      <c r="F2204" s="16">
        <v>1.0559590232618226</v>
      </c>
    </row>
    <row r="2205" spans="2:6" x14ac:dyDescent="0.35">
      <c r="B2205" s="7" t="s">
        <v>352</v>
      </c>
      <c r="C2205" s="16">
        <v>0.47898007899609996</v>
      </c>
      <c r="D2205" s="16">
        <v>0.28963063757864566</v>
      </c>
      <c r="E2205" s="16">
        <v>0.60324496454170717</v>
      </c>
      <c r="F2205" s="16">
        <v>0.47874065454033615</v>
      </c>
    </row>
    <row r="2206" spans="2:6" x14ac:dyDescent="0.35">
      <c r="B2206" s="7" t="s">
        <v>353</v>
      </c>
      <c r="C2206" s="16">
        <v>0.54397110085421418</v>
      </c>
      <c r="D2206" s="16">
        <v>0.70943123027097599</v>
      </c>
      <c r="E2206" s="16">
        <v>0.68509702560967201</v>
      </c>
      <c r="F2206" s="16">
        <v>1.1726438002922244</v>
      </c>
    </row>
    <row r="2207" spans="2:6" x14ac:dyDescent="0.35">
      <c r="B2207" s="7" t="s">
        <v>354</v>
      </c>
      <c r="C2207" s="16">
        <v>0.59079627548576474</v>
      </c>
      <c r="D2207" s="16">
        <v>3.1882831448256072E-2</v>
      </c>
      <c r="E2207" s="16">
        <v>0.74407035675419964</v>
      </c>
      <c r="F2207" s="16">
        <v>5.2700252030459582E-2</v>
      </c>
    </row>
    <row r="2208" spans="2:6" x14ac:dyDescent="0.35">
      <c r="B2208" s="7" t="s">
        <v>355</v>
      </c>
      <c r="C2208" s="16">
        <v>0.52309956511243638</v>
      </c>
      <c r="D2208" s="16">
        <v>0.11260721141638513</v>
      </c>
      <c r="E2208" s="16">
        <v>0.65881065298042074</v>
      </c>
      <c r="F2208" s="16">
        <v>0.1861324152380244</v>
      </c>
    </row>
    <row r="2209" spans="2:6" x14ac:dyDescent="0.35">
      <c r="B2209" s="7" t="s">
        <v>356</v>
      </c>
      <c r="C2209" s="16">
        <v>0.51823125238596479</v>
      </c>
      <c r="D2209" s="16">
        <v>0.19252569913349271</v>
      </c>
      <c r="E2209" s="16">
        <v>0.65267932254134786</v>
      </c>
      <c r="F2209" s="16">
        <v>0.31823249083576843</v>
      </c>
    </row>
    <row r="2210" spans="2:6" x14ac:dyDescent="0.35">
      <c r="B2210" s="7" t="s">
        <v>357</v>
      </c>
      <c r="C2210" s="16">
        <v>0.61809787749694078</v>
      </c>
      <c r="D2210" s="16">
        <v>0.16750096955286156</v>
      </c>
      <c r="E2210" s="16">
        <v>0.77845498914158906</v>
      </c>
      <c r="F2210" s="16">
        <v>0.27686823628285312</v>
      </c>
    </row>
    <row r="2211" spans="2:6" x14ac:dyDescent="0.35">
      <c r="B2211" s="7" t="s">
        <v>358</v>
      </c>
      <c r="C2211" s="16">
        <v>1.4157082420814222</v>
      </c>
      <c r="D2211" s="16">
        <v>0.10801710476597821</v>
      </c>
      <c r="E2211" s="31">
        <v>1.7829945455889489</v>
      </c>
      <c r="F2211" s="16">
        <v>0.1785452667215659</v>
      </c>
    </row>
    <row r="2212" spans="2:6" x14ac:dyDescent="0.35">
      <c r="B2212" s="7" t="s">
        <v>359</v>
      </c>
      <c r="C2212" s="16">
        <v>1.3496672456586973</v>
      </c>
      <c r="D2212" s="16">
        <v>0.17405265663837699</v>
      </c>
      <c r="E2212" s="31">
        <v>1.6998201082953885</v>
      </c>
      <c r="F2212" s="16">
        <v>0.28769775000379511</v>
      </c>
    </row>
    <row r="2213" spans="2:6" x14ac:dyDescent="0.35">
      <c r="B2213" s="7" t="s">
        <v>360</v>
      </c>
      <c r="C2213" s="16">
        <v>0.60957706263774936</v>
      </c>
      <c r="D2213" s="16">
        <v>0.36119245717366188</v>
      </c>
      <c r="E2213" s="16">
        <v>0.76772356442686474</v>
      </c>
      <c r="F2213" s="16">
        <v>0.59702769985926496</v>
      </c>
    </row>
    <row r="2214" spans="2:6" x14ac:dyDescent="0.35">
      <c r="B2214" s="7" t="s">
        <v>361</v>
      </c>
      <c r="C2214" s="16">
        <v>0.41514706691043696</v>
      </c>
      <c r="D2214" s="16">
        <v>1.4673230492348859</v>
      </c>
      <c r="E2214" s="16">
        <v>0.52285134317667392</v>
      </c>
      <c r="F2214" s="31">
        <v>2.4253898098818527</v>
      </c>
    </row>
    <row r="2215" spans="2:6" x14ac:dyDescent="0.35">
      <c r="B2215" s="7" t="s">
        <v>362</v>
      </c>
      <c r="C2215" s="16">
        <v>0.43399861252075728</v>
      </c>
      <c r="D2215" s="16">
        <v>0.26353792409511934</v>
      </c>
      <c r="E2215" s="16">
        <v>0.54659366663006048</v>
      </c>
      <c r="F2215" s="16">
        <v>0.43561109187987729</v>
      </c>
    </row>
    <row r="2216" spans="2:6" x14ac:dyDescent="0.35">
      <c r="B2216" s="7" t="s">
        <v>363</v>
      </c>
      <c r="C2216" s="16">
        <v>0.54991414871288513</v>
      </c>
      <c r="D2216" s="16">
        <v>0.37451177096846078</v>
      </c>
      <c r="E2216" s="16">
        <v>0.69258191663538593</v>
      </c>
      <c r="F2216" s="16">
        <v>0.61904366149046053</v>
      </c>
    </row>
    <row r="2217" spans="2:6" x14ac:dyDescent="0.35">
      <c r="B2217" s="7" t="s">
        <v>364</v>
      </c>
      <c r="C2217" s="16">
        <v>0.68805931495447292</v>
      </c>
      <c r="D2217" s="16">
        <v>0.9506094008553938</v>
      </c>
      <c r="E2217" s="16">
        <v>0.86656697272723526</v>
      </c>
      <c r="F2217" s="31">
        <v>1.5712956701762342</v>
      </c>
    </row>
    <row r="2218" spans="2:6" x14ac:dyDescent="0.35">
      <c r="B2218" s="7" t="s">
        <v>365</v>
      </c>
      <c r="C2218" s="16">
        <v>0.58399850558562982</v>
      </c>
      <c r="D2218" s="16">
        <v>0.30334884813906926</v>
      </c>
      <c r="E2218" s="16">
        <v>0.73550899764514366</v>
      </c>
      <c r="F2218" s="16">
        <v>0.50141596664724686</v>
      </c>
    </row>
    <row r="2219" spans="2:6" x14ac:dyDescent="0.35">
      <c r="B2219" s="7" t="s">
        <v>366</v>
      </c>
      <c r="C2219" s="16">
        <v>0.63890376326767873</v>
      </c>
      <c r="D2219" s="16">
        <v>0.35412130095995503</v>
      </c>
      <c r="E2219" s="16">
        <v>0.80465867980516226</v>
      </c>
      <c r="F2219" s="16">
        <v>0.58533953736924615</v>
      </c>
    </row>
    <row r="2220" spans="2:6" x14ac:dyDescent="0.35">
      <c r="B2220" s="7" t="s">
        <v>367</v>
      </c>
      <c r="C2220" s="16">
        <v>0.75013652317195556</v>
      </c>
      <c r="D2220" s="16">
        <v>0.17663652679109584</v>
      </c>
      <c r="E2220" s="16">
        <v>0.9447492707227817</v>
      </c>
      <c r="F2220" s="16">
        <v>0.29196871974132493</v>
      </c>
    </row>
    <row r="2221" spans="2:6" ht="15" thickBot="1" x14ac:dyDescent="0.4">
      <c r="B2221" s="11" t="s">
        <v>368</v>
      </c>
      <c r="C2221" s="17">
        <v>0.40180888624096661</v>
      </c>
      <c r="D2221" s="17">
        <v>1.4309531504769355</v>
      </c>
      <c r="E2221" s="17">
        <v>0.50605275242553116</v>
      </c>
      <c r="F2221" s="47">
        <v>2.3652727266806011</v>
      </c>
    </row>
    <row r="2222" spans="2:6" x14ac:dyDescent="0.35">
      <c r="B2222" s="48" t="s">
        <v>422</v>
      </c>
    </row>
    <row r="2242" spans="7:7" x14ac:dyDescent="0.35">
      <c r="G2242" t="s">
        <v>103</v>
      </c>
    </row>
  </sheetData>
  <mergeCells count="1">
    <mergeCell ref="B1:L2"/>
  </mergeCells>
  <pageMargins left="0.7" right="0.7" top="0.75" bottom="0.75" header="0.3" footer="0.3"/>
  <pageSetup paperSize="9" orientation="portrait" verticalDpi="0" r:id="rId1"/>
  <ignoredErrors>
    <ignoredError sqref="C46:C67" numberStoredAsText="1"/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D20620">
              <controlPr defaultSize="0" autoFill="0" autoPict="0" macro="[0]!GoToResultsNew0410202112463465">
                <anchor moveWithCells="1">
                  <from>
                    <xdr:col>1</xdr:col>
                    <xdr:colOff>6350</xdr:colOff>
                    <xdr:row>13</xdr:row>
                    <xdr:rowOff>0</xdr:rowOff>
                  </from>
                  <to>
                    <xdr:col>6</xdr:col>
                    <xdr:colOff>6350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B8529-649D-43C4-8B57-A655A1326174}">
  <sheetPr codeName="XLSTAT_20211004_124611_1_HID3"/>
  <dimension ref="B2:C101"/>
  <sheetViews>
    <sheetView workbookViewId="0">
      <selection activeCell="B2" sqref="B2"/>
    </sheetView>
  </sheetViews>
  <sheetFormatPr defaultRowHeight="14.5" x14ac:dyDescent="0.35"/>
  <sheetData>
    <row r="2" spans="2:3" x14ac:dyDescent="0.35">
      <c r="B2">
        <v>3.7093071253943619</v>
      </c>
      <c r="C2">
        <v>3.7677289204214897</v>
      </c>
    </row>
    <row r="3" spans="2:3" x14ac:dyDescent="0.35">
      <c r="B3">
        <v>-0.8688362144759213</v>
      </c>
      <c r="C3">
        <v>-1.3163448580434665</v>
      </c>
    </row>
    <row r="4" spans="2:3" x14ac:dyDescent="0.35">
      <c r="B4">
        <v>-0.16297222872806069</v>
      </c>
      <c r="C4">
        <v>2.0204445043952184</v>
      </c>
    </row>
    <row r="5" spans="2:3" x14ac:dyDescent="0.35">
      <c r="B5">
        <v>4.3545122691406846</v>
      </c>
      <c r="C5">
        <v>5.1951426995084669</v>
      </c>
    </row>
    <row r="6" spans="2:3" x14ac:dyDescent="0.35">
      <c r="B6">
        <v>5.7116748713339751</v>
      </c>
      <c r="C6">
        <v>7.0149364624241271</v>
      </c>
    </row>
    <row r="7" spans="2:3" x14ac:dyDescent="0.35">
      <c r="B7">
        <v>4.631264919007525</v>
      </c>
      <c r="C7">
        <v>3.8698387951425404</v>
      </c>
    </row>
    <row r="8" spans="2:3" x14ac:dyDescent="0.35">
      <c r="B8">
        <v>3.660173830333326</v>
      </c>
      <c r="C8">
        <v>1.5402591050341972</v>
      </c>
    </row>
    <row r="9" spans="2:3" x14ac:dyDescent="0.35">
      <c r="B9">
        <v>5.9808769251533977</v>
      </c>
      <c r="C9">
        <v>6.8405667101880798</v>
      </c>
    </row>
    <row r="10" spans="2:3" x14ac:dyDescent="0.35">
      <c r="B10">
        <v>4.257046621673072</v>
      </c>
      <c r="C10">
        <v>3.33927404245087</v>
      </c>
    </row>
    <row r="11" spans="2:3" x14ac:dyDescent="0.35">
      <c r="B11">
        <v>-2.0727844558583697</v>
      </c>
      <c r="C11">
        <v>-3.9645049659884943</v>
      </c>
    </row>
    <row r="12" spans="2:3" x14ac:dyDescent="0.35">
      <c r="B12">
        <v>3.6942783322592931</v>
      </c>
      <c r="C12">
        <v>1.1115736517563786</v>
      </c>
    </row>
    <row r="13" spans="2:3" x14ac:dyDescent="0.35">
      <c r="B13">
        <v>8.5298327798602305</v>
      </c>
      <c r="C13">
        <v>8.3080333996621398</v>
      </c>
    </row>
    <row r="14" spans="2:3" x14ac:dyDescent="0.35">
      <c r="B14">
        <v>5.224088185552656</v>
      </c>
      <c r="C14">
        <v>3.6925327446010989</v>
      </c>
    </row>
    <row r="15" spans="2:3" x14ac:dyDescent="0.35">
      <c r="B15">
        <v>3.5235647874984366</v>
      </c>
      <c r="C15">
        <v>3.3485146246431063</v>
      </c>
    </row>
    <row r="16" spans="2:3" x14ac:dyDescent="0.35">
      <c r="B16">
        <v>-4.1527375829341286</v>
      </c>
      <c r="C16">
        <v>-3.3449147865485025</v>
      </c>
    </row>
    <row r="17" spans="2:3" x14ac:dyDescent="0.35">
      <c r="B17">
        <v>4.3304535514369613</v>
      </c>
      <c r="C17">
        <v>5.7971973180951801</v>
      </c>
    </row>
    <row r="18" spans="2:3" x14ac:dyDescent="0.35">
      <c r="B18">
        <v>3.5395094673143768</v>
      </c>
      <c r="C18">
        <v>0.99431339309510458</v>
      </c>
    </row>
    <row r="19" spans="2:3" x14ac:dyDescent="0.35">
      <c r="B19">
        <v>3.2775027224130979</v>
      </c>
      <c r="C19">
        <v>0.89983487950825392</v>
      </c>
    </row>
    <row r="20" spans="2:3" x14ac:dyDescent="0.35">
      <c r="B20">
        <v>8.0826740841195548</v>
      </c>
      <c r="C20">
        <v>5.2331839125765143</v>
      </c>
    </row>
    <row r="21" spans="2:3" x14ac:dyDescent="0.35">
      <c r="B21">
        <v>5.224088185552656</v>
      </c>
      <c r="C21">
        <v>3.7922658736591481</v>
      </c>
    </row>
    <row r="22" spans="2:3" x14ac:dyDescent="0.35">
      <c r="B22">
        <v>3.7905912978903444</v>
      </c>
      <c r="C22">
        <v>0.8873649470795133</v>
      </c>
    </row>
    <row r="23" spans="2:3" x14ac:dyDescent="0.35">
      <c r="B23">
        <v>6.2332812377744586</v>
      </c>
      <c r="C23">
        <v>4.0087052421440257</v>
      </c>
    </row>
    <row r="24" spans="2:3" x14ac:dyDescent="0.35">
      <c r="B24">
        <v>4.4690019052416163</v>
      </c>
      <c r="C24">
        <v>5.2560077008898736</v>
      </c>
    </row>
    <row r="25" spans="2:3" x14ac:dyDescent="0.35">
      <c r="B25">
        <v>7.4322541508676698</v>
      </c>
      <c r="C25">
        <v>5.6356661818706932</v>
      </c>
    </row>
    <row r="26" spans="2:3" x14ac:dyDescent="0.35">
      <c r="B26">
        <v>2.4159756880815215</v>
      </c>
      <c r="C26">
        <v>-0.2521076013180914</v>
      </c>
    </row>
    <row r="27" spans="2:3" x14ac:dyDescent="0.35">
      <c r="B27">
        <v>-5.8214594712777492</v>
      </c>
      <c r="C27">
        <v>-1.5982830047113146</v>
      </c>
    </row>
    <row r="28" spans="2:3" x14ac:dyDescent="0.35">
      <c r="B28">
        <v>3.3759423094807097</v>
      </c>
      <c r="C28">
        <v>0.87995151198818811</v>
      </c>
    </row>
    <row r="29" spans="2:3" x14ac:dyDescent="0.35">
      <c r="B29">
        <v>4.06820465251855</v>
      </c>
      <c r="C29">
        <v>4.7574459819849899</v>
      </c>
    </row>
    <row r="30" spans="2:3" x14ac:dyDescent="0.35">
      <c r="B30">
        <v>-1.1486618536092281</v>
      </c>
      <c r="C30">
        <v>0.85570732777632297</v>
      </c>
    </row>
    <row r="31" spans="2:3" x14ac:dyDescent="0.35">
      <c r="B31">
        <v>5.3518281694567236</v>
      </c>
      <c r="C31">
        <v>2.7137541189543914</v>
      </c>
    </row>
    <row r="32" spans="2:3" x14ac:dyDescent="0.35">
      <c r="B32">
        <v>-6.1476202600371641</v>
      </c>
      <c r="C32">
        <v>-1.9776618944034363</v>
      </c>
    </row>
    <row r="33" spans="2:3" x14ac:dyDescent="0.35">
      <c r="B33">
        <v>-2.9476861636124299</v>
      </c>
      <c r="C33">
        <v>-1.1462256900432819</v>
      </c>
    </row>
    <row r="34" spans="2:3" x14ac:dyDescent="0.35">
      <c r="B34">
        <v>5.6320935610529181</v>
      </c>
      <c r="C34">
        <v>3.4001805468192763</v>
      </c>
    </row>
    <row r="35" spans="2:3" x14ac:dyDescent="0.35">
      <c r="B35">
        <v>1.9447879489224076</v>
      </c>
      <c r="C35">
        <v>6.5951285914821716</v>
      </c>
    </row>
    <row r="36" spans="2:3" x14ac:dyDescent="0.35">
      <c r="B36">
        <v>-0.41862911427753818</v>
      </c>
      <c r="C36">
        <v>-2.9209074203082515</v>
      </c>
    </row>
    <row r="37" spans="2:3" x14ac:dyDescent="0.35">
      <c r="B37">
        <v>0.11133116884134575</v>
      </c>
      <c r="C37">
        <v>4.793415987916128</v>
      </c>
    </row>
    <row r="38" spans="2:3" x14ac:dyDescent="0.35">
      <c r="B38">
        <v>6.0431702442813666</v>
      </c>
      <c r="C38">
        <v>1.4041675933783522</v>
      </c>
    </row>
    <row r="39" spans="2:3" x14ac:dyDescent="0.35">
      <c r="B39">
        <v>1.9928130237579735</v>
      </c>
      <c r="C39">
        <v>-1.727658530129657</v>
      </c>
    </row>
    <row r="40" spans="2:3" x14ac:dyDescent="0.35">
      <c r="B40">
        <v>-10.779594394006848</v>
      </c>
      <c r="C40">
        <v>-7.277496734282229</v>
      </c>
    </row>
    <row r="41" spans="2:3" x14ac:dyDescent="0.35">
      <c r="B41">
        <v>-6.1476202600371641</v>
      </c>
      <c r="C41">
        <v>-4.761641241524635</v>
      </c>
    </row>
    <row r="42" spans="2:3" x14ac:dyDescent="0.35">
      <c r="B42">
        <v>0.12438337871989477</v>
      </c>
      <c r="C42">
        <v>-0.71793391975969878</v>
      </c>
    </row>
    <row r="43" spans="2:3" x14ac:dyDescent="0.35">
      <c r="B43">
        <v>-1.3155496070672303</v>
      </c>
      <c r="C43">
        <v>-6.0881416258245364</v>
      </c>
    </row>
    <row r="44" spans="2:3" x14ac:dyDescent="0.35">
      <c r="B44">
        <v>5.2063226517002938</v>
      </c>
      <c r="C44">
        <v>1.8957065497489314</v>
      </c>
    </row>
    <row r="45" spans="2:3" x14ac:dyDescent="0.35">
      <c r="B45">
        <v>-1.883551508261756</v>
      </c>
      <c r="C45">
        <v>0.5413193004117629</v>
      </c>
    </row>
    <row r="46" spans="2:3" x14ac:dyDescent="0.35">
      <c r="B46">
        <v>5.1906873385708492</v>
      </c>
      <c r="C46">
        <v>5.6627380299709609</v>
      </c>
    </row>
    <row r="47" spans="2:3" x14ac:dyDescent="0.35">
      <c r="B47">
        <v>-6.3564792470774814</v>
      </c>
      <c r="C47">
        <v>-3.7031456080774179</v>
      </c>
    </row>
    <row r="48" spans="2:3" x14ac:dyDescent="0.35">
      <c r="B48">
        <v>-4.9425688407154658</v>
      </c>
      <c r="C48">
        <v>-4.2354530848948624</v>
      </c>
    </row>
    <row r="49" spans="2:3" x14ac:dyDescent="0.35">
      <c r="B49">
        <v>-9.0879400548834095</v>
      </c>
      <c r="C49">
        <v>-10.020126294067706</v>
      </c>
    </row>
    <row r="50" spans="2:3" x14ac:dyDescent="0.35">
      <c r="B50">
        <v>1.4884296032573501</v>
      </c>
      <c r="C50">
        <v>-1.982453439761946</v>
      </c>
    </row>
    <row r="51" spans="2:3" x14ac:dyDescent="0.35">
      <c r="B51">
        <v>-0.38734611773753819</v>
      </c>
      <c r="C51">
        <v>-4.13871091550903</v>
      </c>
    </row>
    <row r="52" spans="2:3" x14ac:dyDescent="0.35">
      <c r="B52">
        <v>-4.2108811229911876</v>
      </c>
      <c r="C52">
        <v>-3.1261649919617756</v>
      </c>
    </row>
    <row r="53" spans="2:3" x14ac:dyDescent="0.35">
      <c r="B53">
        <v>-2.8000636855947021</v>
      </c>
      <c r="C53">
        <v>-0.76973998577099401</v>
      </c>
    </row>
    <row r="54" spans="2:3" x14ac:dyDescent="0.35">
      <c r="B54">
        <v>3.4994809034784113</v>
      </c>
      <c r="C54">
        <v>0.12949250670278722</v>
      </c>
    </row>
    <row r="55" spans="2:3" x14ac:dyDescent="0.35">
      <c r="B55">
        <v>-3.353711405684829</v>
      </c>
      <c r="C55">
        <v>-1.8944963561282238</v>
      </c>
    </row>
    <row r="56" spans="2:3" x14ac:dyDescent="0.35">
      <c r="B56">
        <v>-0.75171803436151108</v>
      </c>
      <c r="C56">
        <v>-5.046450839270384</v>
      </c>
    </row>
    <row r="57" spans="2:3" x14ac:dyDescent="0.35">
      <c r="B57">
        <v>-5.6228974803572696</v>
      </c>
      <c r="C57">
        <v>-3.3417382069105717</v>
      </c>
    </row>
    <row r="58" spans="2:3" x14ac:dyDescent="0.35">
      <c r="B58">
        <v>-5.926125818336839</v>
      </c>
      <c r="C58">
        <v>-4.5060637063046975</v>
      </c>
    </row>
    <row r="59" spans="2:3" x14ac:dyDescent="0.35">
      <c r="B59">
        <v>-5.6228974803572696</v>
      </c>
      <c r="C59">
        <v>-3.55273116498695</v>
      </c>
    </row>
    <row r="60" spans="2:3" x14ac:dyDescent="0.35">
      <c r="B60">
        <v>-3.4921682474672009</v>
      </c>
      <c r="C60">
        <v>-2.2000729827298167</v>
      </c>
    </row>
    <row r="61" spans="2:3" x14ac:dyDescent="0.35">
      <c r="B61">
        <v>-1.0101743034189763</v>
      </c>
      <c r="C61">
        <v>-2.5186389260328732</v>
      </c>
    </row>
    <row r="62" spans="2:3" x14ac:dyDescent="0.35">
      <c r="B62">
        <v>-9.463122324255071</v>
      </c>
      <c r="C62">
        <v>-7.9252744043757595</v>
      </c>
    </row>
    <row r="63" spans="2:3" x14ac:dyDescent="0.35">
      <c r="B63">
        <v>-2.7289981651821575</v>
      </c>
      <c r="C63">
        <v>-5.0036932997975372</v>
      </c>
    </row>
    <row r="64" spans="2:3" x14ac:dyDescent="0.35">
      <c r="B64">
        <v>2.4159756880815215</v>
      </c>
      <c r="C64">
        <v>4.4773584120650423</v>
      </c>
    </row>
    <row r="65" spans="2:3" x14ac:dyDescent="0.35">
      <c r="B65">
        <v>-4.7949463626977362</v>
      </c>
      <c r="C65">
        <v>-3.4717672606649845</v>
      </c>
    </row>
    <row r="66" spans="2:3" x14ac:dyDescent="0.35">
      <c r="B66">
        <v>-2.2813430089148441</v>
      </c>
      <c r="C66">
        <v>-0.65200312885219081</v>
      </c>
    </row>
    <row r="67" spans="2:3" x14ac:dyDescent="0.35">
      <c r="B67">
        <v>1.1897016686114319</v>
      </c>
      <c r="C67">
        <v>-2.6037082689926532</v>
      </c>
    </row>
    <row r="68" spans="2:3" x14ac:dyDescent="0.35">
      <c r="B68">
        <v>-3.0244375746041148</v>
      </c>
      <c r="C68">
        <v>0.83708825081021643</v>
      </c>
    </row>
    <row r="69" spans="2:3" x14ac:dyDescent="0.35">
      <c r="B69">
        <v>1.3641797755118883</v>
      </c>
      <c r="C69">
        <v>4.4445536135899664</v>
      </c>
    </row>
    <row r="70" spans="2:3" x14ac:dyDescent="0.35">
      <c r="B70">
        <v>-5.0981747006773075</v>
      </c>
      <c r="C70">
        <v>-3.8622261087249661</v>
      </c>
    </row>
    <row r="71" spans="2:3" x14ac:dyDescent="0.35">
      <c r="B71">
        <v>-3.725583717997663</v>
      </c>
      <c r="C71">
        <v>-1.7106369478648147</v>
      </c>
    </row>
    <row r="72" spans="2:3" x14ac:dyDescent="0.35">
      <c r="B72">
        <v>-5.8214594712777492</v>
      </c>
      <c r="C72">
        <v>-4.0552846606933182</v>
      </c>
    </row>
    <row r="73" spans="2:3" x14ac:dyDescent="0.35">
      <c r="B73">
        <v>-1.402768625520054</v>
      </c>
      <c r="C73">
        <v>-3.627430486847707</v>
      </c>
    </row>
    <row r="74" spans="2:3" x14ac:dyDescent="0.35">
      <c r="B74">
        <v>-2.6941128005337323</v>
      </c>
      <c r="C74">
        <v>-0.4780567609759751</v>
      </c>
    </row>
    <row r="75" spans="2:3" x14ac:dyDescent="0.35">
      <c r="B75">
        <v>-2.5257602880252974</v>
      </c>
      <c r="C75">
        <v>-3.5974341315259606</v>
      </c>
    </row>
    <row r="76" spans="2:3" x14ac:dyDescent="0.35">
      <c r="B76">
        <v>3.1755764906443869</v>
      </c>
      <c r="C76">
        <v>0.16955296308969947</v>
      </c>
    </row>
    <row r="77" spans="2:3" x14ac:dyDescent="0.35">
      <c r="B77">
        <v>-3.9850392373441994</v>
      </c>
      <c r="C77">
        <v>-2.3801789635479773</v>
      </c>
    </row>
    <row r="78" spans="2:3" x14ac:dyDescent="0.35">
      <c r="B78">
        <v>-7.4320378195643784</v>
      </c>
      <c r="C78">
        <v>-5.9434485240727799</v>
      </c>
    </row>
    <row r="79" spans="2:3" x14ac:dyDescent="0.35">
      <c r="B79">
        <v>-0.97180030363634839</v>
      </c>
      <c r="C79">
        <v>-3.1547598036188726</v>
      </c>
    </row>
    <row r="80" spans="2:3" x14ac:dyDescent="0.35">
      <c r="B80">
        <v>-0.80518100849166685</v>
      </c>
      <c r="C80">
        <v>-3.5758892480446498</v>
      </c>
    </row>
    <row r="81" spans="2:3" x14ac:dyDescent="0.35">
      <c r="B81">
        <v>0.66857415154198452</v>
      </c>
      <c r="C81">
        <v>1.8356718943227803</v>
      </c>
    </row>
    <row r="82" spans="2:3" x14ac:dyDescent="0.35">
      <c r="B82">
        <v>-3.7756372812719632</v>
      </c>
      <c r="C82">
        <v>-1.4649065784240227</v>
      </c>
    </row>
    <row r="83" spans="2:3" x14ac:dyDescent="0.35">
      <c r="B83">
        <v>-0.56376948145112671</v>
      </c>
      <c r="C83">
        <v>-3.7200324774637332</v>
      </c>
    </row>
    <row r="84" spans="2:3" x14ac:dyDescent="0.35">
      <c r="B84">
        <v>-0.80518100849166685</v>
      </c>
      <c r="C84">
        <v>-0.1542979025769618</v>
      </c>
    </row>
    <row r="85" spans="2:3" x14ac:dyDescent="0.35">
      <c r="B85">
        <v>-0.41862911427753818</v>
      </c>
      <c r="C85">
        <v>0.25871680813587672</v>
      </c>
    </row>
    <row r="86" spans="2:3" x14ac:dyDescent="0.35">
      <c r="B86">
        <v>2.0600592452835769</v>
      </c>
      <c r="C86">
        <v>-0.69641883801508075</v>
      </c>
    </row>
    <row r="87" spans="2:3" x14ac:dyDescent="0.35">
      <c r="B87">
        <v>-7.2575597126638574</v>
      </c>
      <c r="C87">
        <v>-6.3835123069690924</v>
      </c>
    </row>
    <row r="88" spans="2:3" x14ac:dyDescent="0.35">
      <c r="B88">
        <v>-4.1527375829341286</v>
      </c>
      <c r="C88">
        <v>-1.7271589003103089</v>
      </c>
    </row>
    <row r="89" spans="2:3" x14ac:dyDescent="0.35">
      <c r="B89">
        <v>-7.755322039023425</v>
      </c>
      <c r="C89">
        <v>-5.6561313765931036</v>
      </c>
    </row>
    <row r="90" spans="2:3" x14ac:dyDescent="0.35">
      <c r="B90">
        <v>-2.4932400850046181</v>
      </c>
      <c r="C90">
        <v>-0.47030463669421058</v>
      </c>
    </row>
    <row r="91" spans="2:3" x14ac:dyDescent="0.35">
      <c r="B91">
        <v>-1.189485337308074</v>
      </c>
      <c r="C91">
        <v>0.37501784655178833</v>
      </c>
    </row>
    <row r="92" spans="2:3" x14ac:dyDescent="0.35">
      <c r="B92">
        <v>1.8319104483749735</v>
      </c>
      <c r="C92">
        <v>-2.423019975888804</v>
      </c>
    </row>
    <row r="93" spans="2:3" x14ac:dyDescent="0.35">
      <c r="B93">
        <v>-6.2651062601208105</v>
      </c>
      <c r="C93">
        <v>-3.0252915164729171</v>
      </c>
    </row>
    <row r="94" spans="2:3" x14ac:dyDescent="0.35">
      <c r="B94">
        <v>-0.80518100849166685</v>
      </c>
      <c r="C94">
        <v>-3.7338688219136524</v>
      </c>
    </row>
    <row r="95" spans="2:3" x14ac:dyDescent="0.35">
      <c r="B95">
        <v>-2.9858060234906261</v>
      </c>
      <c r="C95">
        <v>-0.4206484081983502</v>
      </c>
    </row>
    <row r="96" spans="2:3" x14ac:dyDescent="0.35">
      <c r="B96">
        <v>-2.157854905831095</v>
      </c>
      <c r="C96">
        <v>-0.6821065104391103</v>
      </c>
    </row>
    <row r="97" spans="2:3" x14ac:dyDescent="0.35">
      <c r="B97">
        <v>3.1749858560220647E-2</v>
      </c>
      <c r="C97">
        <v>2.9653807125431132E-2</v>
      </c>
    </row>
    <row r="98" spans="2:3" x14ac:dyDescent="0.35">
      <c r="B98">
        <v>-0.23583706607655189</v>
      </c>
      <c r="C98">
        <v>-0.50186406539983119</v>
      </c>
    </row>
    <row r="99" spans="2:3" x14ac:dyDescent="0.35">
      <c r="B99">
        <v>1.6842879703572464</v>
      </c>
      <c r="C99">
        <v>0.74049790051111375</v>
      </c>
    </row>
    <row r="100" spans="2:3" x14ac:dyDescent="0.35">
      <c r="B100">
        <v>-5.4371551424612772</v>
      </c>
      <c r="C100">
        <v>-3.0656450763911791</v>
      </c>
    </row>
    <row r="101" spans="2:3" x14ac:dyDescent="0.35">
      <c r="B101">
        <v>1.0983286816547613</v>
      </c>
      <c r="C101">
        <v>1.1337221833732509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3879A-0FAF-46EC-8419-AF6D1F8C5B16}">
  <sheetPr codeName="XLSTAT_20211004_124611_1_HID2"/>
  <dimension ref="B2:C101"/>
  <sheetViews>
    <sheetView workbookViewId="0">
      <selection activeCell="B2" sqref="B2"/>
    </sheetView>
  </sheetViews>
  <sheetFormatPr defaultRowHeight="14.5" x14ac:dyDescent="0.35"/>
  <sheetData>
    <row r="2" spans="2:3" x14ac:dyDescent="0.35">
      <c r="B2">
        <v>1.1562730236146627E-2</v>
      </c>
      <c r="C2">
        <v>8.814813976938804E-2</v>
      </c>
    </row>
    <row r="3" spans="2:3" x14ac:dyDescent="0.35">
      <c r="B3">
        <v>7.807687227736229E-3</v>
      </c>
      <c r="C3">
        <v>5.884839750272506E-2</v>
      </c>
    </row>
    <row r="4" spans="2:3" x14ac:dyDescent="0.35">
      <c r="B4">
        <v>-5.3496955735751639E-2</v>
      </c>
      <c r="C4">
        <v>0.13106747084511794</v>
      </c>
    </row>
    <row r="5" spans="2:3" x14ac:dyDescent="0.35">
      <c r="B5">
        <v>-5.1406778092962869E-3</v>
      </c>
      <c r="C5">
        <v>5.294616857464611E-2</v>
      </c>
    </row>
    <row r="6" spans="2:3" x14ac:dyDescent="0.35">
      <c r="B6">
        <v>-1.1606282007440679E-2</v>
      </c>
      <c r="C6">
        <v>0.15896380012361722</v>
      </c>
    </row>
    <row r="7" spans="2:3" x14ac:dyDescent="0.35">
      <c r="B7">
        <v>3.466204118275875E-2</v>
      </c>
      <c r="C7">
        <v>7.972056697899331E-2</v>
      </c>
    </row>
    <row r="8" spans="2:3" x14ac:dyDescent="0.35">
      <c r="B8">
        <v>6.4194381203061437E-2</v>
      </c>
      <c r="C8">
        <v>2.6147277248851158E-2</v>
      </c>
    </row>
    <row r="9" spans="2:3" x14ac:dyDescent="0.35">
      <c r="B9">
        <v>8.7979355254992354E-5</v>
      </c>
      <c r="C9">
        <v>5.6003268444155659E-2</v>
      </c>
    </row>
    <row r="10" spans="2:3" x14ac:dyDescent="0.35">
      <c r="B10">
        <v>3.7142536297446377E-2</v>
      </c>
      <c r="C10">
        <v>2.0437105675001371E-2</v>
      </c>
    </row>
    <row r="11" spans="2:3" x14ac:dyDescent="0.35">
      <c r="B11">
        <v>3.8603217504979623E-2</v>
      </c>
      <c r="C11">
        <v>4.9555837193063432E-2</v>
      </c>
    </row>
    <row r="12" spans="2:3" x14ac:dyDescent="0.35">
      <c r="B12">
        <v>7.5531888527041E-2</v>
      </c>
      <c r="C12">
        <v>1.0287888429984399E-2</v>
      </c>
    </row>
    <row r="13" spans="2:3" x14ac:dyDescent="0.35">
      <c r="B13">
        <v>3.5222435427732963E-2</v>
      </c>
      <c r="C13">
        <v>6.7880976143966071E-2</v>
      </c>
    </row>
    <row r="14" spans="2:3" x14ac:dyDescent="0.35">
      <c r="B14">
        <v>5.5404513292372795E-2</v>
      </c>
      <c r="C14">
        <v>7.7419132047896924E-2</v>
      </c>
    </row>
    <row r="15" spans="2:3" x14ac:dyDescent="0.35">
      <c r="B15">
        <v>1.6572250791686248E-2</v>
      </c>
      <c r="C15">
        <v>4.6555596181757468E-2</v>
      </c>
    </row>
    <row r="16" spans="2:3" x14ac:dyDescent="0.35">
      <c r="B16">
        <v>-3.4112340560951471E-2</v>
      </c>
      <c r="C16">
        <v>0.10489449571993535</v>
      </c>
    </row>
    <row r="17" spans="2:3" x14ac:dyDescent="0.35">
      <c r="B17">
        <v>-2.0402045461792612E-2</v>
      </c>
      <c r="C17">
        <v>0.10456917243420956</v>
      </c>
    </row>
    <row r="18" spans="2:3" x14ac:dyDescent="0.35">
      <c r="B18">
        <v>7.4081130599997255E-2</v>
      </c>
      <c r="C18">
        <v>8.8702977318936421E-3</v>
      </c>
    </row>
    <row r="19" spans="2:3" x14ac:dyDescent="0.35">
      <c r="B19">
        <v>6.9103429553724463E-2</v>
      </c>
      <c r="C19">
        <v>3.5423625354863458E-2</v>
      </c>
    </row>
    <row r="20" spans="2:3" x14ac:dyDescent="0.35">
      <c r="B20">
        <v>9.7353882740663256E-2</v>
      </c>
      <c r="C20">
        <v>6.2285798278125686E-2</v>
      </c>
    </row>
    <row r="21" spans="2:3" x14ac:dyDescent="0.35">
      <c r="B21">
        <v>5.2986950585351848E-2</v>
      </c>
      <c r="C21">
        <v>4.6418817205357107E-2</v>
      </c>
    </row>
    <row r="22" spans="2:3" x14ac:dyDescent="0.35">
      <c r="B22">
        <v>8.36384353394483E-2</v>
      </c>
      <c r="C22">
        <v>-2.290646115266626E-3</v>
      </c>
    </row>
    <row r="23" spans="2:3" x14ac:dyDescent="0.35">
      <c r="B23">
        <v>7.5734725486874821E-2</v>
      </c>
      <c r="C23">
        <v>3.3851413507772869E-2</v>
      </c>
    </row>
    <row r="24" spans="2:3" x14ac:dyDescent="0.35">
      <c r="B24">
        <v>-3.4401995571185272E-3</v>
      </c>
      <c r="C24">
        <v>0.15529458843717917</v>
      </c>
    </row>
    <row r="25" spans="2:3" x14ac:dyDescent="0.35">
      <c r="B25">
        <v>6.9555374962665575E-2</v>
      </c>
      <c r="C25">
        <v>8.9019900546651279E-2</v>
      </c>
    </row>
    <row r="26" spans="2:3" x14ac:dyDescent="0.35">
      <c r="B26">
        <v>7.3128702693182154E-2</v>
      </c>
      <c r="C26">
        <v>7.4224329871404329E-2</v>
      </c>
    </row>
    <row r="27" spans="2:3" x14ac:dyDescent="0.35">
      <c r="B27">
        <v>-0.12274046791567135</v>
      </c>
      <c r="C27">
        <v>4.6246723954234792E-2</v>
      </c>
    </row>
    <row r="28" spans="2:3" x14ac:dyDescent="0.35">
      <c r="B28">
        <v>7.2316056376541843E-2</v>
      </c>
      <c r="C28">
        <v>1.1390903614243084E-2</v>
      </c>
    </row>
    <row r="29" spans="2:3" x14ac:dyDescent="0.35">
      <c r="B29">
        <v>-2.4727504176139882E-3</v>
      </c>
      <c r="C29">
        <v>6.0929124636122899E-2</v>
      </c>
    </row>
    <row r="30" spans="2:3" x14ac:dyDescent="0.35">
      <c r="B30">
        <v>-5.2605721540663501E-2</v>
      </c>
      <c r="C30">
        <v>0.14126580615751</v>
      </c>
    </row>
    <row r="31" spans="2:3" x14ac:dyDescent="0.35">
      <c r="B31">
        <v>8.2673838783524273E-2</v>
      </c>
      <c r="C31">
        <v>1.063833741334487E-3</v>
      </c>
    </row>
    <row r="32" spans="2:3" x14ac:dyDescent="0.35">
      <c r="B32">
        <v>-0.1225916832703612</v>
      </c>
      <c r="C32">
        <v>4.790761865206996E-2</v>
      </c>
    </row>
    <row r="33" spans="2:3" x14ac:dyDescent="0.35">
      <c r="B33">
        <v>-5.398194943244846E-2</v>
      </c>
      <c r="C33">
        <v>4.8441647967934882E-2</v>
      </c>
    </row>
    <row r="34" spans="2:3" x14ac:dyDescent="0.35">
      <c r="B34">
        <v>7.3809017015247488E-2</v>
      </c>
      <c r="C34">
        <v>2.2364879445562973E-2</v>
      </c>
    </row>
    <row r="35" spans="2:3" x14ac:dyDescent="0.35">
      <c r="B35">
        <v>-0.10592090591936305</v>
      </c>
      <c r="C35">
        <v>5.3837248497064012E-2</v>
      </c>
    </row>
    <row r="36" spans="2:3" x14ac:dyDescent="0.35">
      <c r="B36">
        <v>5.9191234075517789E-2</v>
      </c>
      <c r="C36">
        <v>1.8740077760395546E-2</v>
      </c>
    </row>
    <row r="37" spans="2:3" x14ac:dyDescent="0.35">
      <c r="B37">
        <v>-0.11310567368178376</v>
      </c>
      <c r="C37">
        <v>4.3461964928061127E-2</v>
      </c>
    </row>
    <row r="38" spans="2:3" x14ac:dyDescent="0.35">
      <c r="B38">
        <v>0.1335959942573425</v>
      </c>
      <c r="C38">
        <v>-3.2825867389332582E-2</v>
      </c>
    </row>
    <row r="39" spans="2:3" x14ac:dyDescent="0.35">
      <c r="B39">
        <v>9.7158278992604458E-2</v>
      </c>
      <c r="C39">
        <v>-2.2450412799871207E-2</v>
      </c>
    </row>
    <row r="40" spans="2:3" x14ac:dyDescent="0.35">
      <c r="B40">
        <v>-0.12260983954402568</v>
      </c>
      <c r="C40">
        <v>1.3201787639370091E-2</v>
      </c>
    </row>
    <row r="41" spans="2:3" x14ac:dyDescent="0.35">
      <c r="B41">
        <v>-5.5107140167343541E-2</v>
      </c>
      <c r="C41">
        <v>3.3235608716241448E-2</v>
      </c>
    </row>
    <row r="42" spans="2:3" x14ac:dyDescent="0.35">
      <c r="B42">
        <v>2.0853257058003324E-2</v>
      </c>
      <c r="C42">
        <v>2.3539636484397702E-2</v>
      </c>
    </row>
    <row r="43" spans="2:3" x14ac:dyDescent="0.35">
      <c r="B43">
        <v>0.11108602770164965</v>
      </c>
      <c r="C43">
        <v>-1.8348413006931602E-2</v>
      </c>
    </row>
    <row r="44" spans="2:3" x14ac:dyDescent="0.35">
      <c r="B44">
        <v>9.8467346714302684E-2</v>
      </c>
      <c r="C44">
        <v>6.8105423147707695E-3</v>
      </c>
    </row>
    <row r="45" spans="2:3" x14ac:dyDescent="0.35">
      <c r="B45">
        <v>-6.5370198809695829E-2</v>
      </c>
      <c r="C45">
        <v>-1.4667936367583569E-2</v>
      </c>
    </row>
    <row r="46" spans="2:3" x14ac:dyDescent="0.35">
      <c r="B46">
        <v>6.7195948212433916E-3</v>
      </c>
      <c r="C46">
        <v>7.0065548897446763E-3</v>
      </c>
    </row>
    <row r="47" spans="2:3" x14ac:dyDescent="0.35">
      <c r="B47">
        <v>-8.6559017610885622E-2</v>
      </c>
      <c r="C47">
        <v>-5.596482750116203E-2</v>
      </c>
    </row>
    <row r="48" spans="2:3" x14ac:dyDescent="0.35">
      <c r="B48">
        <v>-3.4434795348137197E-2</v>
      </c>
      <c r="C48">
        <v>-1.1104085276445866E-2</v>
      </c>
    </row>
    <row r="49" spans="2:3" x14ac:dyDescent="0.35">
      <c r="B49">
        <v>-9.2022791871146804E-3</v>
      </c>
      <c r="C49">
        <v>-0.10158398073545991</v>
      </c>
    </row>
    <row r="50" spans="2:3" x14ac:dyDescent="0.35">
      <c r="B50">
        <v>8.9343332938953704E-2</v>
      </c>
      <c r="C50">
        <v>1.6464646561733999E-3</v>
      </c>
    </row>
    <row r="51" spans="2:3" x14ac:dyDescent="0.35">
      <c r="B51">
        <v>8.9578946573920765E-2</v>
      </c>
      <c r="C51">
        <v>1.6141226402254321E-3</v>
      </c>
    </row>
    <row r="52" spans="2:3" x14ac:dyDescent="0.35">
      <c r="B52">
        <v>-4.1027767565096372E-2</v>
      </c>
      <c r="C52">
        <v>-2.6231240901963212E-2</v>
      </c>
    </row>
    <row r="53" spans="2:3" x14ac:dyDescent="0.35">
      <c r="B53">
        <v>-5.9013134542285531E-2</v>
      </c>
      <c r="C53">
        <v>-7.9234033299070375E-2</v>
      </c>
    </row>
    <row r="54" spans="2:3" x14ac:dyDescent="0.35">
      <c r="B54">
        <v>9.393429807441947E-2</v>
      </c>
      <c r="C54">
        <v>-2.373961443937737E-2</v>
      </c>
    </row>
    <row r="55" spans="2:3" x14ac:dyDescent="0.35">
      <c r="B55">
        <v>-4.7106497042075188E-2</v>
      </c>
      <c r="C55">
        <v>-9.9540284291462708E-3</v>
      </c>
    </row>
    <row r="56" spans="2:3" x14ac:dyDescent="0.35">
      <c r="B56">
        <v>0.10147541951643473</v>
      </c>
      <c r="C56">
        <v>-6.4544149974664788E-2</v>
      </c>
    </row>
    <row r="57" spans="2:3" x14ac:dyDescent="0.35">
      <c r="B57">
        <v>-7.4970584816558217E-2</v>
      </c>
      <c r="C57">
        <v>-0.11395323186113931</v>
      </c>
    </row>
    <row r="58" spans="2:3" x14ac:dyDescent="0.35">
      <c r="B58">
        <v>-5.5158314482094475E-2</v>
      </c>
      <c r="C58">
        <v>-6.9331832375830044E-2</v>
      </c>
    </row>
    <row r="59" spans="2:3" x14ac:dyDescent="0.35">
      <c r="B59">
        <v>-6.9856048536516377E-2</v>
      </c>
      <c r="C59">
        <v>-6.8727283792677951E-2</v>
      </c>
    </row>
    <row r="60" spans="2:3" x14ac:dyDescent="0.35">
      <c r="B60">
        <v>-4.3539921923035449E-2</v>
      </c>
      <c r="C60">
        <v>-7.3103050650330029E-2</v>
      </c>
    </row>
    <row r="61" spans="2:3" x14ac:dyDescent="0.35">
      <c r="B61">
        <v>3.3031053923405267E-2</v>
      </c>
      <c r="C61">
        <v>-1.4783834091093019E-2</v>
      </c>
    </row>
    <row r="62" spans="2:3" x14ac:dyDescent="0.35">
      <c r="B62">
        <v>-7.038945681293729E-2</v>
      </c>
      <c r="C62">
        <v>-8.5402897686708321E-2</v>
      </c>
    </row>
    <row r="63" spans="2:3" x14ac:dyDescent="0.35">
      <c r="B63">
        <v>4.5590547344513135E-2</v>
      </c>
      <c r="C63">
        <v>-3.6155879456014381E-2</v>
      </c>
    </row>
    <row r="64" spans="2:3" x14ac:dyDescent="0.35">
      <c r="B64">
        <v>-4.1515054763010074E-2</v>
      </c>
      <c r="C64">
        <v>-9.4944578460942841E-2</v>
      </c>
    </row>
    <row r="65" spans="2:3" x14ac:dyDescent="0.35">
      <c r="B65">
        <v>-4.8851834276103873E-2</v>
      </c>
      <c r="C65">
        <v>-9.1881925829936803E-2</v>
      </c>
    </row>
    <row r="66" spans="2:3" x14ac:dyDescent="0.35">
      <c r="B66">
        <v>-4.7478151977592399E-2</v>
      </c>
      <c r="C66">
        <v>-8.6104598477360308E-2</v>
      </c>
    </row>
    <row r="67" spans="2:3" x14ac:dyDescent="0.35">
      <c r="B67">
        <v>9.6116235989705992E-2</v>
      </c>
      <c r="C67">
        <v>-8.2001832941023228E-2</v>
      </c>
    </row>
    <row r="68" spans="2:3" x14ac:dyDescent="0.35">
      <c r="B68">
        <v>-0.10418714125056351</v>
      </c>
      <c r="C68">
        <v>3.1165591971391515E-2</v>
      </c>
    </row>
    <row r="69" spans="2:3" x14ac:dyDescent="0.35">
      <c r="B69">
        <v>-6.9895964515537645E-2</v>
      </c>
      <c r="C69">
        <v>-7.215165754023882E-2</v>
      </c>
    </row>
    <row r="70" spans="2:3" x14ac:dyDescent="0.35">
      <c r="B70">
        <v>-4.7798337221316198E-2</v>
      </c>
      <c r="C70">
        <v>-9.0029948013596914E-2</v>
      </c>
    </row>
    <row r="71" spans="2:3" x14ac:dyDescent="0.35">
      <c r="B71">
        <v>-6.1878794330649557E-2</v>
      </c>
      <c r="C71">
        <v>-0.11269787643220887</v>
      </c>
    </row>
    <row r="72" spans="2:3" x14ac:dyDescent="0.35">
      <c r="B72">
        <v>-6.3181967839598466E-2</v>
      </c>
      <c r="C72">
        <v>-9.6769774433546452E-2</v>
      </c>
    </row>
    <row r="73" spans="2:3" x14ac:dyDescent="0.35">
      <c r="B73">
        <v>4.901821189544734E-2</v>
      </c>
      <c r="C73">
        <v>-3.3016668344217091E-2</v>
      </c>
    </row>
    <row r="74" spans="2:3" x14ac:dyDescent="0.35">
      <c r="B74">
        <v>-6.3144622483930074E-2</v>
      </c>
      <c r="C74">
        <v>-5.649485236489081E-2</v>
      </c>
    </row>
    <row r="75" spans="2:3" x14ac:dyDescent="0.35">
      <c r="B75">
        <v>1.7140060205211773E-2</v>
      </c>
      <c r="C75">
        <v>-4.6293310815900886E-2</v>
      </c>
    </row>
    <row r="76" spans="2:3" x14ac:dyDescent="0.35">
      <c r="B76">
        <v>8.3978330171348703E-2</v>
      </c>
      <c r="C76">
        <v>-0.1055633976760489</v>
      </c>
    </row>
    <row r="77" spans="2:3" x14ac:dyDescent="0.35">
      <c r="B77">
        <v>-5.2846004267190737E-2</v>
      </c>
      <c r="C77">
        <v>-0.1031427268819935</v>
      </c>
    </row>
    <row r="78" spans="2:3" x14ac:dyDescent="0.35">
      <c r="B78">
        <v>-6.2088632402912111E-2</v>
      </c>
      <c r="C78">
        <v>-0.13936457972423527</v>
      </c>
    </row>
    <row r="79" spans="2:3" x14ac:dyDescent="0.35">
      <c r="B79">
        <v>4.9515294767540963E-2</v>
      </c>
      <c r="C79">
        <v>-6.5462352707252841E-2</v>
      </c>
    </row>
    <row r="80" spans="2:3" x14ac:dyDescent="0.35">
      <c r="B80">
        <v>6.4345512933206256E-2</v>
      </c>
      <c r="C80">
        <v>-8.0154726113415287E-2</v>
      </c>
    </row>
    <row r="81" spans="2:3" x14ac:dyDescent="0.35">
      <c r="B81">
        <v>-2.5951473855272994E-2</v>
      </c>
      <c r="C81">
        <v>-2.627303060542107E-2</v>
      </c>
    </row>
    <row r="82" spans="2:3" x14ac:dyDescent="0.35">
      <c r="B82">
        <v>-6.9223828539900001E-2</v>
      </c>
      <c r="C82">
        <v>-0.13276422364493171</v>
      </c>
    </row>
    <row r="83" spans="2:3" x14ac:dyDescent="0.35">
      <c r="B83">
        <v>7.4536183338193979E-2</v>
      </c>
      <c r="C83">
        <v>-9.106541297581601E-2</v>
      </c>
    </row>
    <row r="84" spans="2:3" x14ac:dyDescent="0.35">
      <c r="B84">
        <v>-1.8594947409251186E-2</v>
      </c>
      <c r="C84">
        <v>-6.0806741612977567E-3</v>
      </c>
    </row>
    <row r="85" spans="2:3" x14ac:dyDescent="0.35">
      <c r="B85">
        <v>-1.788386654177699E-2</v>
      </c>
      <c r="C85">
        <v>-3.1615369914187778E-2</v>
      </c>
    </row>
    <row r="86" spans="2:3" x14ac:dyDescent="0.35">
      <c r="B86">
        <v>7.402606628849423E-2</v>
      </c>
      <c r="C86">
        <v>-7.6897504101785169E-2</v>
      </c>
    </row>
    <row r="87" spans="2:3" x14ac:dyDescent="0.35">
      <c r="B87">
        <v>-4.6581441730196932E-2</v>
      </c>
      <c r="C87">
        <v>-0.11855098989438159</v>
      </c>
    </row>
    <row r="88" spans="2:3" x14ac:dyDescent="0.35">
      <c r="B88">
        <v>-7.3327256773564095E-2</v>
      </c>
      <c r="C88">
        <v>-8.8391622683783228E-2</v>
      </c>
    </row>
    <row r="89" spans="2:3" x14ac:dyDescent="0.35">
      <c r="B89">
        <v>-7.8020977240181796E-2</v>
      </c>
      <c r="C89">
        <v>-0.15816077061022343</v>
      </c>
    </row>
    <row r="90" spans="2:3" x14ac:dyDescent="0.35">
      <c r="B90">
        <v>-5.776046293036953E-2</v>
      </c>
      <c r="C90">
        <v>-0.11644982885580085</v>
      </c>
    </row>
    <row r="91" spans="2:3" x14ac:dyDescent="0.35">
      <c r="B91">
        <v>-4.2086071804048344E-2</v>
      </c>
      <c r="C91">
        <v>-8.7656593683521133E-2</v>
      </c>
    </row>
    <row r="92" spans="2:3" x14ac:dyDescent="0.35">
      <c r="B92">
        <v>0.10955073236330083</v>
      </c>
      <c r="C92">
        <v>-2.4205605603863135E-2</v>
      </c>
    </row>
    <row r="93" spans="2:3" x14ac:dyDescent="0.35">
      <c r="B93">
        <v>-0.10045579099858472</v>
      </c>
      <c r="C93">
        <v>-0.14173166024409817</v>
      </c>
    </row>
    <row r="94" spans="2:3" x14ac:dyDescent="0.35">
      <c r="B94">
        <v>6.8174987951827831E-2</v>
      </c>
      <c r="C94">
        <v>-5.4434979768874146E-2</v>
      </c>
    </row>
    <row r="95" spans="2:3" x14ac:dyDescent="0.35">
      <c r="B95">
        <v>-7.2627592242932915E-2</v>
      </c>
      <c r="C95">
        <v>-0.10316527260815676</v>
      </c>
    </row>
    <row r="96" spans="2:3" x14ac:dyDescent="0.35">
      <c r="B96">
        <v>-4.3322959847163486E-2</v>
      </c>
      <c r="C96">
        <v>-0.12892880340619708</v>
      </c>
    </row>
    <row r="97" spans="2:3" x14ac:dyDescent="0.35">
      <c r="B97">
        <v>1.619019422906772E-4</v>
      </c>
      <c r="C97">
        <v>-6.7825469987307777E-2</v>
      </c>
    </row>
    <row r="98" spans="2:3" x14ac:dyDescent="0.35">
      <c r="B98">
        <v>5.62338326936428E-3</v>
      </c>
      <c r="C98">
        <v>-3.8403771788780093E-2</v>
      </c>
    </row>
    <row r="99" spans="2:3" x14ac:dyDescent="0.35">
      <c r="B99">
        <v>2.8771106961291818E-2</v>
      </c>
      <c r="C99">
        <v>8.8505815758642132E-4</v>
      </c>
    </row>
    <row r="100" spans="2:3" x14ac:dyDescent="0.35">
      <c r="B100">
        <v>-7.6510802894740368E-2</v>
      </c>
      <c r="C100">
        <v>-0.1207181644903592</v>
      </c>
    </row>
    <row r="101" spans="2:3" x14ac:dyDescent="0.35">
      <c r="B101">
        <v>2.9851104715563526E-3</v>
      </c>
      <c r="C101">
        <v>9.4144796415623067E-2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9BDC-A90C-4883-9A1B-8281473EC09B}">
  <sheetPr codeName="XLSTAT_20211004_124611_1_HID1"/>
  <dimension ref="B2:C101"/>
  <sheetViews>
    <sheetView workbookViewId="0">
      <selection activeCell="B2" sqref="B2"/>
    </sheetView>
  </sheetViews>
  <sheetFormatPr defaultRowHeight="14.5" x14ac:dyDescent="0.35"/>
  <sheetData>
    <row r="2" spans="2:3" x14ac:dyDescent="0.35">
      <c r="B2">
        <v>0.41683531607654944</v>
      </c>
      <c r="C2">
        <v>2.0464578118615568</v>
      </c>
    </row>
    <row r="3" spans="2:3" x14ac:dyDescent="0.35">
      <c r="B3">
        <v>0.28146637575494143</v>
      </c>
      <c r="C3">
        <v>1.3662314723833668</v>
      </c>
    </row>
    <row r="4" spans="2:3" x14ac:dyDescent="0.35">
      <c r="B4">
        <v>-1.9285601235886545</v>
      </c>
      <c r="C4">
        <v>3.0428781627570651</v>
      </c>
    </row>
    <row r="5" spans="2:3" x14ac:dyDescent="0.35">
      <c r="B5">
        <v>-0.18532094200269367</v>
      </c>
      <c r="C5">
        <v>1.2292046159021925</v>
      </c>
    </row>
    <row r="6" spans="2:3" x14ac:dyDescent="0.35">
      <c r="B6">
        <v>-0.41840535325481887</v>
      </c>
      <c r="C6">
        <v>3.6905226975549823</v>
      </c>
    </row>
    <row r="7" spans="2:3" x14ac:dyDescent="0.35">
      <c r="B7">
        <v>1.249563260336743</v>
      </c>
      <c r="C7">
        <v>1.850802268624278</v>
      </c>
    </row>
    <row r="8" spans="2:3" x14ac:dyDescent="0.35">
      <c r="B8">
        <v>2.314201285736655</v>
      </c>
      <c r="C8">
        <v>0.60703833257073503</v>
      </c>
    </row>
    <row r="9" spans="2:3" x14ac:dyDescent="0.35">
      <c r="B9">
        <v>3.1716473191843063E-3</v>
      </c>
      <c r="C9">
        <v>1.3001786140599099</v>
      </c>
    </row>
    <row r="10" spans="2:3" x14ac:dyDescent="0.35">
      <c r="B10">
        <v>1.3389848713265822</v>
      </c>
      <c r="C10">
        <v>0.47447030271841517</v>
      </c>
    </row>
    <row r="11" spans="2:3" x14ac:dyDescent="0.35">
      <c r="B11">
        <v>1.3916422887698956</v>
      </c>
      <c r="C11">
        <v>1.1504942748922653</v>
      </c>
    </row>
    <row r="12" spans="2:3" x14ac:dyDescent="0.35">
      <c r="B12">
        <v>2.7229173374298363</v>
      </c>
      <c r="C12">
        <v>0.23884485481125503</v>
      </c>
    </row>
    <row r="13" spans="2:3" x14ac:dyDescent="0.35">
      <c r="B13">
        <v>1.2697654191228285</v>
      </c>
      <c r="C13">
        <v>1.5759329042000922</v>
      </c>
    </row>
    <row r="14" spans="2:3" x14ac:dyDescent="0.35">
      <c r="B14">
        <v>1.9973273905584126</v>
      </c>
      <c r="C14">
        <v>1.7973718785382824</v>
      </c>
    </row>
    <row r="15" spans="2:3" x14ac:dyDescent="0.35">
      <c r="B15">
        <v>0.59742805166009805</v>
      </c>
      <c r="C15">
        <v>1.0808403188233393</v>
      </c>
    </row>
    <row r="16" spans="2:3" x14ac:dyDescent="0.35">
      <c r="B16">
        <v>-1.2297466056402417</v>
      </c>
      <c r="C16">
        <v>2.4352432251994944</v>
      </c>
    </row>
    <row r="17" spans="2:3" x14ac:dyDescent="0.35">
      <c r="B17">
        <v>-0.73549178221670419</v>
      </c>
      <c r="C17">
        <v>2.4276904806810533</v>
      </c>
    </row>
    <row r="18" spans="2:3" x14ac:dyDescent="0.35">
      <c r="B18">
        <v>2.6706176532964658</v>
      </c>
      <c r="C18">
        <v>0.20593389871258103</v>
      </c>
    </row>
    <row r="19" spans="2:3" x14ac:dyDescent="0.35">
      <c r="B19">
        <v>2.491172007970301</v>
      </c>
      <c r="C19">
        <v>0.82239914559255045</v>
      </c>
    </row>
    <row r="20" spans="2:3" x14ac:dyDescent="0.35">
      <c r="B20">
        <v>3.5095981359682309</v>
      </c>
      <c r="C20">
        <v>1.4460345820998184</v>
      </c>
    </row>
    <row r="21" spans="2:3" x14ac:dyDescent="0.35">
      <c r="B21">
        <v>1.9101744868293546</v>
      </c>
      <c r="C21">
        <v>1.0776648416608574</v>
      </c>
    </row>
    <row r="22" spans="2:3" x14ac:dyDescent="0.35">
      <c r="B22">
        <v>3.015157572549708</v>
      </c>
      <c r="C22">
        <v>-5.3179915640439376E-2</v>
      </c>
    </row>
    <row r="23" spans="2:3" x14ac:dyDescent="0.35">
      <c r="B23">
        <v>2.7302295903785407</v>
      </c>
      <c r="C23">
        <v>0.78589848630697368</v>
      </c>
    </row>
    <row r="24" spans="2:3" x14ac:dyDescent="0.35">
      <c r="B24">
        <v>-0.12401886409794835</v>
      </c>
      <c r="C24">
        <v>3.6053378378548286</v>
      </c>
    </row>
    <row r="25" spans="2:3" x14ac:dyDescent="0.35">
      <c r="B25">
        <v>2.5074645966182998</v>
      </c>
      <c r="C25">
        <v>2.0666967148874424</v>
      </c>
    </row>
    <row r="26" spans="2:3" x14ac:dyDescent="0.35">
      <c r="B26">
        <v>2.6362827185994422</v>
      </c>
      <c r="C26">
        <v>1.7232009670642541</v>
      </c>
    </row>
    <row r="27" spans="2:3" x14ac:dyDescent="0.35">
      <c r="B27">
        <v>-4.4247820967985136</v>
      </c>
      <c r="C27">
        <v>1.0736695040502251</v>
      </c>
    </row>
    <row r="28" spans="2:3" x14ac:dyDescent="0.35">
      <c r="B28">
        <v>2.6069868968223098</v>
      </c>
      <c r="C28">
        <v>0.26445258795608995</v>
      </c>
    </row>
    <row r="29" spans="2:3" x14ac:dyDescent="0.35">
      <c r="B29">
        <v>-8.914241540309821E-2</v>
      </c>
      <c r="C29">
        <v>1.4145378836999793</v>
      </c>
    </row>
    <row r="30" spans="2:3" x14ac:dyDescent="0.35">
      <c r="B30">
        <v>-1.8964312163305364</v>
      </c>
      <c r="C30">
        <v>3.2796439416223855</v>
      </c>
    </row>
    <row r="31" spans="2:3" x14ac:dyDescent="0.35">
      <c r="B31">
        <v>2.9803839592193553</v>
      </c>
      <c r="C31">
        <v>2.469809205471089E-2</v>
      </c>
    </row>
    <row r="32" spans="2:3" x14ac:dyDescent="0.35">
      <c r="B32">
        <v>-4.4194184246044399</v>
      </c>
      <c r="C32">
        <v>1.1122290350619572</v>
      </c>
    </row>
    <row r="33" spans="2:3" x14ac:dyDescent="0.35">
      <c r="B33">
        <v>-1.9460440998407136</v>
      </c>
      <c r="C33">
        <v>1.1246271238710235</v>
      </c>
    </row>
    <row r="34" spans="2:3" x14ac:dyDescent="0.35">
      <c r="B34">
        <v>2.6608079846635935</v>
      </c>
      <c r="C34">
        <v>0.51922573037223441</v>
      </c>
    </row>
    <row r="35" spans="2:3" x14ac:dyDescent="0.35">
      <c r="B35">
        <v>-3.8184384999304477</v>
      </c>
      <c r="C35">
        <v>1.2498920345249322</v>
      </c>
    </row>
    <row r="36" spans="2:3" x14ac:dyDescent="0.35">
      <c r="B36">
        <v>2.1338383116211106</v>
      </c>
      <c r="C36">
        <v>0.43507189860145973</v>
      </c>
    </row>
    <row r="37" spans="2:3" x14ac:dyDescent="0.35">
      <c r="B37">
        <v>-4.0774486887025505</v>
      </c>
      <c r="C37">
        <v>1.0090182036577897</v>
      </c>
    </row>
    <row r="38" spans="2:3" x14ac:dyDescent="0.35">
      <c r="B38">
        <v>4.8161227803044007</v>
      </c>
      <c r="C38">
        <v>-0.76208928430909717</v>
      </c>
    </row>
    <row r="39" spans="2:3" x14ac:dyDescent="0.35">
      <c r="B39">
        <v>3.5025466396103067</v>
      </c>
      <c r="C39">
        <v>-0.52121148301042675</v>
      </c>
    </row>
    <row r="40" spans="2:3" x14ac:dyDescent="0.35">
      <c r="B40">
        <v>-4.4200729565287471</v>
      </c>
      <c r="C40">
        <v>0.30649428922501953</v>
      </c>
    </row>
    <row r="41" spans="2:3" x14ac:dyDescent="0.35">
      <c r="B41">
        <v>-1.9866071179210092</v>
      </c>
      <c r="C41">
        <v>0.77160188822211084</v>
      </c>
    </row>
    <row r="42" spans="2:3" x14ac:dyDescent="0.35">
      <c r="B42">
        <v>0.75175791698614902</v>
      </c>
      <c r="C42">
        <v>0.54649903103918251</v>
      </c>
    </row>
    <row r="43" spans="2:3" x14ac:dyDescent="0.35">
      <c r="B43">
        <v>4.0046406448151153</v>
      </c>
      <c r="C43">
        <v>-0.42597896259107931</v>
      </c>
    </row>
    <row r="44" spans="2:3" x14ac:dyDescent="0.35">
      <c r="B44">
        <v>3.5497384054299284</v>
      </c>
      <c r="C44">
        <v>0.15811436928265754</v>
      </c>
    </row>
    <row r="45" spans="2:3" x14ac:dyDescent="0.35">
      <c r="B45">
        <v>-2.3565893976877259</v>
      </c>
      <c r="C45">
        <v>-0.34053257438966389</v>
      </c>
    </row>
    <row r="46" spans="2:3" x14ac:dyDescent="0.35">
      <c r="B46">
        <v>0.24224074885559019</v>
      </c>
      <c r="C46">
        <v>0.16266502079189965</v>
      </c>
    </row>
    <row r="47" spans="2:3" x14ac:dyDescent="0.35">
      <c r="B47">
        <v>-3.1204442833333244</v>
      </c>
      <c r="C47">
        <v>-1.2992861645052121</v>
      </c>
    </row>
    <row r="48" spans="2:3" x14ac:dyDescent="0.35">
      <c r="B48">
        <v>-1.2413710697929012</v>
      </c>
      <c r="C48">
        <v>-0.25779377893861249</v>
      </c>
    </row>
    <row r="49" spans="2:3" x14ac:dyDescent="0.35">
      <c r="B49">
        <v>-0.33174128214063769</v>
      </c>
      <c r="C49">
        <v>-2.3583859112619714</v>
      </c>
    </row>
    <row r="50" spans="2:3" x14ac:dyDescent="0.35">
      <c r="B50">
        <v>3.2208185838773122</v>
      </c>
      <c r="C50">
        <v>3.8224521429437289E-2</v>
      </c>
    </row>
    <row r="51" spans="2:3" x14ac:dyDescent="0.35">
      <c r="B51">
        <v>3.2293124328210863</v>
      </c>
      <c r="C51">
        <v>3.747366529836945E-2</v>
      </c>
    </row>
    <row r="52" spans="2:3" x14ac:dyDescent="0.35">
      <c r="B52">
        <v>-1.4790470859079274</v>
      </c>
      <c r="C52">
        <v>-0.60898764283721518</v>
      </c>
    </row>
    <row r="53" spans="2:3" x14ac:dyDescent="0.35">
      <c r="B53">
        <v>-2.1274178405289219</v>
      </c>
      <c r="C53">
        <v>-1.8395068442101397</v>
      </c>
    </row>
    <row r="54" spans="2:3" x14ac:dyDescent="0.35">
      <c r="B54">
        <v>3.3863224367092228</v>
      </c>
      <c r="C54">
        <v>-0.55114174328743759</v>
      </c>
    </row>
    <row r="55" spans="2:3" x14ac:dyDescent="0.35">
      <c r="B55">
        <v>-1.6981847005656852</v>
      </c>
      <c r="C55">
        <v>-0.23109392088830721</v>
      </c>
    </row>
    <row r="56" spans="2:3" x14ac:dyDescent="0.35">
      <c r="B56">
        <v>3.658179141454212</v>
      </c>
      <c r="C56">
        <v>-1.4984647466319829</v>
      </c>
    </row>
    <row r="57" spans="2:3" x14ac:dyDescent="0.35">
      <c r="B57">
        <v>-2.7026823924993901</v>
      </c>
      <c r="C57">
        <v>-2.6455519326805503</v>
      </c>
    </row>
    <row r="58" spans="2:3" x14ac:dyDescent="0.35">
      <c r="B58">
        <v>-1.9884519470598505</v>
      </c>
      <c r="C58">
        <v>-1.6096161569307093</v>
      </c>
    </row>
    <row r="59" spans="2:3" x14ac:dyDescent="0.35">
      <c r="B59">
        <v>-2.518303850119187</v>
      </c>
      <c r="C59">
        <v>-1.595580884333033</v>
      </c>
    </row>
    <row r="60" spans="2:3" x14ac:dyDescent="0.35">
      <c r="B60">
        <v>-1.5696100095806662</v>
      </c>
      <c r="C60">
        <v>-1.697169213844631</v>
      </c>
    </row>
    <row r="61" spans="2:3" x14ac:dyDescent="0.35">
      <c r="B61">
        <v>1.1907663260587018</v>
      </c>
      <c r="C61">
        <v>-0.34322326987425827</v>
      </c>
    </row>
    <row r="62" spans="2:3" x14ac:dyDescent="0.35">
      <c r="B62">
        <v>-2.5375331673270454</v>
      </c>
      <c r="C62">
        <v>-1.9827239415808136</v>
      </c>
    </row>
    <row r="63" spans="2:3" x14ac:dyDescent="0.35">
      <c r="B63">
        <v>1.6435348593574193</v>
      </c>
      <c r="C63">
        <v>-0.83939924485146156</v>
      </c>
    </row>
    <row r="64" spans="2:3" x14ac:dyDescent="0.35">
      <c r="B64">
        <v>-1.4966137426588944</v>
      </c>
      <c r="C64">
        <v>-2.2042447497318061</v>
      </c>
    </row>
    <row r="65" spans="2:3" x14ac:dyDescent="0.35">
      <c r="B65">
        <v>-1.7611039404639057</v>
      </c>
      <c r="C65">
        <v>-2.1331418379955194</v>
      </c>
    </row>
    <row r="66" spans="2:3" x14ac:dyDescent="0.35">
      <c r="B66">
        <v>-1.7115828253470995</v>
      </c>
      <c r="C66">
        <v>-1.9990147115094365</v>
      </c>
    </row>
    <row r="67" spans="2:3" x14ac:dyDescent="0.35">
      <c r="B67">
        <v>3.4649810892941129</v>
      </c>
      <c r="C67">
        <v>-1.9037644134992997</v>
      </c>
    </row>
    <row r="68" spans="2:3" x14ac:dyDescent="0.35">
      <c r="B68">
        <v>-3.7559364498988579</v>
      </c>
      <c r="C68">
        <v>0.72354413057384892</v>
      </c>
    </row>
    <row r="69" spans="2:3" x14ac:dyDescent="0.35">
      <c r="B69">
        <v>-2.5197428173347172</v>
      </c>
      <c r="C69">
        <v>-1.6750815570047806</v>
      </c>
    </row>
    <row r="70" spans="2:3" x14ac:dyDescent="0.35">
      <c r="B70">
        <v>-1.7231254726756198</v>
      </c>
      <c r="C70">
        <v>-2.0901460983286539</v>
      </c>
    </row>
    <row r="71" spans="2:3" x14ac:dyDescent="0.35">
      <c r="B71">
        <v>-2.2307246010651478</v>
      </c>
      <c r="C71">
        <v>-2.6164074500979502</v>
      </c>
    </row>
    <row r="72" spans="2:3" x14ac:dyDescent="0.35">
      <c r="B72">
        <v>-2.2777038810804475</v>
      </c>
      <c r="C72">
        <v>-2.2466187188942279</v>
      </c>
    </row>
    <row r="73" spans="2:3" x14ac:dyDescent="0.35">
      <c r="B73">
        <v>1.7671018376846066</v>
      </c>
      <c r="C73">
        <v>-0.76651894221969596</v>
      </c>
    </row>
    <row r="74" spans="2:3" x14ac:dyDescent="0.35">
      <c r="B74">
        <v>-2.2763575845902499</v>
      </c>
      <c r="C74">
        <v>-1.3115912854719882</v>
      </c>
    </row>
    <row r="75" spans="2:3" x14ac:dyDescent="0.35">
      <c r="B75">
        <v>0.61789752656129826</v>
      </c>
      <c r="C75">
        <v>-1.0747510702322922</v>
      </c>
    </row>
    <row r="76" spans="2:3" x14ac:dyDescent="0.35">
      <c r="B76">
        <v>3.0274107486417248</v>
      </c>
      <c r="C76">
        <v>-2.4507725334417247</v>
      </c>
    </row>
    <row r="77" spans="2:3" x14ac:dyDescent="0.35">
      <c r="B77">
        <v>-1.9050933855772603</v>
      </c>
      <c r="C77">
        <v>-2.3945739492242941</v>
      </c>
    </row>
    <row r="78" spans="2:3" x14ac:dyDescent="0.35">
      <c r="B78">
        <v>-2.2382892434454584</v>
      </c>
      <c r="C78">
        <v>-3.2355048401430833</v>
      </c>
    </row>
    <row r="79" spans="2:3" x14ac:dyDescent="0.35">
      <c r="B79">
        <v>1.7850216275502946</v>
      </c>
      <c r="C79">
        <v>-1.5197818516768928</v>
      </c>
    </row>
    <row r="80" spans="2:3" x14ac:dyDescent="0.35">
      <c r="B80">
        <v>2.3196495701139184</v>
      </c>
      <c r="C80">
        <v>-1.8608817592925255</v>
      </c>
    </row>
    <row r="81" spans="2:3" x14ac:dyDescent="0.35">
      <c r="B81">
        <v>-0.93554814357755389</v>
      </c>
      <c r="C81">
        <v>-0.60995783761750721</v>
      </c>
    </row>
    <row r="82" spans="2:3" x14ac:dyDescent="0.35">
      <c r="B82">
        <v>-2.4955123798749304</v>
      </c>
      <c r="C82">
        <v>-3.0822701797759278</v>
      </c>
    </row>
    <row r="83" spans="2:3" x14ac:dyDescent="0.35">
      <c r="B83">
        <v>2.6870222608661174</v>
      </c>
      <c r="C83">
        <v>-2.1141855773963458</v>
      </c>
    </row>
    <row r="84" spans="2:3" x14ac:dyDescent="0.35">
      <c r="B84">
        <v>-0.67034607073433949</v>
      </c>
      <c r="C84">
        <v>-0.14116966247192428</v>
      </c>
    </row>
    <row r="85" spans="2:3" x14ac:dyDescent="0.35">
      <c r="B85">
        <v>-0.64471167365889825</v>
      </c>
      <c r="C85">
        <v>-0.73398622937532676</v>
      </c>
    </row>
    <row r="86" spans="2:3" x14ac:dyDescent="0.35">
      <c r="B86">
        <v>2.6686325901477859</v>
      </c>
      <c r="C86">
        <v>-1.7852617014205527</v>
      </c>
    </row>
    <row r="87" spans="2:3" x14ac:dyDescent="0.35">
      <c r="B87">
        <v>-1.6792565069284893</v>
      </c>
      <c r="C87">
        <v>-2.7522940360169779</v>
      </c>
    </row>
    <row r="88" spans="2:3" x14ac:dyDescent="0.35">
      <c r="B88">
        <v>-2.6434405741546607</v>
      </c>
      <c r="C88">
        <v>-2.0521105404786604</v>
      </c>
    </row>
    <row r="89" spans="2:3" x14ac:dyDescent="0.35">
      <c r="B89">
        <v>-2.8126487468197334</v>
      </c>
      <c r="C89">
        <v>-3.671879467815371</v>
      </c>
    </row>
    <row r="90" spans="2:3" x14ac:dyDescent="0.35">
      <c r="B90">
        <v>-2.0822591490582179</v>
      </c>
      <c r="C90">
        <v>-2.7035132287006562</v>
      </c>
    </row>
    <row r="91" spans="2:3" x14ac:dyDescent="0.35">
      <c r="B91">
        <v>-1.5171988522242981</v>
      </c>
      <c r="C91">
        <v>-2.035046018828329</v>
      </c>
    </row>
    <row r="92" spans="2:3" x14ac:dyDescent="0.35">
      <c r="B92">
        <v>3.9492933951118521</v>
      </c>
      <c r="C92">
        <v>-0.56196025019314466</v>
      </c>
    </row>
    <row r="93" spans="2:3" x14ac:dyDescent="0.35">
      <c r="B93">
        <v>-3.621421631174329</v>
      </c>
      <c r="C93">
        <v>-3.2904592661111396</v>
      </c>
    </row>
    <row r="94" spans="2:3" x14ac:dyDescent="0.35">
      <c r="B94">
        <v>2.4577017772651546</v>
      </c>
      <c r="C94">
        <v>-1.2637690356027769</v>
      </c>
    </row>
    <row r="95" spans="2:3" x14ac:dyDescent="0.35">
      <c r="B95">
        <v>-2.6182177349275135</v>
      </c>
      <c r="C95">
        <v>-2.3950973735138099</v>
      </c>
    </row>
    <row r="96" spans="2:3" x14ac:dyDescent="0.35">
      <c r="B96">
        <v>-1.5617885475534719</v>
      </c>
      <c r="C96">
        <v>-2.9932266023406595</v>
      </c>
    </row>
    <row r="97" spans="2:3" x14ac:dyDescent="0.35">
      <c r="B97">
        <v>5.8365494921926069E-3</v>
      </c>
      <c r="C97">
        <v>-1.574644266593026</v>
      </c>
    </row>
    <row r="98" spans="2:3" x14ac:dyDescent="0.35">
      <c r="B98">
        <v>0.20272242754373943</v>
      </c>
      <c r="C98">
        <v>-0.8915865835366239</v>
      </c>
    </row>
    <row r="99" spans="2:3" x14ac:dyDescent="0.35">
      <c r="B99">
        <v>1.0371956466294754</v>
      </c>
      <c r="C99">
        <v>2.0547616606352157E-2</v>
      </c>
    </row>
    <row r="100" spans="2:3" x14ac:dyDescent="0.35">
      <c r="B100">
        <v>-2.7582071065015246</v>
      </c>
      <c r="C100">
        <v>-2.8026074220193276</v>
      </c>
    </row>
    <row r="101" spans="2:3" x14ac:dyDescent="0.35">
      <c r="B101">
        <v>0.10761294620925815</v>
      </c>
      <c r="C101">
        <v>2.1856769136014775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DA5B-078A-4B26-995B-16A00C860A03}">
  <sheetPr codeName="XLSTAT_20211004_124611_1_HID"/>
  <dimension ref="A1:P500"/>
  <sheetViews>
    <sheetView workbookViewId="0">
      <selection activeCell="M1" sqref="M1"/>
    </sheetView>
  </sheetViews>
  <sheetFormatPr defaultRowHeight="14.5" x14ac:dyDescent="0.35"/>
  <sheetData>
    <row r="1" spans="1:16" x14ac:dyDescent="0.35">
      <c r="A1">
        <v>1</v>
      </c>
      <c r="B1">
        <f t="shared" ref="B1:B64" si="0">-3.14159265358979+(A1-1)*0.0125915537218028</f>
        <v>-3.14159265358979</v>
      </c>
      <c r="C1">
        <f t="shared" ref="C1:C64" si="1">1*COS(B1)+0</f>
        <v>-1</v>
      </c>
      <c r="D1">
        <f t="shared" ref="D1:D64" si="2">1*SIN(B1)+0+0*COS(B1)</f>
        <v>-3.2311393144413003E-15</v>
      </c>
      <c r="E1">
        <v>1</v>
      </c>
      <c r="F1">
        <f t="shared" ref="F1:F64" si="3">-3.14159265358979+(E1-1)*0.0125915537218028</f>
        <v>-3.14159265358979</v>
      </c>
      <c r="G1">
        <f t="shared" ref="G1:G64" si="4">0.707106781186548*COS(F1)+0</f>
        <v>-0.70710678118654802</v>
      </c>
      <c r="H1">
        <f t="shared" ref="H1:H64" si="5">0.707106781186548*SIN(F1)+0+0*COS(F1)</f>
        <v>-2.2847605201998973E-15</v>
      </c>
      <c r="I1">
        <v>1</v>
      </c>
      <c r="K1">
        <f t="shared" ref="K1:K32" si="6">1.2728641120712+(I1-1)*0.0376951333693086</f>
        <v>1.2728641120712001</v>
      </c>
      <c r="L1">
        <f t="shared" ref="L1:L32" si="7">0+1*K1-0.634761727609482*(1.0042735042735+(K1-2.32562268468297)^2/43.225362742323)^0.5</f>
        <v>0.62867835094383218</v>
      </c>
      <c r="M1">
        <v>1</v>
      </c>
      <c r="O1">
        <f t="shared" ref="O1:O32" si="8">1.07845517119717+(M1-1)*0.0405126542515409</f>
        <v>1.0784551711971699</v>
      </c>
      <c r="P1">
        <f t="shared" ref="P1:P32" si="9">0+1*O1+0.634761727609482*(1.0042735042735+(O1-2.32562268468297)^2/43.225362742323)^0.5</f>
        <v>1.7258678317384448</v>
      </c>
    </row>
    <row r="2" spans="1:16" x14ac:dyDescent="0.35">
      <c r="A2">
        <v>2</v>
      </c>
      <c r="B2">
        <f t="shared" si="0"/>
        <v>-3.1290010998679874</v>
      </c>
      <c r="C2">
        <f t="shared" si="1"/>
        <v>-0.99992072743481419</v>
      </c>
      <c r="D2">
        <f t="shared" si="2"/>
        <v>-1.2591220998459735E-2</v>
      </c>
      <c r="E2">
        <v>2</v>
      </c>
      <c r="F2">
        <f t="shared" si="3"/>
        <v>-3.1290010998679874</v>
      </c>
      <c r="G2">
        <f t="shared" si="4"/>
        <v>-0.70705072701814309</v>
      </c>
      <c r="H2">
        <f t="shared" si="5"/>
        <v>-8.9033377514293362E-3</v>
      </c>
      <c r="I2">
        <v>2</v>
      </c>
      <c r="K2">
        <f t="shared" si="6"/>
        <v>1.3105592454405086</v>
      </c>
      <c r="L2">
        <f t="shared" si="7"/>
        <v>0.66693768078686133</v>
      </c>
      <c r="M2">
        <v>2</v>
      </c>
      <c r="O2">
        <f t="shared" si="8"/>
        <v>1.1189678254487108</v>
      </c>
      <c r="P2">
        <f t="shared" si="9"/>
        <v>1.7656644321259827</v>
      </c>
    </row>
    <row r="3" spans="1:16" x14ac:dyDescent="0.35">
      <c r="A3">
        <v>3</v>
      </c>
      <c r="B3">
        <f t="shared" si="0"/>
        <v>-3.1164095461461843</v>
      </c>
      <c r="C3">
        <f t="shared" si="1"/>
        <v>-0.99968292230753597</v>
      </c>
      <c r="D3">
        <f t="shared" si="2"/>
        <v>-2.5180445720141945E-2</v>
      </c>
      <c r="E3">
        <v>3</v>
      </c>
      <c r="F3">
        <f t="shared" si="3"/>
        <v>-3.1164095461461843</v>
      </c>
      <c r="G3">
        <f t="shared" si="4"/>
        <v>-0.70688257340004368</v>
      </c>
      <c r="H3">
        <f t="shared" si="5"/>
        <v>-1.7805263922012159E-2</v>
      </c>
      <c r="I3">
        <v>3</v>
      </c>
      <c r="K3">
        <f t="shared" si="6"/>
        <v>1.3482543788098174</v>
      </c>
      <c r="L3">
        <f t="shared" si="7"/>
        <v>0.70517690896487895</v>
      </c>
      <c r="M3">
        <v>3</v>
      </c>
      <c r="O3">
        <f t="shared" si="8"/>
        <v>1.1594804797002518</v>
      </c>
      <c r="P3">
        <f t="shared" si="9"/>
        <v>1.8054839218189214</v>
      </c>
    </row>
    <row r="4" spans="1:16" x14ac:dyDescent="0.35">
      <c r="A4">
        <v>4</v>
      </c>
      <c r="B4">
        <f t="shared" si="0"/>
        <v>-3.1038179924243816</v>
      </c>
      <c r="C4">
        <f t="shared" si="1"/>
        <v>-0.99928662232101029</v>
      </c>
      <c r="D4">
        <f t="shared" si="2"/>
        <v>-3.7765678204774195E-2</v>
      </c>
      <c r="E4">
        <v>4</v>
      </c>
      <c r="F4">
        <f t="shared" si="3"/>
        <v>-3.1038179924243816</v>
      </c>
      <c r="G4">
        <f t="shared" si="4"/>
        <v>-0.70660234699218727</v>
      </c>
      <c r="H4">
        <f t="shared" si="5"/>
        <v>-2.6704367154704853E-2</v>
      </c>
      <c r="I4">
        <v>4</v>
      </c>
      <c r="K4">
        <f t="shared" si="6"/>
        <v>1.3859495121791259</v>
      </c>
      <c r="L4">
        <f t="shared" si="7"/>
        <v>0.74339598441344446</v>
      </c>
      <c r="M4">
        <v>4</v>
      </c>
      <c r="O4">
        <f t="shared" si="8"/>
        <v>1.1999931339517926</v>
      </c>
      <c r="P4">
        <f t="shared" si="9"/>
        <v>1.8453263745747637</v>
      </c>
    </row>
    <row r="5" spans="1:16" x14ac:dyDescent="0.35">
      <c r="A5">
        <v>5</v>
      </c>
      <c r="B5">
        <f t="shared" si="0"/>
        <v>-3.091226438702579</v>
      </c>
      <c r="C5">
        <f t="shared" si="1"/>
        <v>-0.9987318903066702</v>
      </c>
      <c r="D5">
        <f t="shared" si="2"/>
        <v>-5.0344923125031901E-2</v>
      </c>
      <c r="E5">
        <v>5</v>
      </c>
      <c r="F5">
        <f t="shared" si="3"/>
        <v>-3.091226438702579</v>
      </c>
      <c r="G5">
        <f t="shared" si="4"/>
        <v>-0.70621009222310616</v>
      </c>
      <c r="H5">
        <f t="shared" si="5"/>
        <v>-3.5599236540025517E-2</v>
      </c>
      <c r="I5">
        <v>5</v>
      </c>
      <c r="K5">
        <f t="shared" si="6"/>
        <v>1.4236446455484346</v>
      </c>
      <c r="L5">
        <f t="shared" si="7"/>
        <v>0.78159485779590154</v>
      </c>
      <c r="M5">
        <v>5</v>
      </c>
      <c r="O5">
        <f t="shared" si="8"/>
        <v>1.2405057882033335</v>
      </c>
      <c r="P5">
        <f t="shared" si="9"/>
        <v>1.885191862009203</v>
      </c>
    </row>
    <row r="6" spans="1:16" x14ac:dyDescent="0.35">
      <c r="A6">
        <v>6</v>
      </c>
      <c r="B6">
        <f t="shared" si="0"/>
        <v>-3.0786348849807759</v>
      </c>
      <c r="C6">
        <f t="shared" si="1"/>
        <v>-0.99801881421457506</v>
      </c>
      <c r="D6">
        <f t="shared" si="2"/>
        <v>-6.291618610288964E-2</v>
      </c>
      <c r="E6">
        <v>6</v>
      </c>
      <c r="F6">
        <f t="shared" si="3"/>
        <v>-3.0786348849807759</v>
      </c>
      <c r="G6">
        <f t="shared" si="4"/>
        <v>-0.70570587128288365</v>
      </c>
      <c r="H6">
        <f t="shared" si="5"/>
        <v>-4.4488461839748118E-2</v>
      </c>
      <c r="I6">
        <v>6</v>
      </c>
      <c r="K6">
        <f t="shared" si="6"/>
        <v>1.4613397789177431</v>
      </c>
      <c r="L6">
        <f t="shared" si="7"/>
        <v>0.81977348152594665</v>
      </c>
      <c r="M6">
        <v>6</v>
      </c>
      <c r="O6">
        <f t="shared" si="8"/>
        <v>1.2810184424548745</v>
      </c>
      <c r="P6">
        <f t="shared" si="9"/>
        <v>1.9250804535594059</v>
      </c>
    </row>
    <row r="7" spans="1:16" x14ac:dyDescent="0.35">
      <c r="A7">
        <v>7</v>
      </c>
      <c r="B7">
        <f t="shared" si="0"/>
        <v>-3.0660433312589732</v>
      </c>
      <c r="C7">
        <f t="shared" si="1"/>
        <v>-0.99714750709946709</v>
      </c>
      <c r="D7">
        <f t="shared" si="2"/>
        <v>-7.547747402581878E-2</v>
      </c>
      <c r="E7">
        <v>7</v>
      </c>
      <c r="F7">
        <f t="shared" si="3"/>
        <v>-3.0660433312589732</v>
      </c>
      <c r="G7">
        <f t="shared" si="4"/>
        <v>-0.70508976411329471</v>
      </c>
      <c r="H7">
        <f t="shared" si="5"/>
        <v>-5.3370633710488002E-2</v>
      </c>
      <c r="I7">
        <v>7</v>
      </c>
      <c r="K7">
        <f t="shared" si="6"/>
        <v>1.4990349122870517</v>
      </c>
      <c r="L7">
        <f t="shared" si="7"/>
        <v>0.85793180978951933</v>
      </c>
      <c r="M7">
        <v>7</v>
      </c>
      <c r="O7">
        <f t="shared" si="8"/>
        <v>1.3215310967064153</v>
      </c>
      <c r="P7">
        <f t="shared" si="9"/>
        <v>1.9649922164481644</v>
      </c>
    </row>
    <row r="8" spans="1:16" x14ac:dyDescent="0.35">
      <c r="A8">
        <v>8</v>
      </c>
      <c r="B8">
        <f t="shared" si="0"/>
        <v>-3.0534517775371706</v>
      </c>
      <c r="C8">
        <f t="shared" si="1"/>
        <v>-0.99611810710284643</v>
      </c>
      <c r="D8">
        <f t="shared" si="2"/>
        <v>-8.8026795362788374E-2</v>
      </c>
      <c r="E8">
        <v>8</v>
      </c>
      <c r="F8">
        <f t="shared" si="3"/>
        <v>-3.0534517775371706</v>
      </c>
      <c r="G8">
        <f t="shared" si="4"/>
        <v>-0.70436186839513082</v>
      </c>
      <c r="H8">
        <f t="shared" si="5"/>
        <v>-6.2244343927148241E-2</v>
      </c>
      <c r="I8">
        <v>8</v>
      </c>
      <c r="K8">
        <f t="shared" si="6"/>
        <v>1.5367300456563604</v>
      </c>
      <c r="L8">
        <f t="shared" si="7"/>
        <v>0.8960697985659859</v>
      </c>
      <c r="M8">
        <v>8</v>
      </c>
      <c r="O8">
        <f t="shared" si="8"/>
        <v>1.3620437509579562</v>
      </c>
      <c r="P8">
        <f t="shared" si="9"/>
        <v>2.0049272156489546</v>
      </c>
    </row>
    <row r="9" spans="1:16" x14ac:dyDescent="0.35">
      <c r="A9">
        <v>9</v>
      </c>
      <c r="B9">
        <f t="shared" si="0"/>
        <v>-3.0408602238153675</v>
      </c>
      <c r="C9">
        <f t="shared" si="1"/>
        <v>-0.9949307774310695</v>
      </c>
      <c r="D9">
        <f t="shared" si="2"/>
        <v>-0.10056216048001143</v>
      </c>
      <c r="E9">
        <v>9</v>
      </c>
      <c r="F9">
        <f t="shared" si="3"/>
        <v>-3.0408602238153675</v>
      </c>
      <c r="G9">
        <f t="shared" si="4"/>
        <v>-0.70352229953271339</v>
      </c>
      <c r="H9">
        <f t="shared" si="5"/>
        <v>-7.1108185606185967E-2</v>
      </c>
      <c r="I9">
        <v>9</v>
      </c>
      <c r="K9">
        <f t="shared" si="6"/>
        <v>1.5744251790256689</v>
      </c>
      <c r="L9">
        <f t="shared" si="7"/>
        <v>0.93418740564859482</v>
      </c>
      <c r="M9">
        <v>9</v>
      </c>
      <c r="O9">
        <f t="shared" si="8"/>
        <v>1.4025564052094972</v>
      </c>
      <c r="P9">
        <f t="shared" si="9"/>
        <v>2.0448855138519471</v>
      </c>
    </row>
    <row r="10" spans="1:16" x14ac:dyDescent="0.35">
      <c r="A10">
        <v>10</v>
      </c>
      <c r="B10">
        <f t="shared" si="0"/>
        <v>-3.0282686700935648</v>
      </c>
      <c r="C10">
        <f t="shared" si="1"/>
        <v>-0.99358570632947418</v>
      </c>
      <c r="D10">
        <f t="shared" si="2"/>
        <v>-0.1130815819563903</v>
      </c>
      <c r="E10">
        <v>10</v>
      </c>
      <c r="F10">
        <f t="shared" si="3"/>
        <v>-3.0282686700935648</v>
      </c>
      <c r="G10">
        <f t="shared" si="4"/>
        <v>-0.70257119063559725</v>
      </c>
      <c r="H10">
        <f t="shared" si="5"/>
        <v>-7.9960753428665973E-2</v>
      </c>
      <c r="I10">
        <v>10</v>
      </c>
      <c r="K10">
        <f t="shared" si="6"/>
        <v>1.6121203123949774</v>
      </c>
      <c r="L10">
        <f t="shared" si="7"/>
        <v>0.97228459066418527</v>
      </c>
      <c r="M10">
        <v>10</v>
      </c>
      <c r="O10">
        <f t="shared" si="8"/>
        <v>1.443069059461038</v>
      </c>
      <c r="P10">
        <f t="shared" si="9"/>
        <v>2.0848671714310028</v>
      </c>
    </row>
    <row r="11" spans="1:16" x14ac:dyDescent="0.35">
      <c r="A11">
        <v>11</v>
      </c>
      <c r="B11">
        <f t="shared" si="0"/>
        <v>-3.0156771163717622</v>
      </c>
      <c r="C11">
        <f t="shared" si="1"/>
        <v>-0.99208310705253355</v>
      </c>
      <c r="D11">
        <f t="shared" si="2"/>
        <v>-0.12558307489861525</v>
      </c>
      <c r="E11">
        <v>11</v>
      </c>
      <c r="F11">
        <f t="shared" si="3"/>
        <v>-3.0156771163717622</v>
      </c>
      <c r="G11">
        <f t="shared" si="4"/>
        <v>-0.7015086924974665</v>
      </c>
      <c r="H11">
        <f t="shared" si="5"/>
        <v>-8.8800643863069004E-2</v>
      </c>
      <c r="I11">
        <v>11</v>
      </c>
      <c r="K11">
        <f t="shared" si="6"/>
        <v>1.6498154457642862</v>
      </c>
      <c r="L11">
        <f t="shared" si="7"/>
        <v>1.0103613150921249</v>
      </c>
      <c r="M11">
        <v>11</v>
      </c>
      <c r="O11">
        <f t="shared" si="8"/>
        <v>1.4835817137125789</v>
      </c>
      <c r="P11">
        <f t="shared" si="9"/>
        <v>2.1248722464117011</v>
      </c>
    </row>
    <row r="12" spans="1:16" x14ac:dyDescent="0.35">
      <c r="A12">
        <v>12</v>
      </c>
      <c r="B12">
        <f t="shared" si="0"/>
        <v>-3.0030855626499591</v>
      </c>
      <c r="C12">
        <f t="shared" si="1"/>
        <v>-0.99042321783004583</v>
      </c>
      <c r="D12">
        <f t="shared" si="2"/>
        <v>-0.1380646572558584</v>
      </c>
      <c r="E12">
        <v>12</v>
      </c>
      <c r="F12">
        <f t="shared" si="3"/>
        <v>-3.0030855626499591</v>
      </c>
      <c r="G12">
        <f t="shared" si="4"/>
        <v>-0.70033497357222696</v>
      </c>
      <c r="H12">
        <f t="shared" si="5"/>
        <v>-9.7626455387814018E-2</v>
      </c>
      <c r="I12">
        <v>12</v>
      </c>
      <c r="K12">
        <f t="shared" si="6"/>
        <v>1.6875105791335947</v>
      </c>
      <c r="L12">
        <f t="shared" si="7"/>
        <v>1.0484175422824558</v>
      </c>
      <c r="M12">
        <v>12</v>
      </c>
      <c r="O12">
        <f t="shared" si="8"/>
        <v>1.5240943679641199</v>
      </c>
      <c r="P12">
        <f t="shared" si="9"/>
        <v>2.1649007944404319</v>
      </c>
    </row>
    <row r="13" spans="1:16" x14ac:dyDescent="0.35">
      <c r="A13">
        <v>13</v>
      </c>
      <c r="B13">
        <f t="shared" si="0"/>
        <v>-2.9904940089281564</v>
      </c>
      <c r="C13">
        <f t="shared" si="1"/>
        <v>-0.98860630182936415</v>
      </c>
      <c r="D13">
        <f t="shared" si="2"/>
        <v>-0.15052435013401677</v>
      </c>
      <c r="E13">
        <v>13</v>
      </c>
      <c r="F13">
        <f t="shared" si="3"/>
        <v>-2.9904940089281564</v>
      </c>
      <c r="G13">
        <f t="shared" si="4"/>
        <v>-0.69905021994729866</v>
      </c>
      <c r="H13">
        <f t="shared" si="5"/>
        <v>-0.10643678871346153</v>
      </c>
      <c r="I13">
        <v>13</v>
      </c>
      <c r="K13">
        <f t="shared" si="6"/>
        <v>1.7252057125029032</v>
      </c>
      <c r="L13">
        <f t="shared" si="7"/>
        <v>1.0864532374732332</v>
      </c>
      <c r="M13">
        <v>13</v>
      </c>
      <c r="O13">
        <f t="shared" si="8"/>
        <v>1.5646070222156607</v>
      </c>
      <c r="P13">
        <f t="shared" si="9"/>
        <v>2.2049528687545945</v>
      </c>
    </row>
    <row r="14" spans="1:16" x14ac:dyDescent="0.35">
      <c r="A14">
        <v>14</v>
      </c>
      <c r="B14">
        <f t="shared" si="0"/>
        <v>-2.9779024552063538</v>
      </c>
      <c r="C14">
        <f t="shared" si="1"/>
        <v>-0.98663264711367293</v>
      </c>
      <c r="D14">
        <f t="shared" si="2"/>
        <v>-0.16296017810945904</v>
      </c>
      <c r="E14">
        <v>14</v>
      </c>
      <c r="F14">
        <f t="shared" si="3"/>
        <v>-2.9779024552063538</v>
      </c>
      <c r="G14">
        <f t="shared" si="4"/>
        <v>-0.69765463531411254</v>
      </c>
      <c r="H14">
        <f t="shared" si="5"/>
        <v>-0.11523024700456615</v>
      </c>
      <c r="I14">
        <v>14</v>
      </c>
      <c r="K14">
        <f t="shared" si="6"/>
        <v>1.762900845872212</v>
      </c>
      <c r="L14">
        <f t="shared" si="7"/>
        <v>1.1244683678070349</v>
      </c>
      <c r="M14">
        <v>14</v>
      </c>
      <c r="O14">
        <f t="shared" si="8"/>
        <v>1.6051196764672016</v>
      </c>
      <c r="P14">
        <f t="shared" si="9"/>
        <v>2.2450285201539346</v>
      </c>
    </row>
    <row r="15" spans="1:16" x14ac:dyDescent="0.35">
      <c r="A15">
        <v>15</v>
      </c>
      <c r="B15">
        <f t="shared" si="0"/>
        <v>-2.9653109014845507</v>
      </c>
      <c r="C15">
        <f t="shared" si="1"/>
        <v>-0.98450256659631608</v>
      </c>
      <c r="D15">
        <f t="shared" si="2"/>
        <v>-0.17537016954221801</v>
      </c>
      <c r="E15">
        <v>15</v>
      </c>
      <c r="F15">
        <f t="shared" si="3"/>
        <v>-2.9653109014845507</v>
      </c>
      <c r="G15">
        <f t="shared" si="4"/>
        <v>-0.69614844093581618</v>
      </c>
      <c r="H15">
        <f t="shared" si="5"/>
        <v>-0.12400543610113698</v>
      </c>
      <c r="I15">
        <v>15</v>
      </c>
      <c r="K15">
        <f t="shared" si="6"/>
        <v>1.8005959792415205</v>
      </c>
      <c r="L15">
        <f t="shared" si="7"/>
        <v>1.1624629023466206</v>
      </c>
      <c r="M15">
        <v>15</v>
      </c>
      <c r="O15">
        <f t="shared" si="8"/>
        <v>1.6456323307187426</v>
      </c>
      <c r="P15">
        <f t="shared" si="9"/>
        <v>2.2851277969730583</v>
      </c>
    </row>
    <row r="16" spans="1:16" x14ac:dyDescent="0.35">
      <c r="A16">
        <v>16</v>
      </c>
      <c r="B16">
        <f t="shared" si="0"/>
        <v>-2.952719347762748</v>
      </c>
      <c r="C16">
        <f t="shared" si="1"/>
        <v>-0.9822163979911871</v>
      </c>
      <c r="D16">
        <f t="shared" si="2"/>
        <v>-0.18775235688858319</v>
      </c>
      <c r="E16">
        <v>16</v>
      </c>
      <c r="F16">
        <f t="shared" si="3"/>
        <v>-2.952719347762748</v>
      </c>
      <c r="G16">
        <f t="shared" si="4"/>
        <v>-0.69453187561219365</v>
      </c>
      <c r="H16">
        <f t="shared" si="5"/>
        <v>-0.13276096473967405</v>
      </c>
      <c r="I16">
        <v>16</v>
      </c>
      <c r="K16">
        <f t="shared" si="6"/>
        <v>1.838291112610829</v>
      </c>
      <c r="L16">
        <f t="shared" si="7"/>
        <v>1.2004368120897322</v>
      </c>
      <c r="M16">
        <v>16</v>
      </c>
      <c r="O16">
        <f t="shared" si="8"/>
        <v>1.6861449849702834</v>
      </c>
      <c r="P16">
        <f t="shared" si="9"/>
        <v>2.3252507450551558</v>
      </c>
    </row>
    <row r="17" spans="1:16" x14ac:dyDescent="0.35">
      <c r="A17">
        <v>17</v>
      </c>
      <c r="B17">
        <f t="shared" si="0"/>
        <v>-2.9401277940409454</v>
      </c>
      <c r="C17">
        <f t="shared" si="1"/>
        <v>-0.97977450375918562</v>
      </c>
      <c r="D17">
        <f t="shared" si="2"/>
        <v>-0.20010477701304791</v>
      </c>
      <c r="E17">
        <v>17</v>
      </c>
      <c r="F17">
        <f t="shared" si="3"/>
        <v>-2.9401277940409454</v>
      </c>
      <c r="G17">
        <f t="shared" si="4"/>
        <v>-0.69280519564180509</v>
      </c>
      <c r="H17">
        <f t="shared" si="5"/>
        <v>-0.14149544477374826</v>
      </c>
      <c r="I17">
        <v>17</v>
      </c>
      <c r="K17">
        <f t="shared" si="6"/>
        <v>1.8759862459801377</v>
      </c>
      <c r="L17">
        <f t="shared" si="7"/>
        <v>1.2383900699830113</v>
      </c>
      <c r="M17">
        <v>17</v>
      </c>
      <c r="O17">
        <f t="shared" si="8"/>
        <v>1.7266576392218242</v>
      </c>
      <c r="P17">
        <f t="shared" si="9"/>
        <v>2.3653974077269688</v>
      </c>
    </row>
    <row r="18" spans="1:16" x14ac:dyDescent="0.35">
      <c r="A18">
        <v>18</v>
      </c>
      <c r="B18">
        <f t="shared" si="0"/>
        <v>-2.9275362403191423</v>
      </c>
      <c r="C18">
        <f t="shared" si="1"/>
        <v>-0.9771772710507507</v>
      </c>
      <c r="D18">
        <f t="shared" si="2"/>
        <v>-0.21242547149955354</v>
      </c>
      <c r="E18">
        <v>18</v>
      </c>
      <c r="F18">
        <f t="shared" si="3"/>
        <v>-2.9275362403191423</v>
      </c>
      <c r="G18">
        <f t="shared" si="4"/>
        <v>-0.69096867478135127</v>
      </c>
      <c r="H18">
        <f t="shared" si="5"/>
        <v>-0.1502074913940841</v>
      </c>
      <c r="I18">
        <v>18</v>
      </c>
      <c r="K18">
        <f t="shared" si="6"/>
        <v>1.9136813793494465</v>
      </c>
      <c r="L18">
        <f t="shared" si="7"/>
        <v>1.2763226509350187</v>
      </c>
      <c r="M18">
        <v>18</v>
      </c>
      <c r="O18">
        <f t="shared" si="8"/>
        <v>1.7671702934733653</v>
      </c>
      <c r="P18">
        <f t="shared" si="9"/>
        <v>2.4055678257750293</v>
      </c>
    </row>
    <row r="19" spans="1:16" x14ac:dyDescent="0.35">
      <c r="A19">
        <v>19</v>
      </c>
      <c r="B19">
        <f t="shared" si="0"/>
        <v>-2.9149446865973396</v>
      </c>
      <c r="C19">
        <f t="shared" si="1"/>
        <v>-0.97442511164448109</v>
      </c>
      <c r="D19">
        <f t="shared" si="2"/>
        <v>-0.22471248696198562</v>
      </c>
      <c r="E19">
        <v>19</v>
      </c>
      <c r="F19">
        <f t="shared" si="3"/>
        <v>-2.9149446865973396</v>
      </c>
      <c r="G19">
        <f t="shared" si="4"/>
        <v>-0.68902260420227168</v>
      </c>
      <c r="H19">
        <f t="shared" si="5"/>
        <v>-0.15889572334811378</v>
      </c>
      <c r="I19">
        <v>19</v>
      </c>
      <c r="K19">
        <f t="shared" si="6"/>
        <v>1.951376512718755</v>
      </c>
      <c r="L19">
        <f t="shared" si="7"/>
        <v>1.3142345318283501</v>
      </c>
      <c r="M19">
        <v>19</v>
      </c>
      <c r="O19">
        <f t="shared" si="8"/>
        <v>1.8076829477249061</v>
      </c>
      <c r="P19">
        <f t="shared" si="9"/>
        <v>2.4457620374232034</v>
      </c>
    </row>
    <row r="20" spans="1:16" x14ac:dyDescent="0.35">
      <c r="A20">
        <v>20</v>
      </c>
      <c r="B20">
        <f t="shared" si="0"/>
        <v>-2.902353132875537</v>
      </c>
      <c r="C20">
        <f t="shared" si="1"/>
        <v>-0.97151846188184843</v>
      </c>
      <c r="D20">
        <f t="shared" si="2"/>
        <v>-0.23696387535387617</v>
      </c>
      <c r="E20">
        <v>20</v>
      </c>
      <c r="F20">
        <f t="shared" si="3"/>
        <v>-2.902353132875537</v>
      </c>
      <c r="G20">
        <f t="shared" si="4"/>
        <v>-0.68696729244457988</v>
      </c>
      <c r="H20">
        <f t="shared" si="5"/>
        <v>-0.16755876315896975</v>
      </c>
      <c r="I20">
        <v>20</v>
      </c>
      <c r="K20">
        <f t="shared" si="6"/>
        <v>1.9890716460880635</v>
      </c>
      <c r="L20">
        <f t="shared" si="7"/>
        <v>1.35212569153082</v>
      </c>
      <c r="M20">
        <v>20</v>
      </c>
      <c r="O20">
        <f t="shared" si="8"/>
        <v>1.8481956019764469</v>
      </c>
      <c r="P20">
        <f t="shared" si="9"/>
        <v>2.4859800783115693</v>
      </c>
    </row>
    <row r="21" spans="1:16" x14ac:dyDescent="0.35">
      <c r="A21">
        <v>21</v>
      </c>
      <c r="B21">
        <f t="shared" si="0"/>
        <v>-2.8897615791537339</v>
      </c>
      <c r="C21">
        <f t="shared" si="1"/>
        <v>-0.96845778259801829</v>
      </c>
      <c r="D21">
        <f t="shared" si="2"/>
        <v>-0.24917769427725583</v>
      </c>
      <c r="E21">
        <v>21</v>
      </c>
      <c r="F21">
        <f t="shared" si="3"/>
        <v>-2.8897615791537339</v>
      </c>
      <c r="G21">
        <f t="shared" si="4"/>
        <v>-0.68480306536794644</v>
      </c>
      <c r="H21">
        <f t="shared" si="5"/>
        <v>-0.1761952373438761</v>
      </c>
      <c r="I21">
        <v>21</v>
      </c>
      <c r="K21">
        <f t="shared" si="6"/>
        <v>2.0267667794573723</v>
      </c>
      <c r="L21">
        <f t="shared" si="7"/>
        <v>1.3899961109057162</v>
      </c>
      <c r="M21">
        <v>21</v>
      </c>
      <c r="O21">
        <f t="shared" si="8"/>
        <v>1.888708256227988</v>
      </c>
      <c r="P21">
        <f t="shared" si="9"/>
        <v>2.5262219814766529</v>
      </c>
    </row>
    <row r="22" spans="1:16" x14ac:dyDescent="0.35">
      <c r="A22">
        <v>22</v>
      </c>
      <c r="B22">
        <f t="shared" si="0"/>
        <v>-2.8771700254319312</v>
      </c>
      <c r="C22">
        <f t="shared" si="1"/>
        <v>-0.96524355904878689</v>
      </c>
      <c r="D22">
        <f t="shared" si="2"/>
        <v>-0.2613520072906102</v>
      </c>
      <c r="E22">
        <v>22</v>
      </c>
      <c r="F22">
        <f t="shared" si="3"/>
        <v>-2.8771700254319312</v>
      </c>
      <c r="G22">
        <f t="shared" si="4"/>
        <v>-0.68253026610003542</v>
      </c>
      <c r="H22">
        <f t="shared" si="5"/>
        <v>-0.18480377663190661</v>
      </c>
      <c r="I22">
        <v>22</v>
      </c>
      <c r="K22">
        <f t="shared" si="6"/>
        <v>2.0644619128266806</v>
      </c>
      <c r="L22">
        <f t="shared" si="7"/>
        <v>1.4278457728211009</v>
      </c>
      <c r="M22">
        <v>22</v>
      </c>
      <c r="O22">
        <f t="shared" si="8"/>
        <v>1.9292209104795288</v>
      </c>
      <c r="P22">
        <f t="shared" si="9"/>
        <v>2.5664877773330463</v>
      </c>
    </row>
    <row r="23" spans="1:16" x14ac:dyDescent="0.35">
      <c r="A23">
        <v>23</v>
      </c>
      <c r="B23">
        <f t="shared" si="0"/>
        <v>-2.8645784717101286</v>
      </c>
      <c r="C23">
        <f t="shared" si="1"/>
        <v>-0.96187630083364573</v>
      </c>
      <c r="D23">
        <f t="shared" si="2"/>
        <v>-0.27348488421589578</v>
      </c>
      <c r="E23">
        <v>23</v>
      </c>
      <c r="F23">
        <f t="shared" si="3"/>
        <v>-2.8645784717101286</v>
      </c>
      <c r="G23">
        <f t="shared" si="4"/>
        <v>-0.68014925498210299</v>
      </c>
      <c r="H23">
        <f t="shared" si="5"/>
        <v>-0.19338301618107784</v>
      </c>
      <c r="I23">
        <v>23</v>
      </c>
      <c r="K23">
        <f t="shared" si="6"/>
        <v>2.1021570461959893</v>
      </c>
      <c r="L23">
        <f t="shared" si="7"/>
        <v>1.4656746621581587</v>
      </c>
      <c r="M23">
        <v>23</v>
      </c>
      <c r="O23">
        <f t="shared" si="8"/>
        <v>1.9697335647310696</v>
      </c>
      <c r="P23">
        <f t="shared" si="9"/>
        <v>2.6067774936564407</v>
      </c>
    </row>
    <row r="24" spans="1:16" x14ac:dyDescent="0.35">
      <c r="A24">
        <v>24</v>
      </c>
      <c r="B24">
        <f t="shared" si="0"/>
        <v>-2.8519869179883255</v>
      </c>
      <c r="C24">
        <f t="shared" si="1"/>
        <v>-0.95835654181498742</v>
      </c>
      <c r="D24">
        <f t="shared" si="2"/>
        <v>-0.28557440144455914</v>
      </c>
      <c r="E24">
        <v>24</v>
      </c>
      <c r="F24">
        <f t="shared" si="3"/>
        <v>-2.8519869179883255</v>
      </c>
      <c r="G24">
        <f t="shared" si="4"/>
        <v>-0.67766040951186712</v>
      </c>
      <c r="H24">
        <f t="shared" si="5"/>
        <v>-0.2019315957947373</v>
      </c>
      <c r="I24">
        <v>24</v>
      </c>
      <c r="K24">
        <f t="shared" si="6"/>
        <v>2.1398521795652981</v>
      </c>
      <c r="L24">
        <f t="shared" si="7"/>
        <v>1.503482765818571</v>
      </c>
      <c r="M24">
        <v>24</v>
      </c>
      <c r="O24">
        <f t="shared" si="8"/>
        <v>2.0102462189826107</v>
      </c>
      <c r="P24">
        <f t="shared" si="9"/>
        <v>2.6470911555680816</v>
      </c>
    </row>
    <row r="25" spans="1:16" x14ac:dyDescent="0.35">
      <c r="A25">
        <v>25</v>
      </c>
      <c r="B25">
        <f t="shared" si="0"/>
        <v>-2.8393953642665228</v>
      </c>
      <c r="C25">
        <f t="shared" si="1"/>
        <v>-0.95468484003346477</v>
      </c>
      <c r="D25">
        <f t="shared" si="2"/>
        <v>-0.29761864224251428</v>
      </c>
      <c r="E25">
        <v>25</v>
      </c>
      <c r="F25">
        <f t="shared" si="3"/>
        <v>-2.8393953642665228</v>
      </c>
      <c r="G25">
        <f t="shared" si="4"/>
        <v>-0.67506412428365781</v>
      </c>
      <c r="H25">
        <f t="shared" si="5"/>
        <v>-0.21044816013721507</v>
      </c>
      <c r="I25">
        <v>25</v>
      </c>
      <c r="K25">
        <f t="shared" si="6"/>
        <v>2.1775473129346068</v>
      </c>
      <c r="L25">
        <f t="shared" si="7"/>
        <v>1.541270072730919</v>
      </c>
      <c r="M25">
        <v>25</v>
      </c>
      <c r="O25">
        <f t="shared" si="8"/>
        <v>2.0507588732341517</v>
      </c>
      <c r="P25">
        <f t="shared" si="9"/>
        <v>2.6874287855206811</v>
      </c>
    </row>
    <row r="26" spans="1:16" x14ac:dyDescent="0.35">
      <c r="A26">
        <v>26</v>
      </c>
      <c r="B26">
        <f t="shared" si="0"/>
        <v>-2.8268038105447202</v>
      </c>
      <c r="C26">
        <f t="shared" si="1"/>
        <v>-0.95086177761951529</v>
      </c>
      <c r="D26">
        <f t="shared" si="2"/>
        <v>-0.30961569705403402</v>
      </c>
      <c r="E26">
        <v>26</v>
      </c>
      <c r="F26">
        <f t="shared" si="3"/>
        <v>-2.8268038105447202</v>
      </c>
      <c r="G26">
        <f t="shared" si="4"/>
        <v>-0.67236081092585465</v>
      </c>
      <c r="H26">
        <f t="shared" si="5"/>
        <v>-0.21893135894870738</v>
      </c>
      <c r="I26">
        <v>26</v>
      </c>
      <c r="K26">
        <f t="shared" si="6"/>
        <v>2.2152424463039151</v>
      </c>
      <c r="L26">
        <f t="shared" si="7"/>
        <v>1.5790365738560996</v>
      </c>
      <c r="M26">
        <v>26</v>
      </c>
      <c r="O26">
        <f t="shared" si="8"/>
        <v>2.0912715274856923</v>
      </c>
      <c r="P26">
        <f t="shared" si="9"/>
        <v>2.7277904032857947</v>
      </c>
    </row>
    <row r="27" spans="1:16" x14ac:dyDescent="0.35">
      <c r="A27">
        <v>27</v>
      </c>
      <c r="B27">
        <f t="shared" si="0"/>
        <v>-2.8142122568229171</v>
      </c>
      <c r="C27">
        <f t="shared" si="1"/>
        <v>-0.94688796070106762</v>
      </c>
      <c r="D27">
        <f t="shared" si="2"/>
        <v>-0.32156366380449974</v>
      </c>
      <c r="E27">
        <v>27</v>
      </c>
      <c r="F27">
        <f t="shared" si="3"/>
        <v>-2.8142122568229171</v>
      </c>
      <c r="G27">
        <f t="shared" si="4"/>
        <v>-0.66955089803562651</v>
      </c>
      <c r="H27">
        <f t="shared" si="5"/>
        <v>-0.22737984725935309</v>
      </c>
      <c r="I27">
        <v>27</v>
      </c>
      <c r="K27">
        <f t="shared" si="6"/>
        <v>2.2529375796732238</v>
      </c>
      <c r="L27">
        <f t="shared" si="7"/>
        <v>1.6167822621917567</v>
      </c>
      <c r="M27">
        <v>27</v>
      </c>
      <c r="O27">
        <f t="shared" si="8"/>
        <v>2.1317841817372334</v>
      </c>
      <c r="P27">
        <f t="shared" si="9"/>
        <v>2.7681760259426893</v>
      </c>
    </row>
    <row r="28" spans="1:16" x14ac:dyDescent="0.35">
      <c r="A28">
        <v>28</v>
      </c>
      <c r="B28">
        <f t="shared" si="0"/>
        <v>-2.8016207031011144</v>
      </c>
      <c r="C28">
        <f t="shared" si="1"/>
        <v>-0.94276401930744358</v>
      </c>
      <c r="D28">
        <f t="shared" si="2"/>
        <v>-0.33346064820196436</v>
      </c>
      <c r="E28">
        <v>28</v>
      </c>
      <c r="F28">
        <f t="shared" si="3"/>
        <v>-2.8016207031011144</v>
      </c>
      <c r="G28">
        <f t="shared" si="4"/>
        <v>-0.66663483111097899</v>
      </c>
      <c r="H28">
        <f t="shared" si="5"/>
        <v>-0.23579228560247087</v>
      </c>
      <c r="I28">
        <v>28</v>
      </c>
      <c r="K28">
        <f t="shared" si="6"/>
        <v>2.2906327130425321</v>
      </c>
      <c r="L28">
        <f t="shared" si="7"/>
        <v>1.6545071327757088</v>
      </c>
      <c r="M28">
        <v>28</v>
      </c>
      <c r="O28">
        <f t="shared" si="8"/>
        <v>2.1722968359887744</v>
      </c>
      <c r="P28">
        <f t="shared" si="9"/>
        <v>2.8085856678687007</v>
      </c>
    </row>
    <row r="29" spans="1:16" x14ac:dyDescent="0.35">
      <c r="A29">
        <v>29</v>
      </c>
      <c r="B29">
        <f t="shared" si="0"/>
        <v>-2.7890291493793118</v>
      </c>
      <c r="C29">
        <f t="shared" si="1"/>
        <v>-0.93849060726946865</v>
      </c>
      <c r="D29">
        <f t="shared" si="2"/>
        <v>-0.345304764037486</v>
      </c>
      <c r="E29">
        <v>29</v>
      </c>
      <c r="F29">
        <f t="shared" si="3"/>
        <v>-2.7890291493793118</v>
      </c>
      <c r="G29">
        <f t="shared" si="4"/>
        <v>-0.66361307248012269</v>
      </c>
      <c r="H29">
        <f t="shared" si="5"/>
        <v>-0.24416734022692721</v>
      </c>
      <c r="I29">
        <v>29</v>
      </c>
      <c r="K29">
        <f t="shared" si="6"/>
        <v>2.3283278464118409</v>
      </c>
      <c r="L29">
        <f t="shared" si="7"/>
        <v>1.6922111826883892</v>
      </c>
      <c r="M29">
        <v>29</v>
      </c>
      <c r="O29">
        <f t="shared" si="8"/>
        <v>2.212809490240315</v>
      </c>
      <c r="P29">
        <f t="shared" si="9"/>
        <v>2.8490193407311146</v>
      </c>
    </row>
    <row r="30" spans="1:16" x14ac:dyDescent="0.35">
      <c r="A30">
        <v>30</v>
      </c>
      <c r="B30">
        <f t="shared" si="0"/>
        <v>-2.7764375956575087</v>
      </c>
      <c r="C30">
        <f t="shared" si="1"/>
        <v>-0.93406840211581166</v>
      </c>
      <c r="D30">
        <f t="shared" si="2"/>
        <v>-0.35709413348417585</v>
      </c>
      <c r="E30">
        <v>30</v>
      </c>
      <c r="F30">
        <f t="shared" si="3"/>
        <v>-2.7764375956575087</v>
      </c>
      <c r="G30">
        <f t="shared" si="4"/>
        <v>-0.66048610122817375</v>
      </c>
      <c r="H30">
        <f t="shared" si="5"/>
        <v>-0.25250368330859507</v>
      </c>
      <c r="I30">
        <v>30</v>
      </c>
      <c r="K30">
        <f t="shared" si="6"/>
        <v>2.3660229797811496</v>
      </c>
      <c r="L30">
        <f t="shared" si="7"/>
        <v>1.7298944110542744</v>
      </c>
      <c r="M30">
        <v>30</v>
      </c>
      <c r="O30">
        <f t="shared" si="8"/>
        <v>2.2533221444918561</v>
      </c>
      <c r="P30">
        <f t="shared" si="9"/>
        <v>2.8894770534805678</v>
      </c>
    </row>
    <row r="31" spans="1:16" x14ac:dyDescent="0.35">
      <c r="A31">
        <v>31</v>
      </c>
      <c r="B31">
        <f t="shared" si="0"/>
        <v>-2.763846041935706</v>
      </c>
      <c r="C31">
        <f t="shared" si="1"/>
        <v>-0.9294981049655654</v>
      </c>
      <c r="D31">
        <f t="shared" si="2"/>
        <v>-0.36882688739491704</v>
      </c>
      <c r="E31">
        <v>31</v>
      </c>
      <c r="F31">
        <f t="shared" si="3"/>
        <v>-2.763846041935706</v>
      </c>
      <c r="G31">
        <f t="shared" si="4"/>
        <v>-0.65725441312119715</v>
      </c>
      <c r="H31">
        <f t="shared" si="5"/>
        <v>-0.26079999316087321</v>
      </c>
      <c r="I31">
        <v>31</v>
      </c>
      <c r="K31">
        <f t="shared" si="6"/>
        <v>2.4037181131504584</v>
      </c>
      <c r="L31">
        <f t="shared" si="7"/>
        <v>1.7675568190423159</v>
      </c>
      <c r="M31">
        <v>31</v>
      </c>
      <c r="O31">
        <f t="shared" si="8"/>
        <v>2.2938347987433971</v>
      </c>
      <c r="P31">
        <f t="shared" si="9"/>
        <v>2.9299588123459737</v>
      </c>
    </row>
    <row r="32" spans="1:16" x14ac:dyDescent="0.35">
      <c r="A32">
        <v>32</v>
      </c>
      <c r="B32">
        <f t="shared" si="0"/>
        <v>-2.7512544882139034</v>
      </c>
      <c r="C32">
        <f t="shared" si="1"/>
        <v>-0.92478044041708718</v>
      </c>
      <c r="D32">
        <f t="shared" si="2"/>
        <v>-0.38050116559871172</v>
      </c>
      <c r="E32">
        <v>32</v>
      </c>
      <c r="F32">
        <f t="shared" si="3"/>
        <v>-2.7512544882139034</v>
      </c>
      <c r="G32">
        <f t="shared" si="4"/>
        <v>-0.6539185205276048</v>
      </c>
      <c r="H32">
        <f t="shared" si="5"/>
        <v>-0.26905495444423472</v>
      </c>
      <c r="I32">
        <v>32</v>
      </c>
      <c r="K32">
        <f t="shared" si="6"/>
        <v>2.4414132465197671</v>
      </c>
      <c r="L32">
        <f t="shared" si="7"/>
        <v>1.8051984098653659</v>
      </c>
      <c r="M32">
        <v>32</v>
      </c>
      <c r="O32">
        <f t="shared" si="8"/>
        <v>2.3343474529949377</v>
      </c>
      <c r="P32">
        <f t="shared" si="9"/>
        <v>2.9704646208309988</v>
      </c>
    </row>
    <row r="33" spans="1:16" x14ac:dyDescent="0.35">
      <c r="A33">
        <v>33</v>
      </c>
      <c r="B33">
        <f t="shared" si="0"/>
        <v>-2.7386629344921003</v>
      </c>
      <c r="C33">
        <f t="shared" si="1"/>
        <v>-0.91991615643311786</v>
      </c>
      <c r="D33">
        <f t="shared" si="2"/>
        <v>-0.39211511719560044</v>
      </c>
      <c r="E33">
        <v>33</v>
      </c>
      <c r="F33">
        <f t="shared" si="3"/>
        <v>-2.7386629344921003</v>
      </c>
      <c r="G33">
        <f t="shared" si="4"/>
        <v>-0.65047895233692299</v>
      </c>
      <c r="H33">
        <f t="shared" si="5"/>
        <v>-0.27726725837476707</v>
      </c>
      <c r="I33">
        <v>33</v>
      </c>
      <c r="K33">
        <f t="shared" ref="K33:K64" si="10">1.2728641120712+(I33-1)*0.0376951333693086</f>
        <v>2.4791083798890754</v>
      </c>
      <c r="L33">
        <f t="shared" ref="L33:L64" si="11">0+1*K33-0.634761727609482*(1.0042735042735+(K33-2.32562268468297)^2/43.225362742323)^0.5</f>
        <v>1.8428191887786007</v>
      </c>
      <c r="M33">
        <v>33</v>
      </c>
      <c r="O33">
        <f t="shared" ref="O33:O64" si="12">1.07845517119717+(M33-1)*0.0405126542515409</f>
        <v>2.3748601072464788</v>
      </c>
      <c r="P33">
        <f t="shared" ref="P33:P64" si="13">0+1*O33+0.634761727609482*(1.0042735042735+(O33-2.32562268468297)^2/43.225362742323)^0.5</f>
        <v>3.0109944797120747</v>
      </c>
    </row>
    <row r="34" spans="1:16" x14ac:dyDescent="0.35">
      <c r="A34">
        <v>34</v>
      </c>
      <c r="B34">
        <f t="shared" si="0"/>
        <v>-2.7260713807702976</v>
      </c>
      <c r="C34">
        <f t="shared" si="1"/>
        <v>-0.91490602422219602</v>
      </c>
      <c r="D34">
        <f t="shared" si="2"/>
        <v>-0.40366690085011231</v>
      </c>
      <c r="E34">
        <v>34</v>
      </c>
      <c r="F34">
        <f t="shared" si="3"/>
        <v>-2.7260713807702976</v>
      </c>
      <c r="G34">
        <f t="shared" si="4"/>
        <v>-0.646936253875939</v>
      </c>
      <c r="H34">
        <f t="shared" si="5"/>
        <v>-0.28543560293167236</v>
      </c>
      <c r="I34">
        <v>34</v>
      </c>
      <c r="K34">
        <f t="shared" si="10"/>
        <v>2.5168035132583837</v>
      </c>
      <c r="L34">
        <f t="shared" si="11"/>
        <v>1.8804191630769438</v>
      </c>
      <c r="M34">
        <v>34</v>
      </c>
      <c r="O34">
        <f t="shared" si="12"/>
        <v>2.4153727614980198</v>
      </c>
      <c r="P34">
        <f t="shared" si="13"/>
        <v>3.0515483870379549</v>
      </c>
    </row>
    <row r="35" spans="1:16" x14ac:dyDescent="0.35">
      <c r="A35">
        <v>35</v>
      </c>
      <c r="B35">
        <f t="shared" si="0"/>
        <v>-2.713479827048495</v>
      </c>
      <c r="C35">
        <f t="shared" si="1"/>
        <v>-0.90975083811638624</v>
      </c>
      <c r="D35">
        <f t="shared" si="2"/>
        <v>-0.41515468508320219</v>
      </c>
      <c r="E35">
        <v>35</v>
      </c>
      <c r="F35">
        <f t="shared" si="3"/>
        <v>-2.713479827048495</v>
      </c>
      <c r="G35">
        <f t="shared" si="4"/>
        <v>-0.64329098682224217</v>
      </c>
      <c r="H35">
        <f t="shared" si="5"/>
        <v>-0.29355869306369808</v>
      </c>
      <c r="I35">
        <v>35</v>
      </c>
      <c r="K35">
        <f t="shared" si="10"/>
        <v>2.5544986466276924</v>
      </c>
      <c r="L35">
        <f t="shared" si="11"/>
        <v>1.9179983420914879</v>
      </c>
      <c r="M35">
        <v>35</v>
      </c>
      <c r="O35">
        <f t="shared" si="12"/>
        <v>2.4558854157495604</v>
      </c>
      <c r="P35">
        <f t="shared" si="13"/>
        <v>3.0921263381308259</v>
      </c>
    </row>
    <row r="36" spans="1:16" x14ac:dyDescent="0.35">
      <c r="A36">
        <v>36</v>
      </c>
      <c r="B36">
        <f t="shared" si="0"/>
        <v>-2.7008882733266919</v>
      </c>
      <c r="C36">
        <f t="shared" si="1"/>
        <v>-0.90445141544534147</v>
      </c>
      <c r="D36">
        <f t="shared" si="2"/>
        <v>-0.42657664856262156</v>
      </c>
      <c r="E36">
        <v>36</v>
      </c>
      <c r="F36">
        <f t="shared" si="3"/>
        <v>-2.7008882733266919</v>
      </c>
      <c r="G36">
        <f t="shared" si="4"/>
        <v>-0.63954372911517265</v>
      </c>
      <c r="H36">
        <f t="shared" si="5"/>
        <v>-0.30163524089446064</v>
      </c>
      <c r="I36">
        <v>36</v>
      </c>
      <c r="K36">
        <f t="shared" si="10"/>
        <v>2.5921937799970012</v>
      </c>
      <c r="L36">
        <f t="shared" si="11"/>
        <v>1.9555567371849256</v>
      </c>
      <c r="M36">
        <v>36</v>
      </c>
      <c r="O36">
        <f t="shared" si="12"/>
        <v>2.4963980700011015</v>
      </c>
      <c r="P36">
        <f t="shared" si="13"/>
        <v>3.1327283255889564</v>
      </c>
    </row>
    <row r="37" spans="1:16" x14ac:dyDescent="0.35">
      <c r="A37">
        <v>37</v>
      </c>
      <c r="B37">
        <f t="shared" si="0"/>
        <v>-2.6882967196048893</v>
      </c>
      <c r="C37">
        <f t="shared" si="1"/>
        <v>-0.89900859640672026</v>
      </c>
      <c r="D37">
        <f t="shared" si="2"/>
        <v>-0.43793098039168077</v>
      </c>
      <c r="E37">
        <v>37</v>
      </c>
      <c r="F37">
        <f t="shared" si="3"/>
        <v>-2.6882967196048893</v>
      </c>
      <c r="G37">
        <f t="shared" si="4"/>
        <v>-0.63569507486419241</v>
      </c>
      <c r="H37">
        <f t="shared" si="5"/>
        <v>-0.30966396592663065</v>
      </c>
      <c r="I37">
        <v>37</v>
      </c>
      <c r="K37">
        <f t="shared" si="10"/>
        <v>2.6298889133663099</v>
      </c>
      <c r="L37">
        <f t="shared" si="11"/>
        <v>1.9930943617459902</v>
      </c>
      <c r="M37">
        <v>37</v>
      </c>
      <c r="O37">
        <f t="shared" si="12"/>
        <v>2.5369107242526425</v>
      </c>
      <c r="P37">
        <f t="shared" si="13"/>
        <v>3.1733543392908885</v>
      </c>
    </row>
    <row r="38" spans="1:16" x14ac:dyDescent="0.35">
      <c r="A38">
        <v>38</v>
      </c>
      <c r="B38">
        <f t="shared" si="0"/>
        <v>-2.6757051658830866</v>
      </c>
      <c r="C38">
        <f t="shared" si="1"/>
        <v>-0.89342324393297667</v>
      </c>
      <c r="D38">
        <f t="shared" si="2"/>
        <v>-0.44921588039636001</v>
      </c>
      <c r="E38">
        <v>38</v>
      </c>
      <c r="F38">
        <f t="shared" si="3"/>
        <v>-2.6757051658830866</v>
      </c>
      <c r="G38">
        <f t="shared" si="4"/>
        <v>-0.63174563425469121</v>
      </c>
      <c r="H38">
        <f t="shared" si="5"/>
        <v>-0.31764359524495145</v>
      </c>
      <c r="I38">
        <v>38</v>
      </c>
      <c r="K38">
        <f t="shared" si="10"/>
        <v>2.6675840467356187</v>
      </c>
      <c r="L38">
        <f t="shared" si="11"/>
        <v>2.0306112311829145</v>
      </c>
      <c r="M38">
        <v>38</v>
      </c>
      <c r="O38">
        <f t="shared" si="12"/>
        <v>2.5774233785041831</v>
      </c>
      <c r="P38">
        <f t="shared" si="13"/>
        <v>3.214004366401169</v>
      </c>
    </row>
    <row r="39" spans="1:16" x14ac:dyDescent="0.35">
      <c r="A39">
        <v>39</v>
      </c>
      <c r="B39">
        <f t="shared" si="0"/>
        <v>-2.6631136121612835</v>
      </c>
      <c r="C39">
        <f t="shared" si="1"/>
        <v>-0.88769624355454657</v>
      </c>
      <c r="D39">
        <f t="shared" si="2"/>
        <v>-0.46042955941071717</v>
      </c>
      <c r="E39">
        <v>39</v>
      </c>
      <c r="F39">
        <f t="shared" si="3"/>
        <v>-2.6631136121612835</v>
      </c>
      <c r="G39">
        <f t="shared" si="4"/>
        <v>-0.62769603345124536</v>
      </c>
      <c r="H39">
        <f t="shared" si="5"/>
        <v>-0.32557286371805272</v>
      </c>
      <c r="I39">
        <v>39</v>
      </c>
      <c r="K39">
        <f t="shared" si="10"/>
        <v>2.705279180104927</v>
      </c>
      <c r="L39">
        <f t="shared" si="11"/>
        <v>2.0681073629159128</v>
      </c>
      <c r="M39">
        <v>39</v>
      </c>
      <c r="O39">
        <f t="shared" si="12"/>
        <v>2.6179360327557242</v>
      </c>
      <c r="P39">
        <f t="shared" si="13"/>
        <v>3.2546783913776069</v>
      </c>
    </row>
    <row r="40" spans="1:16" x14ac:dyDescent="0.35">
      <c r="A40">
        <v>40</v>
      </c>
      <c r="B40">
        <f t="shared" si="0"/>
        <v>-2.6505220584394809</v>
      </c>
      <c r="C40">
        <f t="shared" si="1"/>
        <v>-0.88182850325945195</v>
      </c>
      <c r="D40">
        <f t="shared" si="2"/>
        <v>-0.47157023956055033</v>
      </c>
      <c r="E40">
        <v>40</v>
      </c>
      <c r="F40">
        <f t="shared" si="3"/>
        <v>-2.6505220584394809</v>
      </c>
      <c r="G40">
        <f t="shared" si="4"/>
        <v>-0.62354691449834243</v>
      </c>
      <c r="H40">
        <f t="shared" si="5"/>
        <v>-0.3334505141990301</v>
      </c>
      <c r="I40">
        <v>40</v>
      </c>
      <c r="K40">
        <f t="shared" si="10"/>
        <v>2.7429743134742357</v>
      </c>
      <c r="L40">
        <f t="shared" si="11"/>
        <v>2.1055827763687001</v>
      </c>
      <c r="M40">
        <v>40</v>
      </c>
      <c r="O40">
        <f t="shared" si="12"/>
        <v>2.6584486870072652</v>
      </c>
      <c r="P40">
        <f t="shared" si="13"/>
        <v>3.2953763959800497</v>
      </c>
    </row>
    <row r="41" spans="1:16" x14ac:dyDescent="0.35">
      <c r="A41">
        <v>41</v>
      </c>
      <c r="B41">
        <f t="shared" si="0"/>
        <v>-2.6379305047176782</v>
      </c>
      <c r="C41">
        <f t="shared" si="1"/>
        <v>-0.87582095334934262</v>
      </c>
      <c r="D41">
        <f t="shared" si="2"/>
        <v>-0.48263615454527298</v>
      </c>
      <c r="E41">
        <v>41</v>
      </c>
      <c r="F41">
        <f t="shared" si="3"/>
        <v>-2.6379305047176782</v>
      </c>
      <c r="G41">
        <f t="shared" si="4"/>
        <v>-0.61929893521858748</v>
      </c>
      <c r="H41">
        <f t="shared" si="5"/>
        <v>-0.34127529772476128</v>
      </c>
      <c r="I41">
        <v>41</v>
      </c>
      <c r="K41">
        <f t="shared" si="10"/>
        <v>2.780669446843544</v>
      </c>
      <c r="L41">
        <f t="shared" si="11"/>
        <v>2.1430374929590479</v>
      </c>
      <c r="M41">
        <v>41</v>
      </c>
      <c r="O41">
        <f t="shared" si="12"/>
        <v>2.6989613412588058</v>
      </c>
      <c r="P41">
        <f t="shared" si="13"/>
        <v>3.336098359280665</v>
      </c>
    </row>
    <row r="42" spans="1:16" x14ac:dyDescent="0.35">
      <c r="A42">
        <v>42</v>
      </c>
      <c r="B42">
        <f t="shared" si="0"/>
        <v>-2.6253389509958751</v>
      </c>
      <c r="C42">
        <f t="shared" si="1"/>
        <v>-0.86967454629200225</v>
      </c>
      <c r="D42">
        <f t="shared" si="2"/>
        <v>-0.4936255499179516</v>
      </c>
      <c r="E42">
        <v>42</v>
      </c>
      <c r="F42">
        <f t="shared" si="3"/>
        <v>-2.6253389509958751</v>
      </c>
      <c r="G42">
        <f t="shared" si="4"/>
        <v>-0.61495276910840924</v>
      </c>
      <c r="H42">
        <f t="shared" si="5"/>
        <v>-0.34904597371392243</v>
      </c>
      <c r="I42">
        <v>42</v>
      </c>
      <c r="K42">
        <f t="shared" si="10"/>
        <v>2.8183645802128527</v>
      </c>
      <c r="L42">
        <f t="shared" si="11"/>
        <v>2.1804715360884015</v>
      </c>
      <c r="M42">
        <v>42</v>
      </c>
      <c r="O42">
        <f t="shared" si="12"/>
        <v>2.7394739955103469</v>
      </c>
      <c r="P42">
        <f t="shared" si="13"/>
        <v>3.3768442576757218</v>
      </c>
    </row>
    <row r="43" spans="1:16" x14ac:dyDescent="0.35">
      <c r="A43">
        <v>43</v>
      </c>
      <c r="B43">
        <f t="shared" si="0"/>
        <v>-2.6127473972740725</v>
      </c>
      <c r="C43">
        <f t="shared" si="1"/>
        <v>-0.8633902565703393</v>
      </c>
      <c r="D43">
        <f t="shared" si="2"/>
        <v>-0.50453668336346336</v>
      </c>
      <c r="E43">
        <v>43</v>
      </c>
      <c r="F43">
        <f t="shared" si="3"/>
        <v>-2.6127473972740725</v>
      </c>
      <c r="G43">
        <f t="shared" si="4"/>
        <v>-0.61050910523128044</v>
      </c>
      <c r="H43">
        <f t="shared" si="5"/>
        <v>-0.35676131016367513</v>
      </c>
      <c r="I43">
        <v>43</v>
      </c>
      <c r="K43">
        <f t="shared" si="10"/>
        <v>2.8560597135821615</v>
      </c>
      <c r="L43">
        <f t="shared" si="11"/>
        <v>2.2178849311305564</v>
      </c>
      <c r="M43">
        <v>43</v>
      </c>
      <c r="O43">
        <f t="shared" si="12"/>
        <v>2.7799866497618879</v>
      </c>
      <c r="P43">
        <f t="shared" si="13"/>
        <v>3.417614064898844</v>
      </c>
    </row>
    <row r="44" spans="1:16" x14ac:dyDescent="0.35">
      <c r="A44">
        <v>44</v>
      </c>
      <c r="B44">
        <f t="shared" si="0"/>
        <v>-2.6001558435522698</v>
      </c>
      <c r="C44">
        <f t="shared" si="1"/>
        <v>-0.8569690805278869</v>
      </c>
      <c r="D44">
        <f t="shared" si="2"/>
        <v>-0.51536782497473399</v>
      </c>
      <c r="E44">
        <v>44</v>
      </c>
      <c r="F44">
        <f t="shared" si="3"/>
        <v>-2.6001558435522698</v>
      </c>
      <c r="G44">
        <f t="shared" si="4"/>
        <v>-0.60596864810846973</v>
      </c>
      <c r="H44">
        <f t="shared" si="5"/>
        <v>-0.36442008384499641</v>
      </c>
      <c r="I44">
        <v>44</v>
      </c>
      <c r="K44">
        <f t="shared" si="10"/>
        <v>2.8937548469514702</v>
      </c>
      <c r="L44">
        <f t="shared" si="11"/>
        <v>2.2552777054194149</v>
      </c>
      <c r="M44">
        <v>44</v>
      </c>
      <c r="O44">
        <f t="shared" si="12"/>
        <v>2.8204993040134285</v>
      </c>
      <c r="P44">
        <f t="shared" si="13"/>
        <v>3.4584077520357273</v>
      </c>
    </row>
    <row r="45" spans="1:16" x14ac:dyDescent="0.35">
      <c r="A45">
        <v>45</v>
      </c>
      <c r="B45">
        <f t="shared" si="0"/>
        <v>-2.5875642898304667</v>
      </c>
      <c r="C45">
        <f t="shared" si="1"/>
        <v>-0.85041203621083761</v>
      </c>
      <c r="D45">
        <f t="shared" si="2"/>
        <v>-0.52611725752700511</v>
      </c>
      <c r="E45">
        <v>45</v>
      </c>
      <c r="F45">
        <f t="shared" si="3"/>
        <v>-2.5875642898304667</v>
      </c>
      <c r="G45">
        <f t="shared" si="4"/>
        <v>-0.60133211760734351</v>
      </c>
      <c r="H45">
        <f t="shared" si="5"/>
        <v>-0.37202108049661475</v>
      </c>
      <c r="I45">
        <v>45</v>
      </c>
      <c r="K45">
        <f t="shared" si="10"/>
        <v>2.9314499803207785</v>
      </c>
      <c r="L45">
        <f t="shared" si="11"/>
        <v>2.2926498882358359</v>
      </c>
      <c r="M45">
        <v>45</v>
      </c>
      <c r="O45">
        <f t="shared" si="12"/>
        <v>2.8610119582649696</v>
      </c>
      <c r="P45">
        <f t="shared" si="13"/>
        <v>3.4992252875403032</v>
      </c>
    </row>
    <row r="46" spans="1:16" x14ac:dyDescent="0.35">
      <c r="A46">
        <v>46</v>
      </c>
      <c r="B46">
        <f t="shared" si="0"/>
        <v>-2.5749727361086641</v>
      </c>
      <c r="C46">
        <f t="shared" si="1"/>
        <v>-0.84372016320663801</v>
      </c>
      <c r="D46">
        <f t="shared" si="2"/>
        <v>-0.53678327675009052</v>
      </c>
      <c r="E46">
        <v>46</v>
      </c>
      <c r="F46">
        <f t="shared" si="3"/>
        <v>-2.5749727361086641</v>
      </c>
      <c r="G46">
        <f t="shared" si="4"/>
        <v>-0.59660024882723472</v>
      </c>
      <c r="H46">
        <f t="shared" si="5"/>
        <v>-0.3795630950175245</v>
      </c>
      <c r="I46">
        <v>46</v>
      </c>
      <c r="K46">
        <f t="shared" si="10"/>
        <v>2.9691451136900873</v>
      </c>
      <c r="L46">
        <f t="shared" si="11"/>
        <v>2.3300015107935916</v>
      </c>
      <c r="M46">
        <v>46</v>
      </c>
      <c r="O46">
        <f t="shared" si="12"/>
        <v>2.9015246125165106</v>
      </c>
      <c r="P46">
        <f t="shared" si="13"/>
        <v>3.5400666372523131</v>
      </c>
    </row>
    <row r="47" spans="1:16" x14ac:dyDescent="0.35">
      <c r="A47">
        <v>47</v>
      </c>
      <c r="B47">
        <f t="shared" si="0"/>
        <v>-2.5623811823868614</v>
      </c>
      <c r="C47">
        <f t="shared" si="1"/>
        <v>-0.83689452247916551</v>
      </c>
      <c r="D47">
        <f t="shared" si="2"/>
        <v>-0.54736419159858218</v>
      </c>
      <c r="E47">
        <v>47</v>
      </c>
      <c r="F47">
        <f t="shared" si="3"/>
        <v>-2.5623811823868614</v>
      </c>
      <c r="G47">
        <f t="shared" si="4"/>
        <v>-0.59177379198289592</v>
      </c>
      <c r="H47">
        <f t="shared" si="5"/>
        <v>-0.38704493165805037</v>
      </c>
      <c r="I47">
        <v>47</v>
      </c>
      <c r="K47">
        <f t="shared" si="10"/>
        <v>3.0068402470593956</v>
      </c>
      <c r="L47">
        <f t="shared" si="11"/>
        <v>2.3673326062244393</v>
      </c>
      <c r="M47">
        <v>47</v>
      </c>
      <c r="O47">
        <f t="shared" si="12"/>
        <v>2.9420372667680512</v>
      </c>
      <c r="P47">
        <f t="shared" si="13"/>
        <v>3.5809317644162899</v>
      </c>
    </row>
    <row r="48" spans="1:16" x14ac:dyDescent="0.35">
      <c r="A48">
        <v>48</v>
      </c>
      <c r="B48">
        <f t="shared" si="0"/>
        <v>-2.5497896286650583</v>
      </c>
      <c r="C48">
        <f t="shared" si="1"/>
        <v>-0.82993619620051928</v>
      </c>
      <c r="D48">
        <f t="shared" si="2"/>
        <v>-0.55785832451995665</v>
      </c>
      <c r="E48">
        <v>48</v>
      </c>
      <c r="F48">
        <f t="shared" si="3"/>
        <v>-2.5497896286650583</v>
      </c>
      <c r="G48">
        <f t="shared" si="4"/>
        <v>-0.5868535122855566</v>
      </c>
      <c r="H48">
        <f t="shared" si="5"/>
        <v>-0.39446540420942727</v>
      </c>
      <c r="I48">
        <v>48</v>
      </c>
      <c r="K48">
        <f t="shared" si="10"/>
        <v>3.0445353804287043</v>
      </c>
      <c r="L48">
        <f t="shared" si="11"/>
        <v>2.4046432095623418</v>
      </c>
      <c r="M48">
        <v>48</v>
      </c>
      <c r="O48">
        <f t="shared" si="12"/>
        <v>2.9825499210195923</v>
      </c>
      <c r="P48">
        <f t="shared" si="13"/>
        <v>3.6218206297019142</v>
      </c>
    </row>
    <row r="49" spans="1:16" x14ac:dyDescent="0.35">
      <c r="A49">
        <v>49</v>
      </c>
      <c r="B49">
        <f t="shared" si="0"/>
        <v>-2.5371980749432557</v>
      </c>
      <c r="C49">
        <f t="shared" si="1"/>
        <v>-0.82284628757944644</v>
      </c>
      <c r="D49">
        <f t="shared" si="2"/>
        <v>-0.56826401172054075</v>
      </c>
      <c r="E49">
        <v>49</v>
      </c>
      <c r="F49">
        <f t="shared" si="3"/>
        <v>-2.5371980749432557</v>
      </c>
      <c r="G49">
        <f t="shared" si="4"/>
        <v>-0.58184018982160302</v>
      </c>
      <c r="H49">
        <f t="shared" si="5"/>
        <v>-0.40182333619186639</v>
      </c>
      <c r="I49">
        <v>49</v>
      </c>
      <c r="K49">
        <f t="shared" si="10"/>
        <v>3.082230513798013</v>
      </c>
      <c r="L49">
        <f t="shared" si="11"/>
        <v>2.4419333577268372</v>
      </c>
      <c r="M49">
        <v>49</v>
      </c>
      <c r="O49">
        <f t="shared" si="12"/>
        <v>3.0230625752711333</v>
      </c>
      <c r="P49">
        <f t="shared" si="13"/>
        <v>3.6627331912257088</v>
      </c>
    </row>
    <row r="50" spans="1:16" x14ac:dyDescent="0.35">
      <c r="A50">
        <v>50</v>
      </c>
      <c r="B50">
        <f t="shared" si="0"/>
        <v>-2.524606521221453</v>
      </c>
      <c r="C50">
        <f t="shared" si="1"/>
        <v>-0.81562592068643358</v>
      </c>
      <c r="D50">
        <f t="shared" si="2"/>
        <v>-0.57857960342930126</v>
      </c>
      <c r="E50">
        <v>50</v>
      </c>
      <c r="F50">
        <f t="shared" si="3"/>
        <v>-2.524606521221453</v>
      </c>
      <c r="G50">
        <f t="shared" si="4"/>
        <v>-0.57673461942889881</v>
      </c>
      <c r="H50">
        <f t="shared" si="5"/>
        <v>-0.40911756104108266</v>
      </c>
      <c r="I50">
        <v>50</v>
      </c>
      <c r="K50">
        <f t="shared" si="10"/>
        <v>3.1199256471673218</v>
      </c>
      <c r="L50">
        <f t="shared" si="11"/>
        <v>2.4792030895055817</v>
      </c>
      <c r="M50">
        <v>50</v>
      </c>
      <c r="O50">
        <f t="shared" si="12"/>
        <v>3.0635752295226739</v>
      </c>
      <c r="P50">
        <f t="shared" si="13"/>
        <v>3.7036694045740637</v>
      </c>
    </row>
    <row r="51" spans="1:16" x14ac:dyDescent="0.35">
      <c r="A51">
        <v>51</v>
      </c>
      <c r="B51">
        <f t="shared" si="0"/>
        <v>-2.5120149674996499</v>
      </c>
      <c r="C51">
        <f t="shared" si="1"/>
        <v>-0.80827624027549083</v>
      </c>
      <c r="D51">
        <f t="shared" si="2"/>
        <v>-0.58880346415940599</v>
      </c>
      <c r="E51">
        <v>51</v>
      </c>
      <c r="F51">
        <f t="shared" si="3"/>
        <v>-2.5120149674996499</v>
      </c>
      <c r="G51">
        <f t="shared" si="4"/>
        <v>-0.57153761057076724</v>
      </c>
      <c r="H51">
        <f t="shared" si="5"/>
        <v>-0.41634692229324655</v>
      </c>
      <c r="I51">
        <v>51</v>
      </c>
      <c r="K51">
        <f t="shared" si="10"/>
        <v>3.1576207805366305</v>
      </c>
      <c r="L51">
        <f t="shared" si="11"/>
        <v>2.5164524455360913</v>
      </c>
      <c r="M51">
        <v>51</v>
      </c>
      <c r="O51">
        <f t="shared" si="12"/>
        <v>3.1040878837742154</v>
      </c>
      <c r="P51">
        <f t="shared" si="13"/>
        <v>3.7446292228275491</v>
      </c>
    </row>
    <row r="52" spans="1:16" x14ac:dyDescent="0.35">
      <c r="A52">
        <v>52</v>
      </c>
      <c r="B52">
        <f t="shared" si="0"/>
        <v>-2.4994234137778473</v>
      </c>
      <c r="C52">
        <f t="shared" si="1"/>
        <v>-0.80079841160265763</v>
      </c>
      <c r="D52">
        <f t="shared" si="2"/>
        <v>-0.59893397296752204</v>
      </c>
      <c r="E52">
        <v>52</v>
      </c>
      <c r="F52">
        <f t="shared" si="3"/>
        <v>-2.4994234137778473</v>
      </c>
      <c r="G52">
        <f t="shared" si="4"/>
        <v>-0.56624998720765563</v>
      </c>
      <c r="H52">
        <f t="shared" si="5"/>
        <v>-0.4235102737683355</v>
      </c>
      <c r="I52">
        <v>52</v>
      </c>
      <c r="K52">
        <f t="shared" si="10"/>
        <v>3.1953159139059388</v>
      </c>
      <c r="L52">
        <f t="shared" si="11"/>
        <v>2.5536814682866895</v>
      </c>
      <c r="M52">
        <v>52</v>
      </c>
      <c r="O52">
        <f t="shared" si="12"/>
        <v>3.144600538025756</v>
      </c>
      <c r="P52">
        <f t="shared" si="13"/>
        <v>3.7856125965864829</v>
      </c>
    </row>
    <row r="53" spans="1:16" x14ac:dyDescent="0.35">
      <c r="A53">
        <v>53</v>
      </c>
      <c r="B53">
        <f t="shared" si="0"/>
        <v>-2.4868318600560446</v>
      </c>
      <c r="C53">
        <f t="shared" si="1"/>
        <v>-0.79319362024125561</v>
      </c>
      <c r="D53">
        <f t="shared" si="2"/>
        <v>-0.60896952371081003</v>
      </c>
      <c r="E53">
        <v>53</v>
      </c>
      <c r="F53">
        <f t="shared" si="3"/>
        <v>-2.4868318600560446</v>
      </c>
      <c r="G53">
        <f t="shared" si="4"/>
        <v>-0.56087258766649939</v>
      </c>
      <c r="H53">
        <f t="shared" si="5"/>
        <v>-0.43060647975185612</v>
      </c>
      <c r="I53">
        <v>53</v>
      </c>
      <c r="K53">
        <f t="shared" si="10"/>
        <v>3.2330110472752476</v>
      </c>
      <c r="L53">
        <f t="shared" si="11"/>
        <v>2.5908902020366931</v>
      </c>
      <c r="M53">
        <v>53</v>
      </c>
      <c r="O53">
        <f t="shared" si="12"/>
        <v>3.1851131922772966</v>
      </c>
      <c r="P53">
        <f t="shared" si="13"/>
        <v>3.8266194739977406</v>
      </c>
    </row>
    <row r="54" spans="1:16" x14ac:dyDescent="0.35">
      <c r="A54">
        <v>54</v>
      </c>
      <c r="B54">
        <f t="shared" si="0"/>
        <v>-2.4742403063342415</v>
      </c>
      <c r="C54">
        <f t="shared" si="1"/>
        <v>-0.78546307189392217</v>
      </c>
      <c r="D54">
        <f t="shared" si="2"/>
        <v>-0.61890852530156926</v>
      </c>
      <c r="E54">
        <v>54</v>
      </c>
      <c r="F54">
        <f t="shared" si="3"/>
        <v>-2.4742403063342415</v>
      </c>
      <c r="G54">
        <f t="shared" si="4"/>
        <v>-0.5554062645078095</v>
      </c>
      <c r="H54">
        <f t="shared" si="5"/>
        <v>-0.43763441517490587</v>
      </c>
      <c r="I54">
        <v>54</v>
      </c>
      <c r="K54">
        <f t="shared" si="10"/>
        <v>3.2707061806445559</v>
      </c>
      <c r="L54">
        <f t="shared" si="11"/>
        <v>2.6280786928558486</v>
      </c>
      <c r="M54">
        <v>54</v>
      </c>
      <c r="O54">
        <f t="shared" si="12"/>
        <v>3.2256258465288381</v>
      </c>
      <c r="P54">
        <f t="shared" si="13"/>
        <v>3.8676498007827451</v>
      </c>
    </row>
    <row r="55" spans="1:16" x14ac:dyDescent="0.35">
      <c r="A55">
        <v>55</v>
      </c>
      <c r="B55">
        <f t="shared" si="0"/>
        <v>-2.4616487526124389</v>
      </c>
      <c r="C55">
        <f t="shared" si="1"/>
        <v>-0.7776079922014536</v>
      </c>
      <c r="D55">
        <f t="shared" si="2"/>
        <v>-0.62874940195949613</v>
      </c>
      <c r="E55">
        <v>55</v>
      </c>
      <c r="F55">
        <f t="shared" si="3"/>
        <v>-2.4616487526124389</v>
      </c>
      <c r="G55">
        <f t="shared" si="4"/>
        <v>-0.54985188439050414</v>
      </c>
      <c r="H55">
        <f t="shared" si="5"/>
        <v>-0.44459296579254637</v>
      </c>
      <c r="I55">
        <v>55</v>
      </c>
      <c r="K55">
        <f t="shared" si="10"/>
        <v>3.3084013140138646</v>
      </c>
      <c r="L55">
        <f t="shared" si="11"/>
        <v>2.6652469885830463</v>
      </c>
      <c r="M55">
        <v>55</v>
      </c>
      <c r="O55">
        <f t="shared" si="12"/>
        <v>3.2661385007803787</v>
      </c>
      <c r="P55">
        <f t="shared" si="13"/>
        <v>3.9087035202666263</v>
      </c>
    </row>
    <row r="56" spans="1:16" x14ac:dyDescent="0.35">
      <c r="A56">
        <v>56</v>
      </c>
      <c r="B56">
        <f t="shared" si="0"/>
        <v>-2.4490571988906362</v>
      </c>
      <c r="C56">
        <f t="shared" si="1"/>
        <v>-0.76962962654848344</v>
      </c>
      <c r="D56">
        <f t="shared" si="2"/>
        <v>-0.63849059346151837</v>
      </c>
      <c r="E56">
        <v>56</v>
      </c>
      <c r="F56">
        <f t="shared" si="3"/>
        <v>-2.4490571988906362</v>
      </c>
      <c r="G56">
        <f t="shared" si="4"/>
        <v>-0.54421032793450319</v>
      </c>
      <c r="H56">
        <f t="shared" si="5"/>
        <v>-0.45148102836046305</v>
      </c>
      <c r="I56">
        <v>56</v>
      </c>
      <c r="K56">
        <f t="shared" si="10"/>
        <v>3.3460964473831734</v>
      </c>
      <c r="L56">
        <f t="shared" si="11"/>
        <v>2.7023951388043326</v>
      </c>
      <c r="M56">
        <v>56</v>
      </c>
      <c r="O56">
        <f t="shared" si="12"/>
        <v>3.3066511550319193</v>
      </c>
      <c r="P56">
        <f t="shared" si="13"/>
        <v>3.9497805734085052</v>
      </c>
    </row>
    <row r="57" spans="1:16" x14ac:dyDescent="0.35">
      <c r="A57">
        <v>57</v>
      </c>
      <c r="B57">
        <f t="shared" si="0"/>
        <v>-2.4364656451688331</v>
      </c>
      <c r="C57">
        <f t="shared" si="1"/>
        <v>-0.76152923986603405</v>
      </c>
      <c r="D57">
        <f t="shared" si="2"/>
        <v>-0.64813055538915954</v>
      </c>
      <c r="E57">
        <v>57</v>
      </c>
      <c r="F57">
        <f t="shared" si="3"/>
        <v>-2.4364656451688331</v>
      </c>
      <c r="G57">
        <f t="shared" si="4"/>
        <v>-0.53848248958111</v>
      </c>
      <c r="H57">
        <f t="shared" si="5"/>
        <v>-0.45829751080987829</v>
      </c>
      <c r="I57">
        <v>57</v>
      </c>
      <c r="K57">
        <f t="shared" si="10"/>
        <v>3.3837915807524817</v>
      </c>
      <c r="L57">
        <f t="shared" si="11"/>
        <v>2.739523194830241</v>
      </c>
      <c r="M57">
        <v>57</v>
      </c>
      <c r="O57">
        <f t="shared" si="12"/>
        <v>3.3471638092834608</v>
      </c>
      <c r="P57">
        <f t="shared" si="13"/>
        <v>3.9908808988328643</v>
      </c>
    </row>
    <row r="58" spans="1:16" x14ac:dyDescent="0.35">
      <c r="A58">
        <v>58</v>
      </c>
      <c r="B58">
        <f t="shared" si="0"/>
        <v>-2.4238740914470305</v>
      </c>
      <c r="C58">
        <f t="shared" si="1"/>
        <v>-0.75330811643096862</v>
      </c>
      <c r="D58">
        <f t="shared" si="2"/>
        <v>-0.65766775937339839</v>
      </c>
      <c r="E58">
        <v>58</v>
      </c>
      <c r="F58">
        <f t="shared" si="3"/>
        <v>-2.4238740914470305</v>
      </c>
      <c r="G58">
        <f t="shared" si="4"/>
        <v>-0.53266927745120352</v>
      </c>
      <c r="H58">
        <f t="shared" si="5"/>
        <v>-0.4650413324206929</v>
      </c>
      <c r="I58">
        <v>58</v>
      </c>
      <c r="K58">
        <f t="shared" si="10"/>
        <v>3.4214867141217904</v>
      </c>
      <c r="L58">
        <f t="shared" si="11"/>
        <v>2.7766312096724737</v>
      </c>
      <c r="M58">
        <v>58</v>
      </c>
      <c r="O58">
        <f t="shared" si="12"/>
        <v>3.3876764635350014</v>
      </c>
      <c r="P58">
        <f t="shared" si="13"/>
        <v>4.0320044328619655</v>
      </c>
    </row>
    <row r="59" spans="1:16" x14ac:dyDescent="0.35">
      <c r="A59">
        <v>59</v>
      </c>
      <c r="B59">
        <f t="shared" si="0"/>
        <v>-2.4112825377252278</v>
      </c>
      <c r="C59">
        <f t="shared" si="1"/>
        <v>-0.74496755966237371</v>
      </c>
      <c r="D59">
        <f t="shared" si="2"/>
        <v>-0.66710069333698618</v>
      </c>
      <c r="E59">
        <v>59</v>
      </c>
      <c r="F59">
        <f t="shared" si="3"/>
        <v>-2.4112825377252278</v>
      </c>
      <c r="G59">
        <f t="shared" si="4"/>
        <v>-0.52677161320125876</v>
      </c>
      <c r="H59">
        <f t="shared" si="5"/>
        <v>-0.47171142399283078</v>
      </c>
      <c r="I59">
        <v>59</v>
      </c>
      <c r="K59">
        <f t="shared" si="10"/>
        <v>3.4591818474910991</v>
      </c>
      <c r="L59">
        <f t="shared" si="11"/>
        <v>2.8137192380199449</v>
      </c>
      <c r="M59">
        <v>59</v>
      </c>
      <c r="O59">
        <f t="shared" si="12"/>
        <v>3.428189117786542</v>
      </c>
      <c r="P59">
        <f t="shared" si="13"/>
        <v>4.0731511095492881</v>
      </c>
    </row>
    <row r="60" spans="1:16" x14ac:dyDescent="0.35">
      <c r="A60">
        <v>60</v>
      </c>
      <c r="B60">
        <f t="shared" si="0"/>
        <v>-2.3986909840034247</v>
      </c>
      <c r="C60">
        <f t="shared" si="1"/>
        <v>-0.7365088919149092</v>
      </c>
      <c r="D60">
        <f t="shared" si="2"/>
        <v>-0.67642786173417824</v>
      </c>
      <c r="E60">
        <v>60</v>
      </c>
      <c r="F60">
        <f t="shared" si="3"/>
        <v>-2.3986909840034247</v>
      </c>
      <c r="G60">
        <f t="shared" si="4"/>
        <v>-0.52079043187722263</v>
      </c>
      <c r="H60">
        <f t="shared" si="5"/>
        <v>-0.47830672801575413</v>
      </c>
      <c r="I60">
        <v>60</v>
      </c>
      <c r="K60">
        <f t="shared" si="10"/>
        <v>3.4968769808604079</v>
      </c>
      <c r="L60">
        <f t="shared" si="11"/>
        <v>2.8507873362142204</v>
      </c>
      <c r="M60">
        <v>60</v>
      </c>
      <c r="O60">
        <f t="shared" si="12"/>
        <v>3.4687017720380835</v>
      </c>
      <c r="P60">
        <f t="shared" si="13"/>
        <v>4.1143208607139323</v>
      </c>
    </row>
    <row r="61" spans="1:16" x14ac:dyDescent="0.35">
      <c r="A61">
        <v>61</v>
      </c>
      <c r="B61">
        <f t="shared" si="0"/>
        <v>-2.3860994302816221</v>
      </c>
      <c r="C61">
        <f t="shared" si="1"/>
        <v>-0.72793345426915657</v>
      </c>
      <c r="D61">
        <f t="shared" si="2"/>
        <v>-0.68564778578784435</v>
      </c>
      <c r="E61">
        <v>61</v>
      </c>
      <c r="F61">
        <f t="shared" si="3"/>
        <v>-2.3860994302816221</v>
      </c>
      <c r="G61">
        <f t="shared" si="4"/>
        <v>-0.51472668176626857</v>
      </c>
      <c r="H61">
        <f t="shared" si="5"/>
        <v>-0.48482619883612643</v>
      </c>
      <c r="I61">
        <v>61</v>
      </c>
      <c r="K61">
        <f t="shared" si="10"/>
        <v>3.5345721142297162</v>
      </c>
      <c r="L61">
        <f t="shared" si="11"/>
        <v>2.887835562224375</v>
      </c>
      <c r="M61">
        <v>61</v>
      </c>
      <c r="O61">
        <f t="shared" si="12"/>
        <v>3.5092144262896241</v>
      </c>
      <c r="P61">
        <f t="shared" si="13"/>
        <v>4.1555136159759511</v>
      </c>
    </row>
    <row r="62" spans="1:16" x14ac:dyDescent="0.35">
      <c r="A62">
        <v>62</v>
      </c>
      <c r="B62">
        <f t="shared" si="0"/>
        <v>-2.3735078765598194</v>
      </c>
      <c r="C62">
        <f t="shared" si="1"/>
        <v>-0.71924260631899495</v>
      </c>
      <c r="D62">
        <f t="shared" si="2"/>
        <v>-0.69475900372392385</v>
      </c>
      <c r="E62">
        <v>62</v>
      </c>
      <c r="F62">
        <f t="shared" si="3"/>
        <v>-2.3735078765598194</v>
      </c>
      <c r="G62">
        <f t="shared" si="4"/>
        <v>-0.50858132424644809</v>
      </c>
      <c r="H62">
        <f t="shared" si="5"/>
        <v>-0.4912688028235967</v>
      </c>
      <c r="I62">
        <v>62</v>
      </c>
      <c r="K62">
        <f t="shared" si="10"/>
        <v>3.5722672475990249</v>
      </c>
      <c r="L62">
        <f t="shared" si="11"/>
        <v>2.924863975621292</v>
      </c>
      <c r="M62">
        <v>62</v>
      </c>
      <c r="O62">
        <f t="shared" si="12"/>
        <v>3.5497270805411647</v>
      </c>
      <c r="P62">
        <f t="shared" si="13"/>
        <v>4.196729302792586</v>
      </c>
    </row>
    <row r="63" spans="1:16" x14ac:dyDescent="0.35">
      <c r="A63">
        <v>63</v>
      </c>
      <c r="B63">
        <f t="shared" si="0"/>
        <v>-2.3609163228380163</v>
      </c>
      <c r="C63">
        <f t="shared" si="1"/>
        <v>-0.71043772595604548</v>
      </c>
      <c r="D63">
        <f t="shared" si="2"/>
        <v>-0.70376007100318139</v>
      </c>
      <c r="E63">
        <v>63</v>
      </c>
      <c r="F63">
        <f t="shared" si="3"/>
        <v>-2.3609163228380163</v>
      </c>
      <c r="G63">
        <f t="shared" si="4"/>
        <v>-0.50235533363427021</v>
      </c>
      <c r="H63">
        <f t="shared" si="5"/>
        <v>-0.49763351853467608</v>
      </c>
      <c r="I63">
        <v>63</v>
      </c>
      <c r="K63">
        <f t="shared" si="10"/>
        <v>3.6099623809683337</v>
      </c>
      <c r="L63">
        <f t="shared" si="11"/>
        <v>2.9618726375514308</v>
      </c>
      <c r="M63">
        <v>63</v>
      </c>
      <c r="O63">
        <f t="shared" si="12"/>
        <v>3.5902397347927062</v>
      </c>
      <c r="P63">
        <f t="shared" si="13"/>
        <v>4.2379678464953381</v>
      </c>
    </row>
    <row r="64" spans="1:16" x14ac:dyDescent="0.35">
      <c r="A64">
        <v>64</v>
      </c>
      <c r="B64">
        <f t="shared" si="0"/>
        <v>-2.3483247691162137</v>
      </c>
      <c r="C64">
        <f t="shared" si="1"/>
        <v>-0.70152020915121371</v>
      </c>
      <c r="D64">
        <f t="shared" si="2"/>
        <v>-0.71264956055023099</v>
      </c>
      <c r="E64">
        <v>64</v>
      </c>
      <c r="F64">
        <f t="shared" si="3"/>
        <v>-2.3483247691162137</v>
      </c>
      <c r="G64">
        <f t="shared" si="4"/>
        <v>-0.49604969703022866</v>
      </c>
      <c r="H64">
        <f t="shared" si="5"/>
        <v>-0.50391933687468182</v>
      </c>
      <c r="I64">
        <v>64</v>
      </c>
      <c r="K64">
        <f t="shared" si="10"/>
        <v>3.647657514337642</v>
      </c>
      <c r="L64">
        <f t="shared" si="11"/>
        <v>2.9988616107100867</v>
      </c>
      <c r="M64">
        <v>64</v>
      </c>
      <c r="O64">
        <f t="shared" si="12"/>
        <v>3.6307523890442468</v>
      </c>
      <c r="P64">
        <f t="shared" si="13"/>
        <v>4.2792291703278504</v>
      </c>
    </row>
    <row r="65" spans="1:16" x14ac:dyDescent="0.35">
      <c r="A65">
        <v>65</v>
      </c>
      <c r="B65">
        <f t="shared" ref="B65:B128" si="14">-3.14159265358979+(A65-1)*0.0125915537218028</f>
        <v>-2.335733215394411</v>
      </c>
      <c r="C65">
        <f t="shared" ref="C65:C128" si="15">1*COS(B65)+0</f>
        <v>-0.69249146973336373</v>
      </c>
      <c r="D65">
        <f t="shared" ref="D65:D128" si="16">1*SIN(B65)+0+0*COS(B65)</f>
        <v>-0.72142606297979406</v>
      </c>
      <c r="E65">
        <v>65</v>
      </c>
      <c r="F65">
        <f t="shared" ref="F65:F128" si="17">-3.14159265358979+(E65-1)*0.0125915537218028</f>
        <v>-2.335733215394411</v>
      </c>
      <c r="G65">
        <f t="shared" ref="G65:G128" si="18">0.707106781186548*COS(F65)+0</f>
        <v>-0.48966541416230064</v>
      </c>
      <c r="H65">
        <f t="shared" ref="H65:H128" si="19">0.707106781186548*SIN(F65)+0+0*COS(F65)</f>
        <v>-0.51012526125772606</v>
      </c>
      <c r="I65">
        <v>65</v>
      </c>
      <c r="K65">
        <f t="shared" ref="K65:K70" si="20">1.2728641120712+(I65-1)*0.0376951333693086</f>
        <v>3.6853526477069507</v>
      </c>
      <c r="L65">
        <f t="shared" ref="L65:L96" si="21">0+1*K65-0.634761727609482*(1.0042735042735+(K65-2.32562268468297)^2/43.225362742323)^0.5</f>
        <v>3.0358309593141763</v>
      </c>
      <c r="M65">
        <v>65</v>
      </c>
      <c r="O65">
        <f t="shared" ref="O65:O70" si="22">1.07845517119717+(M65-1)*0.0405126542515409</f>
        <v>3.6712650432957874</v>
      </c>
      <c r="P65">
        <f t="shared" ref="P65:P96" si="23">0+1*O65+0.634761727609482*(1.0042735042735+(O65-2.32562268468297)^2/43.225362742323)^0.5</f>
        <v>4.3205131954845584</v>
      </c>
    </row>
    <row r="66" spans="1:16" x14ac:dyDescent="0.35">
      <c r="A66">
        <v>66</v>
      </c>
      <c r="B66">
        <f t="shared" si="14"/>
        <v>-2.3231416616726079</v>
      </c>
      <c r="C66">
        <f t="shared" si="15"/>
        <v>-0.68335293916516338</v>
      </c>
      <c r="D66">
        <f t="shared" si="16"/>
        <v>-0.73008818682014875</v>
      </c>
      <c r="E66">
        <v>66</v>
      </c>
      <c r="F66">
        <f t="shared" si="17"/>
        <v>-2.3231416616726079</v>
      </c>
      <c r="G66">
        <f t="shared" si="18"/>
        <v>-0.48320349722744566</v>
      </c>
      <c r="H66">
        <f t="shared" si="19"/>
        <v>-0.51625030776471847</v>
      </c>
      <c r="I66">
        <v>66</v>
      </c>
      <c r="K66">
        <f t="shared" si="20"/>
        <v>3.7230477810762594</v>
      </c>
      <c r="L66">
        <f t="shared" si="21"/>
        <v>3.0727807490745587</v>
      </c>
      <c r="M66">
        <v>66</v>
      </c>
      <c r="O66">
        <f t="shared" si="22"/>
        <v>3.7117776975473289</v>
      </c>
      <c r="P66">
        <f t="shared" si="23"/>
        <v>4.3618198411500559</v>
      </c>
    </row>
    <row r="67" spans="1:16" x14ac:dyDescent="0.35">
      <c r="A67">
        <v>67</v>
      </c>
      <c r="B67">
        <f t="shared" si="14"/>
        <v>-2.3105501079508053</v>
      </c>
      <c r="C67">
        <f t="shared" si="15"/>
        <v>-0.67410606631613368</v>
      </c>
      <c r="D67">
        <f t="shared" si="16"/>
        <v>-0.73863455873374106</v>
      </c>
      <c r="E67">
        <v>67</v>
      </c>
      <c r="F67">
        <f t="shared" si="17"/>
        <v>-2.3105501079508053</v>
      </c>
      <c r="G67">
        <f t="shared" si="18"/>
        <v>-0.47666497073112696</v>
      </c>
      <c r="H67">
        <f t="shared" si="19"/>
        <v>-0.52229350529936192</v>
      </c>
      <c r="I67">
        <v>67</v>
      </c>
      <c r="K67">
        <f t="shared" si="20"/>
        <v>3.7607429144455677</v>
      </c>
      <c r="L67">
        <f t="shared" si="21"/>
        <v>3.1097110471679379</v>
      </c>
      <c r="M67">
        <v>67</v>
      </c>
      <c r="O67">
        <f t="shared" si="22"/>
        <v>3.7522903517988695</v>
      </c>
      <c r="P67">
        <f t="shared" si="23"/>
        <v>4.4031490245391423</v>
      </c>
    </row>
    <row r="68" spans="1:16" x14ac:dyDescent="0.35">
      <c r="A68">
        <v>68</v>
      </c>
      <c r="B68">
        <f t="shared" si="14"/>
        <v>-2.2979585542290026</v>
      </c>
      <c r="C68">
        <f t="shared" si="15"/>
        <v>-0.66475231723293549</v>
      </c>
      <c r="D68">
        <f t="shared" si="16"/>
        <v>-0.74706382373492208</v>
      </c>
      <c r="E68">
        <v>68</v>
      </c>
      <c r="F68">
        <f t="shared" si="17"/>
        <v>-2.2979585542290026</v>
      </c>
      <c r="G68">
        <f t="shared" si="18"/>
        <v>-0.47005087132488005</v>
      </c>
      <c r="H68">
        <f t="shared" si="19"/>
        <v>-0.52825389574211545</v>
      </c>
      <c r="I68">
        <v>68</v>
      </c>
      <c r="K68">
        <f t="shared" si="20"/>
        <v>3.7984380478148765</v>
      </c>
      <c r="L68">
        <f t="shared" si="21"/>
        <v>3.1466219222083605</v>
      </c>
      <c r="M68">
        <v>68</v>
      </c>
      <c r="O68">
        <f t="shared" si="22"/>
        <v>3.7928030060504101</v>
      </c>
      <c r="P68">
        <f t="shared" si="23"/>
        <v>4.4445006609375017</v>
      </c>
    </row>
    <row r="69" spans="1:16" x14ac:dyDescent="0.35">
      <c r="A69">
        <v>69</v>
      </c>
      <c r="B69">
        <f t="shared" si="14"/>
        <v>-2.2853670005071995</v>
      </c>
      <c r="C69">
        <f t="shared" si="15"/>
        <v>-0.65529317490693662</v>
      </c>
      <c r="D69">
        <f t="shared" si="16"/>
        <v>-0.75537464540477328</v>
      </c>
      <c r="E69">
        <v>69</v>
      </c>
      <c r="F69">
        <f t="shared" si="17"/>
        <v>-2.2853670005071995</v>
      </c>
      <c r="G69">
        <f t="shared" si="18"/>
        <v>-0.46336224764195755</v>
      </c>
      <c r="H69">
        <f t="shared" si="19"/>
        <v>-0.53413053410209932</v>
      </c>
      <c r="I69">
        <v>69</v>
      </c>
      <c r="K69">
        <f t="shared" si="20"/>
        <v>3.8361331811841852</v>
      </c>
      <c r="L69">
        <f t="shared" si="21"/>
        <v>3.1835134442183333</v>
      </c>
      <c r="M69">
        <v>69</v>
      </c>
      <c r="O69">
        <f t="shared" si="22"/>
        <v>3.8333156603019516</v>
      </c>
      <c r="P69">
        <f t="shared" si="23"/>
        <v>4.4858746637429778</v>
      </c>
    </row>
    <row r="70" spans="1:16" x14ac:dyDescent="0.35">
      <c r="A70">
        <v>70</v>
      </c>
      <c r="B70">
        <f t="shared" si="14"/>
        <v>-2.2727754467853969</v>
      </c>
      <c r="C70">
        <f t="shared" si="15"/>
        <v>-0.64573013903909071</v>
      </c>
      <c r="D70">
        <f t="shared" si="16"/>
        <v>-0.76356570610298924</v>
      </c>
      <c r="E70">
        <v>70</v>
      </c>
      <c r="F70">
        <f t="shared" si="17"/>
        <v>-2.2727754467853969</v>
      </c>
      <c r="G70">
        <f t="shared" si="18"/>
        <v>-0.45660016013107352</v>
      </c>
      <c r="H70">
        <f t="shared" si="19"/>
        <v>-0.5399224886669185</v>
      </c>
      <c r="I70">
        <v>70</v>
      </c>
      <c r="K70">
        <f t="shared" si="20"/>
        <v>3.8738283145534935</v>
      </c>
      <c r="L70">
        <f t="shared" si="21"/>
        <v>3.2203856845995995</v>
      </c>
      <c r="M70">
        <v>70</v>
      </c>
      <c r="O70">
        <f t="shared" si="22"/>
        <v>3.8738283145534922</v>
      </c>
      <c r="P70">
        <f t="shared" si="23"/>
        <v>4.5272709445073858</v>
      </c>
    </row>
    <row r="71" spans="1:16" x14ac:dyDescent="0.35">
      <c r="A71">
        <v>71</v>
      </c>
      <c r="B71">
        <f t="shared" si="14"/>
        <v>-2.2601838930635942</v>
      </c>
      <c r="C71">
        <f t="shared" si="15"/>
        <v>-0.63606472580216611</v>
      </c>
      <c r="D71">
        <f t="shared" si="16"/>
        <v>-0.77163570717678376</v>
      </c>
      <c r="E71">
        <v>71</v>
      </c>
      <c r="F71">
        <f t="shared" si="17"/>
        <v>-2.2601838930635942</v>
      </c>
      <c r="G71">
        <f t="shared" si="18"/>
        <v>-0.44976568088827396</v>
      </c>
      <c r="H71">
        <f t="shared" si="19"/>
        <v>-0.54562884115038124</v>
      </c>
    </row>
    <row r="72" spans="1:16" x14ac:dyDescent="0.35">
      <c r="A72">
        <v>72</v>
      </c>
      <c r="B72">
        <f t="shared" si="14"/>
        <v>-2.2475923393417911</v>
      </c>
      <c r="C72">
        <f t="shared" si="15"/>
        <v>-0.62629846760036412</v>
      </c>
      <c r="D72">
        <f t="shared" si="16"/>
        <v>-0.77958336916678495</v>
      </c>
      <c r="E72">
        <v>72</v>
      </c>
      <c r="F72">
        <f t="shared" si="17"/>
        <v>-2.2475923393417911</v>
      </c>
      <c r="G72">
        <f t="shared" si="18"/>
        <v>-0.44285989348696098</v>
      </c>
      <c r="H72">
        <f t="shared" si="19"/>
        <v>-0.5512486868380897</v>
      </c>
    </row>
    <row r="73" spans="1:16" x14ac:dyDescent="0.35">
      <c r="A73">
        <v>73</v>
      </c>
      <c r="B73">
        <f t="shared" si="14"/>
        <v>-2.2350007856199885</v>
      </c>
      <c r="C73">
        <f t="shared" si="15"/>
        <v>-0.61643291282636525</v>
      </c>
      <c r="D73">
        <f t="shared" si="16"/>
        <v>-0.78740743200988572</v>
      </c>
      <c r="E73">
        <v>73</v>
      </c>
      <c r="F73">
        <f t="shared" si="17"/>
        <v>-2.2350007856199885</v>
      </c>
      <c r="G73">
        <f t="shared" si="18"/>
        <v>-0.43588389280609907</v>
      </c>
      <c r="H73">
        <f t="shared" si="19"/>
        <v>-0.55678113473087598</v>
      </c>
    </row>
    <row r="74" spans="1:16" x14ac:dyDescent="0.35">
      <c r="A74">
        <v>74</v>
      </c>
      <c r="B74">
        <f t="shared" si="14"/>
        <v>-2.2224092318981858</v>
      </c>
      <c r="C74">
        <f t="shared" si="15"/>
        <v>-0.60646962561583695</v>
      </c>
      <c r="D74">
        <f t="shared" si="16"/>
        <v>-0.79510665523902302</v>
      </c>
      <c r="E74">
        <v>74</v>
      </c>
      <c r="F74">
        <f t="shared" si="17"/>
        <v>-2.2224092318981858</v>
      </c>
      <c r="G74">
        <f t="shared" si="18"/>
        <v>-0.4288387848566253</v>
      </c>
      <c r="H74">
        <f t="shared" si="19"/>
        <v>-0.56222530768606793</v>
      </c>
    </row>
    <row r="75" spans="1:16" x14ac:dyDescent="0.35">
      <c r="A75">
        <v>75</v>
      </c>
      <c r="B75">
        <f t="shared" si="14"/>
        <v>-2.2098176781763827</v>
      </c>
      <c r="C75">
        <f t="shared" si="15"/>
        <v>-0.59641018559944858</v>
      </c>
      <c r="D75">
        <f t="shared" si="16"/>
        <v>-0.80267981817984635</v>
      </c>
      <c r="E75">
        <v>75</v>
      </c>
      <c r="F75">
        <f t="shared" si="17"/>
        <v>-2.2098176781763827</v>
      </c>
      <c r="G75">
        <f t="shared" si="18"/>
        <v>-0.42172568660609777</v>
      </c>
      <c r="H75">
        <f t="shared" si="19"/>
        <v>-0.56758034255655476</v>
      </c>
    </row>
    <row r="76" spans="1:16" x14ac:dyDescent="0.35">
      <c r="A76">
        <v>76</v>
      </c>
      <c r="B76">
        <f t="shared" si="14"/>
        <v>-2.1972261244545801</v>
      </c>
      <c r="C76">
        <f t="shared" si="15"/>
        <v>-0.58625618765242993</v>
      </c>
      <c r="D76">
        <f t="shared" si="16"/>
        <v>-0.81012572014424955</v>
      </c>
      <c r="E76">
        <v>76</v>
      </c>
      <c r="F76">
        <f t="shared" si="17"/>
        <v>-2.1972261244545801</v>
      </c>
      <c r="G76">
        <f t="shared" si="18"/>
        <v>-0.41454572580160659</v>
      </c>
      <c r="H76">
        <f t="shared" si="19"/>
        <v>-0.57284539032763448</v>
      </c>
    </row>
    <row r="77" spans="1:16" x14ac:dyDescent="0.35">
      <c r="A77">
        <v>77</v>
      </c>
      <c r="B77">
        <f t="shared" si="14"/>
        <v>-2.1846345707327774</v>
      </c>
      <c r="C77">
        <f t="shared" si="15"/>
        <v>-0.57600924164170875</v>
      </c>
      <c r="D77">
        <f t="shared" si="16"/>
        <v>-0.81744318062073507</v>
      </c>
      <c r="E77">
        <v>77</v>
      </c>
      <c r="F77">
        <f t="shared" si="17"/>
        <v>-2.1846345707327774</v>
      </c>
      <c r="G77">
        <f t="shared" si="18"/>
        <v>-0.40730004079097321</v>
      </c>
      <c r="H77">
        <f t="shared" si="19"/>
        <v>-0.5780196162516219</v>
      </c>
    </row>
    <row r="78" spans="1:16" x14ac:dyDescent="0.35">
      <c r="A78">
        <v>78</v>
      </c>
      <c r="B78">
        <f t="shared" si="14"/>
        <v>-2.1720430170109744</v>
      </c>
      <c r="C78">
        <f t="shared" si="15"/>
        <v>-0.56567097217067575</v>
      </c>
      <c r="D78">
        <f t="shared" si="16"/>
        <v>-0.8246310394615779</v>
      </c>
      <c r="E78">
        <v>78</v>
      </c>
      <c r="F78">
        <f t="shared" si="17"/>
        <v>-2.1720430170109744</v>
      </c>
      <c r="G78">
        <f t="shared" si="18"/>
        <v>-0.39998978034227189</v>
      </c>
      <c r="H78">
        <f t="shared" si="19"/>
        <v>-0.58310219998019364</v>
      </c>
    </row>
    <row r="79" spans="1:16" x14ac:dyDescent="0.35">
      <c r="A79">
        <v>79</v>
      </c>
      <c r="B79">
        <f t="shared" si="14"/>
        <v>-2.1594514632891717</v>
      </c>
      <c r="C79">
        <f t="shared" si="15"/>
        <v>-0.55524301832161305</v>
      </c>
      <c r="D79">
        <f t="shared" si="16"/>
        <v>-0.83168815706676069</v>
      </c>
      <c r="E79">
        <v>79</v>
      </c>
      <c r="F79">
        <f t="shared" si="17"/>
        <v>-2.1594514632891717</v>
      </c>
      <c r="G79">
        <f t="shared" si="18"/>
        <v>-0.39261610346169928</v>
      </c>
      <c r="H79">
        <f t="shared" si="19"/>
        <v>-0.5880923356944493</v>
      </c>
    </row>
    <row r="80" spans="1:16" x14ac:dyDescent="0.35">
      <c r="A80">
        <v>80</v>
      </c>
      <c r="B80">
        <f t="shared" si="14"/>
        <v>-2.1468599095673691</v>
      </c>
      <c r="C80">
        <f t="shared" si="15"/>
        <v>-0.54472703339582262</v>
      </c>
      <c r="D80">
        <f t="shared" si="16"/>
        <v>-0.83861341456465288</v>
      </c>
      <c r="E80">
        <v>80</v>
      </c>
      <c r="F80">
        <f t="shared" si="17"/>
        <v>-2.1468599095673691</v>
      </c>
      <c r="G80">
        <f t="shared" si="18"/>
        <v>-0.3851801792098174</v>
      </c>
      <c r="H80">
        <f t="shared" si="19"/>
        <v>-0.59298923223267186</v>
      </c>
    </row>
    <row r="81" spans="1:8" x14ac:dyDescent="0.35">
      <c r="A81">
        <v>81</v>
      </c>
      <c r="B81">
        <f t="shared" si="14"/>
        <v>-2.134268355845566</v>
      </c>
      <c r="C81">
        <f t="shared" si="15"/>
        <v>-0.5341246846515052</v>
      </c>
      <c r="D81">
        <f t="shared" si="16"/>
        <v>-0.84540571398940179</v>
      </c>
      <c r="E81">
        <v>81</v>
      </c>
      <c r="F81">
        <f t="shared" si="17"/>
        <v>-2.134268355845566</v>
      </c>
      <c r="G81">
        <f t="shared" si="18"/>
        <v>-0.37768318651620586</v>
      </c>
      <c r="H81">
        <f t="shared" si="19"/>
        <v>-0.59779211321576131</v>
      </c>
    </row>
    <row r="82" spans="1:8" x14ac:dyDescent="0.35">
      <c r="A82">
        <v>82</v>
      </c>
      <c r="B82">
        <f t="shared" si="14"/>
        <v>-2.1216768021237633</v>
      </c>
      <c r="C82">
        <f t="shared" si="15"/>
        <v>-0.52343765303942535</v>
      </c>
      <c r="D82">
        <f t="shared" si="16"/>
        <v>-0.85206397845500914</v>
      </c>
      <c r="E82">
        <v>82</v>
      </c>
      <c r="F82">
        <f t="shared" si="17"/>
        <v>-2.1216768021237633</v>
      </c>
      <c r="G82">
        <f t="shared" si="18"/>
        <v>-0.37012631399254919</v>
      </c>
      <c r="H82">
        <f t="shared" si="19"/>
        <v>-0.60250021717032576</v>
      </c>
    </row>
    <row r="83" spans="1:8" x14ac:dyDescent="0.35">
      <c r="A83">
        <v>83</v>
      </c>
      <c r="B83">
        <f t="shared" si="14"/>
        <v>-2.1090852484019607</v>
      </c>
      <c r="C83">
        <f t="shared" si="15"/>
        <v>-0.51266763293640294</v>
      </c>
      <c r="D83">
        <f t="shared" si="16"/>
        <v>-0.85858715232606742</v>
      </c>
      <c r="E83">
        <v>83</v>
      </c>
      <c r="F83">
        <f t="shared" si="17"/>
        <v>-2.1090852484019607</v>
      </c>
      <c r="G83">
        <f t="shared" si="18"/>
        <v>-0.36251075974418662</v>
      </c>
      <c r="H83">
        <f t="shared" si="19"/>
        <v>-0.60711279764940995</v>
      </c>
    </row>
    <row r="84" spans="1:8" x14ac:dyDescent="0.35">
      <c r="A84">
        <v>84</v>
      </c>
      <c r="B84">
        <f t="shared" si="14"/>
        <v>-2.0964936946801576</v>
      </c>
      <c r="C84">
        <f t="shared" si="15"/>
        <v>-0.50181633187667907</v>
      </c>
      <c r="D84">
        <f t="shared" si="16"/>
        <v>-0.86497420138512493</v>
      </c>
      <c r="E84">
        <v>84</v>
      </c>
      <c r="F84">
        <f t="shared" si="17"/>
        <v>-2.0964936946801576</v>
      </c>
      <c r="G84">
        <f t="shared" si="18"/>
        <v>-0.35483773118015904</v>
      </c>
      <c r="H84">
        <f t="shared" si="19"/>
        <v>-0.61162912335084063</v>
      </c>
    </row>
    <row r="85" spans="1:8" x14ac:dyDescent="0.35">
      <c r="A85">
        <v>85</v>
      </c>
      <c r="B85">
        <f t="shared" si="14"/>
        <v>-2.0839021409583549</v>
      </c>
      <c r="C85">
        <f t="shared" si="15"/>
        <v>-0.4908854702811955</v>
      </c>
      <c r="D85">
        <f t="shared" si="16"/>
        <v>-0.8712241129966557</v>
      </c>
      <c r="E85">
        <v>85</v>
      </c>
      <c r="F85">
        <f t="shared" si="17"/>
        <v>-2.0839021409583549</v>
      </c>
      <c r="G85">
        <f t="shared" si="18"/>
        <v>-0.34710844482178105</v>
      </c>
      <c r="H85">
        <f t="shared" si="19"/>
        <v>-0.61604847823317066</v>
      </c>
    </row>
    <row r="86" spans="1:8" x14ac:dyDescent="0.35">
      <c r="A86">
        <v>86</v>
      </c>
      <c r="B86">
        <f t="shared" si="14"/>
        <v>-2.0713105872365523</v>
      </c>
      <c r="C86">
        <f t="shared" si="15"/>
        <v>-0.47987678118482874</v>
      </c>
      <c r="D86">
        <f t="shared" si="16"/>
        <v>-0.87733589626760855</v>
      </c>
      <c r="E86">
        <v>86</v>
      </c>
      <c r="F86">
        <f t="shared" si="17"/>
        <v>-2.0713105872365523</v>
      </c>
      <c r="G86">
        <f t="shared" si="18"/>
        <v>-0.3393241261097657</v>
      </c>
      <c r="H86">
        <f t="shared" si="19"/>
        <v>-0.62037016162920389</v>
      </c>
    </row>
    <row r="87" spans="1:8" x14ac:dyDescent="0.35">
      <c r="A87">
        <v>87</v>
      </c>
      <c r="B87">
        <f t="shared" si="14"/>
        <v>-2.0587190335147492</v>
      </c>
      <c r="C87">
        <f t="shared" si="15"/>
        <v>-0.4687920099616264</v>
      </c>
      <c r="D87">
        <f t="shared" si="16"/>
        <v>-0.88330858220450814</v>
      </c>
      <c r="E87">
        <v>87</v>
      </c>
      <c r="F87">
        <f t="shared" si="17"/>
        <v>-2.0587190335147492</v>
      </c>
      <c r="G87">
        <f t="shared" si="18"/>
        <v>-0.33148600920993782</v>
      </c>
      <c r="H87">
        <f t="shared" si="19"/>
        <v>-0.62459348835708306</v>
      </c>
    </row>
    <row r="88" spans="1:8" x14ac:dyDescent="0.35">
      <c r="A88">
        <v>88</v>
      </c>
      <c r="B88">
        <f t="shared" si="14"/>
        <v>-2.0461274797929465</v>
      </c>
      <c r="C88">
        <f t="shared" si="15"/>
        <v>-0.45763291404808787</v>
      </c>
      <c r="D88">
        <f t="shared" si="16"/>
        <v>-0.88914122386708372</v>
      </c>
      <c r="E88">
        <v>88</v>
      </c>
      <c r="F88">
        <f t="shared" si="17"/>
        <v>-2.0461274797929465</v>
      </c>
      <c r="G88">
        <f t="shared" si="18"/>
        <v>-0.32359533681756358</v>
      </c>
      <c r="H88">
        <f t="shared" si="19"/>
        <v>-0.62871778882892149</v>
      </c>
    </row>
    <row r="89" spans="1:8" x14ac:dyDescent="0.35">
      <c r="A89">
        <v>89</v>
      </c>
      <c r="B89">
        <f t="shared" si="14"/>
        <v>-2.0335359260711439</v>
      </c>
      <c r="C89">
        <f t="shared" si="15"/>
        <v>-0.44640126266452929</v>
      </c>
      <c r="D89">
        <f t="shared" si="16"/>
        <v>-0.89483289651840248</v>
      </c>
      <c r="E89">
        <v>89</v>
      </c>
      <c r="F89">
        <f t="shared" si="17"/>
        <v>-2.0335359260711439</v>
      </c>
      <c r="G89">
        <f t="shared" si="18"/>
        <v>-0.31565335996032606</v>
      </c>
      <c r="H89">
        <f t="shared" si="19"/>
        <v>-0.632742409156963</v>
      </c>
    </row>
    <row r="90" spans="1:8" x14ac:dyDescent="0.35">
      <c r="A90">
        <v>90</v>
      </c>
      <c r="B90">
        <f t="shared" si="14"/>
        <v>-2.0209443723493408</v>
      </c>
      <c r="C90">
        <f t="shared" si="15"/>
        <v>-0.43509883653458314</v>
      </c>
      <c r="D90">
        <f t="shared" si="16"/>
        <v>-0.90038269777148217</v>
      </c>
      <c r="E90">
        <v>90</v>
      </c>
      <c r="F90">
        <f t="shared" si="17"/>
        <v>-2.0209443723493408</v>
      </c>
      <c r="G90">
        <f t="shared" si="18"/>
        <v>-0.30766133779998112</v>
      </c>
      <c r="H90">
        <f t="shared" si="19"/>
        <v>-0.63666671125725327</v>
      </c>
    </row>
    <row r="91" spans="1:8" x14ac:dyDescent="0.35">
      <c r="A91">
        <v>91</v>
      </c>
      <c r="B91">
        <f t="shared" si="14"/>
        <v>-2.0083528186275381</v>
      </c>
      <c r="C91">
        <f t="shared" si="15"/>
        <v>-0.42372742760287452</v>
      </c>
      <c r="D91">
        <f t="shared" si="16"/>
        <v>-0.9057897477323591</v>
      </c>
      <c r="E91">
        <v>91</v>
      </c>
      <c r="F91">
        <f t="shared" si="17"/>
        <v>-2.0083528186275381</v>
      </c>
      <c r="G91">
        <f t="shared" si="18"/>
        <v>-0.29962053743272465</v>
      </c>
      <c r="H91">
        <f t="shared" si="19"/>
        <v>-0.64049007295080373</v>
      </c>
    </row>
    <row r="92" spans="1:8" x14ac:dyDescent="0.35">
      <c r="A92">
        <v>92</v>
      </c>
      <c r="B92">
        <f t="shared" si="14"/>
        <v>-1.9957612649057352</v>
      </c>
      <c r="C92">
        <f t="shared" si="15"/>
        <v>-0.41228883875091432</v>
      </c>
      <c r="D92">
        <f t="shared" si="16"/>
        <v>-0.91105318913959277</v>
      </c>
      <c r="E92">
        <v>92</v>
      </c>
      <c r="F92">
        <f t="shared" si="17"/>
        <v>-1.9957612649057352</v>
      </c>
      <c r="G92">
        <f t="shared" si="18"/>
        <v>-0.29153223368829873</v>
      </c>
      <c r="H92">
        <f t="shared" si="19"/>
        <v>-0.64421188806223673</v>
      </c>
    </row>
    <row r="93" spans="1:8" x14ac:dyDescent="0.35">
      <c r="A93">
        <v>93</v>
      </c>
      <c r="B93">
        <f t="shared" si="14"/>
        <v>-1.9831697111839324</v>
      </c>
      <c r="C93">
        <f t="shared" si="15"/>
        <v>-0.40078488351126368</v>
      </c>
      <c r="D93">
        <f t="shared" si="16"/>
        <v>-0.91617218750017881</v>
      </c>
      <c r="E93">
        <v>93</v>
      </c>
      <c r="F93">
        <f t="shared" si="17"/>
        <v>-1.9831697111839324</v>
      </c>
      <c r="G93">
        <f t="shared" si="18"/>
        <v>-0.28339770892787525</v>
      </c>
      <c r="H93">
        <f t="shared" si="19"/>
        <v>-0.64783156651589002</v>
      </c>
    </row>
    <row r="94" spans="1:8" x14ac:dyDescent="0.35">
      <c r="A94">
        <v>94</v>
      </c>
      <c r="B94">
        <f t="shared" si="14"/>
        <v>-1.9705781574621297</v>
      </c>
      <c r="C94">
        <f t="shared" si="15"/>
        <v>-0.38921738578000598</v>
      </c>
      <c r="D94">
        <f t="shared" si="16"/>
        <v>-0.92114593122185473</v>
      </c>
      <c r="E94">
        <v>94</v>
      </c>
      <c r="F94">
        <f t="shared" si="17"/>
        <v>-1.9705781574621297</v>
      </c>
      <c r="G94">
        <f t="shared" si="18"/>
        <v>-0.27521825284074292</v>
      </c>
      <c r="H94">
        <f t="shared" si="19"/>
        <v>-0.65134853442937102</v>
      </c>
    </row>
    <row r="95" spans="1:8" x14ac:dyDescent="0.35">
      <c r="A95">
        <v>95</v>
      </c>
      <c r="B95">
        <f t="shared" si="14"/>
        <v>-1.9579866037403268</v>
      </c>
      <c r="C95">
        <f t="shared" si="15"/>
        <v>-0.37758817952757667</v>
      </c>
      <c r="D95">
        <f t="shared" si="16"/>
        <v>-0.92597363174177405</v>
      </c>
      <c r="E95">
        <v>95</v>
      </c>
      <c r="F95">
        <f t="shared" si="17"/>
        <v>-1.9579866037403268</v>
      </c>
      <c r="G95">
        <f t="shared" si="18"/>
        <v>-0.26699516223983316</v>
      </c>
      <c r="H95">
        <f t="shared" si="19"/>
        <v>-0.65476223420454382</v>
      </c>
    </row>
    <row r="96" spans="1:8" x14ac:dyDescent="0.35">
      <c r="A96">
        <v>96</v>
      </c>
      <c r="B96">
        <f t="shared" si="14"/>
        <v>-1.945395050018524</v>
      </c>
      <c r="C96">
        <f t="shared" si="15"/>
        <v>-0.36589910850799745</v>
      </c>
      <c r="D96">
        <f t="shared" si="16"/>
        <v>-0.93065452365152812</v>
      </c>
      <c r="E96">
        <v>96</v>
      </c>
      <c r="F96">
        <f t="shared" si="17"/>
        <v>-1.945395050018524</v>
      </c>
      <c r="G96">
        <f t="shared" si="18"/>
        <v>-0.25872974085611755</v>
      </c>
      <c r="H96">
        <f t="shared" si="19"/>
        <v>-0.65807212461593212</v>
      </c>
    </row>
    <row r="97" spans="1:8" x14ac:dyDescent="0.35">
      <c r="A97">
        <v>97</v>
      </c>
      <c r="B97">
        <f t="shared" si="14"/>
        <v>-1.9328034962967213</v>
      </c>
      <c r="C97">
        <f t="shared" si="15"/>
        <v>-0.3541520259665572</v>
      </c>
      <c r="D97">
        <f t="shared" si="16"/>
        <v>-0.93518786481849892</v>
      </c>
      <c r="E97">
        <v>97</v>
      </c>
      <c r="F97">
        <f t="shared" si="17"/>
        <v>-1.9328034962967213</v>
      </c>
      <c r="G97">
        <f t="shared" si="18"/>
        <v>-0.25042329913190703</v>
      </c>
      <c r="H97">
        <f t="shared" si="19"/>
        <v>-0.66127768089652939</v>
      </c>
    </row>
    <row r="98" spans="1:8" x14ac:dyDescent="0.35">
      <c r="A98">
        <v>98</v>
      </c>
      <c r="B98">
        <f t="shared" si="14"/>
        <v>-1.9202119425749185</v>
      </c>
      <c r="C98">
        <f t="shared" si="15"/>
        <v>-0.34234879434598847</v>
      </c>
      <c r="D98">
        <f t="shared" si="16"/>
        <v>-0.93957293650352025</v>
      </c>
      <c r="E98">
        <v>98</v>
      </c>
      <c r="F98">
        <f t="shared" si="17"/>
        <v>-1.9202119425749185</v>
      </c>
      <c r="G98">
        <f t="shared" si="18"/>
        <v>-0.24207715401308741</v>
      </c>
      <c r="H98">
        <f t="shared" si="19"/>
        <v>-0.66437839482099703</v>
      </c>
    </row>
    <row r="99" spans="1:8" x14ac:dyDescent="0.35">
      <c r="A99">
        <v>99</v>
      </c>
      <c r="B99">
        <f t="shared" si="14"/>
        <v>-1.9076203888531156</v>
      </c>
      <c r="C99">
        <f t="shared" si="15"/>
        <v>-0.33049128499118763</v>
      </c>
      <c r="D99">
        <f t="shared" si="16"/>
        <v>-0.94380904347483008</v>
      </c>
      <c r="E99">
        <v>99</v>
      </c>
      <c r="F99">
        <f t="shared" si="17"/>
        <v>-1.9076203888531156</v>
      </c>
      <c r="G99">
        <f t="shared" si="18"/>
        <v>-0.23369262874032479</v>
      </c>
      <c r="H99">
        <f t="shared" si="19"/>
        <v>-0.66737377478624182</v>
      </c>
    </row>
    <row r="100" spans="1:8" x14ac:dyDescent="0.35">
      <c r="A100">
        <v>100</v>
      </c>
      <c r="B100">
        <f t="shared" si="14"/>
        <v>-1.8950288351313127</v>
      </c>
      <c r="C100">
        <f t="shared" si="15"/>
        <v>-0.31858137785252122</v>
      </c>
      <c r="D100">
        <f t="shared" si="16"/>
        <v>-0.9478955141182962</v>
      </c>
      <c r="E100">
        <v>100</v>
      </c>
      <c r="F100">
        <f t="shared" si="17"/>
        <v>-1.8950288351313127</v>
      </c>
      <c r="G100">
        <f t="shared" si="18"/>
        <v>-0.22527105263927169</v>
      </c>
      <c r="H100">
        <f t="shared" si="19"/>
        <v>-0.67026334588935654</v>
      </c>
    </row>
    <row r="101" spans="1:8" x14ac:dyDescent="0.35">
      <c r="A101">
        <v>101</v>
      </c>
      <c r="B101">
        <f t="shared" si="14"/>
        <v>-1.8824372814095101</v>
      </c>
      <c r="C101">
        <f t="shared" si="15"/>
        <v>-0.30662096118776938</v>
      </c>
      <c r="D101">
        <f t="shared" si="16"/>
        <v>-0.95183170054389787</v>
      </c>
      <c r="E101">
        <v>101</v>
      </c>
      <c r="F101">
        <f t="shared" si="17"/>
        <v>-1.8824372814095101</v>
      </c>
      <c r="G101">
        <f t="shared" si="18"/>
        <v>-0.21681376090980908</v>
      </c>
      <c r="H101">
        <f t="shared" si="19"/>
        <v>-0.67304665000291386</v>
      </c>
    </row>
    <row r="102" spans="1:8" x14ac:dyDescent="0.35">
      <c r="A102">
        <v>102</v>
      </c>
      <c r="B102">
        <f t="shared" si="14"/>
        <v>-1.8698457276877072</v>
      </c>
      <c r="C102">
        <f t="shared" si="15"/>
        <v>-0.2946119312627512</v>
      </c>
      <c r="D102">
        <f t="shared" si="16"/>
        <v>-0.95561697868844497</v>
      </c>
      <c r="E102">
        <v>102</v>
      </c>
      <c r="F102">
        <f t="shared" si="17"/>
        <v>-1.8698457276877072</v>
      </c>
      <c r="G102">
        <f t="shared" si="18"/>
        <v>-0.20832209441435653</v>
      </c>
      <c r="H102">
        <f t="shared" si="19"/>
        <v>-0.67572324584760035</v>
      </c>
    </row>
    <row r="103" spans="1:8" x14ac:dyDescent="0.35">
      <c r="A103">
        <v>103</v>
      </c>
      <c r="B103">
        <f t="shared" si="14"/>
        <v>-1.8572541739659043</v>
      </c>
      <c r="C103">
        <f t="shared" si="15"/>
        <v>-0.28255619205068194</v>
      </c>
      <c r="D103">
        <f t="shared" si="16"/>
        <v>-0.95925074841452074</v>
      </c>
      <c r="E103">
        <v>103</v>
      </c>
      <c r="F103">
        <f t="shared" si="17"/>
        <v>-1.8572541739659043</v>
      </c>
      <c r="G103">
        <f t="shared" si="18"/>
        <v>-0.1997973994652858</v>
      </c>
      <c r="H103">
        <f t="shared" si="19"/>
        <v>-0.67829270906217898</v>
      </c>
    </row>
    <row r="104" spans="1:8" x14ac:dyDescent="0.35">
      <c r="A104">
        <v>104</v>
      </c>
      <c r="B104">
        <f t="shared" si="14"/>
        <v>-1.8446626202441017</v>
      </c>
      <c r="C104">
        <f t="shared" si="15"/>
        <v>-0.27045565493030693</v>
      </c>
      <c r="D104">
        <f t="shared" si="16"/>
        <v>-0.96273243360562999</v>
      </c>
      <c r="E104">
        <v>104</v>
      </c>
      <c r="F104">
        <f t="shared" si="17"/>
        <v>-1.8446626202441017</v>
      </c>
      <c r="G104">
        <f t="shared" si="18"/>
        <v>-0.19124102761146908</v>
      </c>
      <c r="H104">
        <f t="shared" si="19"/>
        <v>-0.68075463227076904</v>
      </c>
    </row>
    <row r="105" spans="1:8" x14ac:dyDescent="0.35">
      <c r="A105">
        <v>105</v>
      </c>
      <c r="B105">
        <f t="shared" si="14"/>
        <v>-1.8320710665222988</v>
      </c>
      <c r="C105">
        <f t="shared" si="15"/>
        <v>-0.25831223838286105</v>
      </c>
      <c r="D105">
        <f t="shared" si="16"/>
        <v>-0.9660614822575404</v>
      </c>
      <c r="E105">
        <v>105</v>
      </c>
      <c r="F105">
        <f t="shared" si="17"/>
        <v>-1.8320710665222988</v>
      </c>
      <c r="G105">
        <f t="shared" si="18"/>
        <v>-0.18265433542399714</v>
      </c>
      <c r="H105">
        <f t="shared" si="19"/>
        <v>-0.68310862514743487</v>
      </c>
    </row>
    <row r="106" spans="1:8" x14ac:dyDescent="0.35">
      <c r="A106">
        <v>106</v>
      </c>
      <c r="B106">
        <f t="shared" si="14"/>
        <v>-1.8194795128004959</v>
      </c>
      <c r="C106">
        <f t="shared" si="15"/>
        <v>-0.24612786768790421</v>
      </c>
      <c r="D106">
        <f t="shared" si="16"/>
        <v>-0.96923736656579929</v>
      </c>
      <c r="E106">
        <v>106</v>
      </c>
      <c r="F106">
        <f t="shared" si="17"/>
        <v>-1.8194795128004959</v>
      </c>
      <c r="G106">
        <f t="shared" si="18"/>
        <v>-0.17403868428110253</v>
      </c>
      <c r="H106">
        <f t="shared" si="19"/>
        <v>-0.68535431447806872</v>
      </c>
    </row>
    <row r="107" spans="1:8" x14ac:dyDescent="0.35">
      <c r="A107">
        <v>107</v>
      </c>
      <c r="B107">
        <f t="shared" si="14"/>
        <v>-1.8068879590786933</v>
      </c>
      <c r="C107">
        <f t="shared" si="15"/>
        <v>-0.2339044746180769</v>
      </c>
      <c r="D107">
        <f t="shared" si="16"/>
        <v>-0.97225958300941495</v>
      </c>
      <c r="E107">
        <v>107</v>
      </c>
      <c r="F107">
        <f t="shared" si="17"/>
        <v>-1.8068879590786933</v>
      </c>
      <c r="G107">
        <f t="shared" si="18"/>
        <v>-0.16539544015231897</v>
      </c>
      <c r="H107">
        <f t="shared" si="19"/>
        <v>-0.68749134421956282</v>
      </c>
    </row>
    <row r="108" spans="1:8" x14ac:dyDescent="0.35">
      <c r="A108">
        <v>108</v>
      </c>
      <c r="B108">
        <f t="shared" si="14"/>
        <v>-1.7942964053568904</v>
      </c>
      <c r="C108">
        <f t="shared" si="15"/>
        <v>-0.22164399713282656</v>
      </c>
      <c r="D108">
        <f t="shared" si="16"/>
        <v>-0.97512765243068744</v>
      </c>
      <c r="E108">
        <v>108</v>
      </c>
      <c r="F108">
        <f t="shared" si="17"/>
        <v>-1.7942964053568904</v>
      </c>
      <c r="G108">
        <f t="shared" si="18"/>
        <v>-0.15672597338191346</v>
      </c>
      <c r="H108">
        <f t="shared" si="19"/>
        <v>-0.68951937555625831</v>
      </c>
    </row>
    <row r="109" spans="1:8" x14ac:dyDescent="0.35">
      <c r="A109">
        <v>109</v>
      </c>
      <c r="B109">
        <f t="shared" si="14"/>
        <v>-1.7817048516350875</v>
      </c>
      <c r="C109">
        <f t="shared" si="15"/>
        <v>-0.20934837907115472</v>
      </c>
      <c r="D109">
        <f t="shared" si="16"/>
        <v>-0.97784112011117641</v>
      </c>
      <c r="E109">
        <v>109</v>
      </c>
      <c r="F109">
        <f t="shared" si="17"/>
        <v>-1.7817048516350875</v>
      </c>
      <c r="G109">
        <f t="shared" si="18"/>
        <v>-0.1480316584716255</v>
      </c>
      <c r="H109">
        <f t="shared" si="19"/>
        <v>-0.6914380869536626</v>
      </c>
    </row>
    <row r="110" spans="1:8" x14ac:dyDescent="0.35">
      <c r="A110">
        <v>110</v>
      </c>
      <c r="B110">
        <f t="shared" si="14"/>
        <v>-1.7691132979132849</v>
      </c>
      <c r="C110">
        <f t="shared" si="15"/>
        <v>-0.19701956984343019</v>
      </c>
      <c r="D110">
        <f t="shared" si="16"/>
        <v>-0.98039955584379457</v>
      </c>
      <c r="E110">
        <v>110</v>
      </c>
      <c r="F110">
        <f t="shared" si="17"/>
        <v>-1.7691132979132849</v>
      </c>
      <c r="G110">
        <f t="shared" si="18"/>
        <v>-0.13931387386274621</v>
      </c>
      <c r="H110">
        <f t="shared" si="19"/>
        <v>-0.69324717420942694</v>
      </c>
    </row>
    <row r="111" spans="1:8" x14ac:dyDescent="0.35">
      <c r="A111">
        <v>111</v>
      </c>
      <c r="B111">
        <f t="shared" si="14"/>
        <v>-1.756521744191482</v>
      </c>
      <c r="C111">
        <f t="shared" si="15"/>
        <v>-0.18465952412231887</v>
      </c>
      <c r="D111">
        <f t="shared" si="16"/>
        <v>-0.98280255400101535</v>
      </c>
      <c r="E111">
        <v>111</v>
      </c>
      <c r="F111">
        <f t="shared" si="17"/>
        <v>-1.756521744191482</v>
      </c>
      <c r="G111">
        <f t="shared" si="18"/>
        <v>-0.13057400171757261</v>
      </c>
      <c r="H111">
        <f t="shared" si="19"/>
        <v>-0.69494635050157649</v>
      </c>
    </row>
    <row r="112" spans="1:8" x14ac:dyDescent="0.35">
      <c r="A112">
        <v>112</v>
      </c>
      <c r="B112">
        <f t="shared" si="14"/>
        <v>-1.7439301904696791</v>
      </c>
      <c r="C112">
        <f t="shared" si="15"/>
        <v>-0.17227020153288122</v>
      </c>
      <c r="D112">
        <f t="shared" si="16"/>
        <v>-0.98504973359918258</v>
      </c>
      <c r="E112">
        <v>112</v>
      </c>
      <c r="F112">
        <f t="shared" si="17"/>
        <v>-1.7439301904696791</v>
      </c>
      <c r="G112">
        <f t="shared" si="18"/>
        <v>-0.12181342770027358</v>
      </c>
      <c r="H112">
        <f t="shared" si="19"/>
        <v>-0.69653534643398463</v>
      </c>
    </row>
    <row r="113" spans="1:8" x14ac:dyDescent="0.35">
      <c r="A113">
        <v>113</v>
      </c>
      <c r="B113">
        <f t="shared" si="14"/>
        <v>-1.7313386367478765</v>
      </c>
      <c r="C113">
        <f t="shared" si="15"/>
        <v>-0.15985356634188264</v>
      </c>
      <c r="D113">
        <f t="shared" si="16"/>
        <v>-0.98714073835891369</v>
      </c>
      <c r="E113">
        <v>113</v>
      </c>
      <c r="F113">
        <f t="shared" si="17"/>
        <v>-1.7313386367478765</v>
      </c>
      <c r="G113">
        <f t="shared" si="18"/>
        <v>-0.11303354075719894</v>
      </c>
      <c r="H113">
        <f t="shared" si="19"/>
        <v>-0.69801391007908387</v>
      </c>
    </row>
    <row r="114" spans="1:8" x14ac:dyDescent="0.35">
      <c r="A114">
        <v>114</v>
      </c>
      <c r="B114">
        <f t="shared" si="14"/>
        <v>-1.7187470830260736</v>
      </c>
      <c r="C114">
        <f t="shared" si="15"/>
        <v>-0.14741158714636779</v>
      </c>
      <c r="D114">
        <f t="shared" si="16"/>
        <v>-0.98907523676158671</v>
      </c>
      <c r="E114">
        <v>114</v>
      </c>
      <c r="F114">
        <f t="shared" si="17"/>
        <v>-1.7187470830260736</v>
      </c>
      <c r="G114">
        <f t="shared" si="18"/>
        <v>-0.10423573289666845</v>
      </c>
      <c r="H114">
        <f t="shared" si="19"/>
        <v>-0.6993818070178085</v>
      </c>
    </row>
    <row r="115" spans="1:8" x14ac:dyDescent="0.35">
      <c r="A115">
        <v>115</v>
      </c>
      <c r="B115">
        <f t="shared" si="14"/>
        <v>-1.7061555293042707</v>
      </c>
      <c r="C115">
        <f t="shared" si="15"/>
        <v>-0.13494623656155053</v>
      </c>
      <c r="D115">
        <f t="shared" si="16"/>
        <v>-0.99085292210190001</v>
      </c>
      <c r="E115">
        <v>115</v>
      </c>
      <c r="F115">
        <f t="shared" si="17"/>
        <v>-1.7061555293042707</v>
      </c>
      <c r="G115">
        <f t="shared" si="18"/>
        <v>-9.542139896827645E-2</v>
      </c>
      <c r="H115">
        <f t="shared" si="19"/>
        <v>-0.70063882037675995</v>
      </c>
    </row>
    <row r="116" spans="1:8" x14ac:dyDescent="0.35">
      <c r="A116">
        <v>116</v>
      </c>
      <c r="B116">
        <f t="shared" si="14"/>
        <v>-1.6935639755824681</v>
      </c>
      <c r="C116">
        <f t="shared" si="15"/>
        <v>-0.1224594909080647</v>
      </c>
      <c r="D116">
        <f t="shared" si="16"/>
        <v>-0.99247351253649974</v>
      </c>
      <c r="E116">
        <v>116</v>
      </c>
      <c r="F116">
        <f t="shared" si="17"/>
        <v>-1.6935639755824681</v>
      </c>
      <c r="G116">
        <f t="shared" si="18"/>
        <v>-8.6591936441744968E-2</v>
      </c>
      <c r="H116">
        <f t="shared" si="19"/>
        <v>-0.7017847508625914</v>
      </c>
    </row>
    <row r="117" spans="1:8" x14ac:dyDescent="0.35">
      <c r="A117">
        <v>117</v>
      </c>
      <c r="B117">
        <f t="shared" si="14"/>
        <v>-1.6809724218606652</v>
      </c>
      <c r="C117">
        <f t="shared" si="15"/>
        <v>-0.1099533298986274</v>
      </c>
      <c r="D117">
        <f t="shared" si="16"/>
        <v>-0.99393675112866398</v>
      </c>
      <c r="E117">
        <v>117</v>
      </c>
      <c r="F117">
        <f t="shared" si="17"/>
        <v>-1.6809724218606652</v>
      </c>
      <c r="G117">
        <f t="shared" si="18"/>
        <v>-7.7748745185361054E-2</v>
      </c>
      <c r="H117">
        <f t="shared" si="19"/>
        <v>-0.7028194167936046</v>
      </c>
    </row>
    <row r="118" spans="1:8" x14ac:dyDescent="0.35">
      <c r="A118">
        <v>118</v>
      </c>
      <c r="B118">
        <f t="shared" si="14"/>
        <v>-1.6683808681388623</v>
      </c>
      <c r="C118">
        <f t="shared" si="15"/>
        <v>-9.7429736324166516E-2</v>
      </c>
      <c r="D118">
        <f t="shared" si="16"/>
        <v>-0.99524240588903934</v>
      </c>
      <c r="E118">
        <v>118</v>
      </c>
      <c r="F118">
        <f t="shared" si="17"/>
        <v>-1.6683808681388623</v>
      </c>
      <c r="G118">
        <f t="shared" si="18"/>
        <v>-6.8893227244035488E-2</v>
      </c>
      <c r="H118">
        <f t="shared" si="19"/>
        <v>-0.70374265412855452</v>
      </c>
    </row>
    <row r="119" spans="1:8" x14ac:dyDescent="0.35">
      <c r="A119">
        <v>119</v>
      </c>
      <c r="B119">
        <f t="shared" si="14"/>
        <v>-1.6557893144170597</v>
      </c>
      <c r="C119">
        <f t="shared" si="15"/>
        <v>-8.4890695739458288E-2</v>
      </c>
      <c r="D119">
        <f t="shared" si="16"/>
        <v>-0.99639026981242185</v>
      </c>
      <c r="E119">
        <v>119</v>
      </c>
      <c r="F119">
        <f t="shared" si="17"/>
        <v>-1.6557893144170597</v>
      </c>
      <c r="G119">
        <f t="shared" si="18"/>
        <v>-6.0026786617014959E-2</v>
      </c>
      <c r="H119">
        <f t="shared" si="19"/>
        <v>-0.70455431649265776</v>
      </c>
    </row>
    <row r="120" spans="1:8" x14ac:dyDescent="0.35">
      <c r="A120">
        <v>120</v>
      </c>
      <c r="B120">
        <f t="shared" si="14"/>
        <v>-1.6431977606952568</v>
      </c>
      <c r="C120">
        <f t="shared" si="15"/>
        <v>-7.2338196148326483E-2</v>
      </c>
      <c r="D120">
        <f t="shared" si="16"/>
        <v>-0.99738016091057591</v>
      </c>
      <c r="E120">
        <v>120</v>
      </c>
      <c r="F120">
        <f t="shared" si="17"/>
        <v>-1.6431977606952568</v>
      </c>
      <c r="G120">
        <f t="shared" si="18"/>
        <v>-5.1150829035284284E-2</v>
      </c>
      <c r="H120">
        <f t="shared" si="19"/>
        <v>-0.70525427520079864</v>
      </c>
    </row>
    <row r="121" spans="1:8" x14ac:dyDescent="0.35">
      <c r="A121">
        <v>121</v>
      </c>
      <c r="B121">
        <f t="shared" si="14"/>
        <v>-1.6306062069734539</v>
      </c>
      <c r="C121">
        <f t="shared" si="15"/>
        <v>-5.9774227688455507E-2</v>
      </c>
      <c r="D121">
        <f t="shared" si="16"/>
        <v>-0.99821192224108835</v>
      </c>
      <c r="E121">
        <v>121</v>
      </c>
      <c r="F121">
        <f t="shared" si="17"/>
        <v>-1.6306062069734539</v>
      </c>
      <c r="G121">
        <f t="shared" si="18"/>
        <v>-4.2266761738695612E-2</v>
      </c>
      <c r="H121">
        <f t="shared" si="19"/>
        <v>-0.70584241927793279</v>
      </c>
    </row>
    <row r="122" spans="1:8" x14ac:dyDescent="0.35">
      <c r="A122">
        <v>122</v>
      </c>
      <c r="B122">
        <f t="shared" si="14"/>
        <v>-1.6180146532516513</v>
      </c>
      <c r="C122">
        <f t="shared" si="15"/>
        <v>-4.720078231586302E-2</v>
      </c>
      <c r="D122">
        <f t="shared" si="16"/>
        <v>-0.99888542193225072</v>
      </c>
      <c r="E122">
        <v>122</v>
      </c>
      <c r="F122">
        <f t="shared" si="17"/>
        <v>-1.6180146532516513</v>
      </c>
      <c r="G122">
        <f t="shared" si="18"/>
        <v>-3.3375993252856839E-2</v>
      </c>
      <c r="H122">
        <f t="shared" si="19"/>
        <v>-0.70631865547668071</v>
      </c>
    </row>
    <row r="123" spans="1:8" x14ac:dyDescent="0.35">
      <c r="A123">
        <v>123</v>
      </c>
      <c r="B123">
        <f t="shared" si="14"/>
        <v>-1.6054230995298484</v>
      </c>
      <c r="C123">
        <f t="shared" si="15"/>
        <v>-3.4619853489084404E-2</v>
      </c>
      <c r="D123">
        <f t="shared" si="16"/>
        <v>-0.99940055320396648</v>
      </c>
      <c r="E123">
        <v>123</v>
      </c>
      <c r="F123">
        <f t="shared" si="17"/>
        <v>-1.6054230995298484</v>
      </c>
      <c r="G123">
        <f t="shared" si="18"/>
        <v>-2.4479933165816356E-2</v>
      </c>
      <c r="H123">
        <f t="shared" si="19"/>
        <v>-0.70668290829211211</v>
      </c>
    </row>
    <row r="124" spans="1:8" x14ac:dyDescent="0.35">
      <c r="A124">
        <v>124</v>
      </c>
      <c r="B124">
        <f t="shared" si="14"/>
        <v>-1.5928315458080455</v>
      </c>
      <c r="C124">
        <f t="shared" si="15"/>
        <v>-2.2033435853120915E-2</v>
      </c>
      <c r="D124">
        <f t="shared" si="16"/>
        <v>-0.99975723438468123</v>
      </c>
      <c r="E124">
        <v>124</v>
      </c>
      <c r="F124">
        <f t="shared" si="17"/>
        <v>-1.5928315458080455</v>
      </c>
      <c r="G124">
        <f t="shared" si="18"/>
        <v>-1.5579991904580613E-2</v>
      </c>
      <c r="H124">
        <f t="shared" si="19"/>
        <v>-0.70693511997371716</v>
      </c>
    </row>
    <row r="125" spans="1:8" x14ac:dyDescent="0.35">
      <c r="A125">
        <v>125</v>
      </c>
      <c r="B125">
        <f t="shared" si="14"/>
        <v>-1.5802399920862429</v>
      </c>
      <c r="C125">
        <f t="shared" si="15"/>
        <v>-9.4435249231977821E-3</v>
      </c>
      <c r="D125">
        <f t="shared" si="16"/>
        <v>-0.99995540892433044</v>
      </c>
      <c r="E125">
        <v>125</v>
      </c>
      <c r="F125">
        <f t="shared" si="17"/>
        <v>-1.5802399920862429</v>
      </c>
      <c r="G125">
        <f t="shared" si="18"/>
        <v>-6.6775805114973269E-3</v>
      </c>
      <c r="H125">
        <f t="shared" si="19"/>
        <v>-0.70707525053456166</v>
      </c>
    </row>
    <row r="126" spans="1:8" x14ac:dyDescent="0.35">
      <c r="A126">
        <v>126</v>
      </c>
      <c r="B126">
        <f t="shared" si="14"/>
        <v>-1.56764843836444</v>
      </c>
      <c r="C126">
        <f t="shared" si="15"/>
        <v>3.1478832316156873E-3</v>
      </c>
      <c r="D126">
        <f t="shared" si="16"/>
        <v>-0.99999504540330608</v>
      </c>
      <c r="E126">
        <v>126</v>
      </c>
      <c r="F126">
        <f t="shared" si="17"/>
        <v>-1.56764843836444</v>
      </c>
      <c r="G126">
        <f t="shared" si="18"/>
        <v>2.2258895794588776E-3</v>
      </c>
      <c r="H126">
        <f t="shared" si="19"/>
        <v>-0.70710327775762771</v>
      </c>
    </row>
    <row r="127" spans="1:8" x14ac:dyDescent="0.35">
      <c r="A127">
        <v>127</v>
      </c>
      <c r="B127">
        <f t="shared" si="14"/>
        <v>-1.5550568846426371</v>
      </c>
      <c r="C127">
        <f t="shared" si="15"/>
        <v>1.5738792304871806E-2</v>
      </c>
      <c r="D127">
        <f t="shared" si="16"/>
        <v>-0.9998761375374372</v>
      </c>
      <c r="E127">
        <v>127</v>
      </c>
      <c r="F127">
        <f t="shared" si="17"/>
        <v>-1.5550568846426371</v>
      </c>
      <c r="G127">
        <f t="shared" si="18"/>
        <v>1.1129006766461514E-2</v>
      </c>
      <c r="H127">
        <f t="shared" si="19"/>
        <v>-0.70701919719933537</v>
      </c>
    </row>
    <row r="128" spans="1:8" x14ac:dyDescent="0.35">
      <c r="A128">
        <v>128</v>
      </c>
      <c r="B128">
        <f t="shared" si="14"/>
        <v>-1.5424653309208345</v>
      </c>
      <c r="C128">
        <f t="shared" si="15"/>
        <v>2.8327206069249836E-2</v>
      </c>
      <c r="D128">
        <f t="shared" si="16"/>
        <v>-0.99959870417898711</v>
      </c>
      <c r="E128">
        <v>128</v>
      </c>
      <c r="F128">
        <f t="shared" si="17"/>
        <v>-1.5424653309208345</v>
      </c>
      <c r="G128">
        <f t="shared" si="18"/>
        <v>2.0030359503635298E-2</v>
      </c>
      <c r="H128">
        <f t="shared" si="19"/>
        <v>-0.70682302219024795</v>
      </c>
    </row>
    <row r="129" spans="1:8" x14ac:dyDescent="0.35">
      <c r="A129">
        <v>129</v>
      </c>
      <c r="B129">
        <f t="shared" ref="B129:B192" si="24">-3.14159265358979+(A129-1)*0.0125915537218028</f>
        <v>-1.5298737771990316</v>
      </c>
      <c r="C129">
        <f t="shared" ref="C129:C192" si="25">1*COS(B129)+0</f>
        <v>4.0911128693048776E-2</v>
      </c>
      <c r="D129">
        <f t="shared" ref="D129:D192" si="26">1*SIN(B129)+0+0*COS(B129)</f>
        <v>-0.99916278931366376</v>
      </c>
      <c r="E129">
        <v>129</v>
      </c>
      <c r="F129">
        <f t="shared" ref="F129:F192" si="27">-3.14159265358979+(E129-1)*0.0125915537218028</f>
        <v>-1.5298737771990316</v>
      </c>
      <c r="G129">
        <f t="shared" ref="G129:G192" si="28">0.707106781186548*COS(F129)+0</f>
        <v>2.8928536524850348E-2</v>
      </c>
      <c r="H129">
        <f t="shared" ref="H129:H192" si="29">0.707106781186548*SIN(F129)+0+0*COS(F129)</f>
        <v>-0.70651478383295785</v>
      </c>
    </row>
    <row r="130" spans="1:8" x14ac:dyDescent="0.35">
      <c r="A130">
        <v>130</v>
      </c>
      <c r="B130">
        <f t="shared" si="24"/>
        <v>-1.5172822234772287</v>
      </c>
      <c r="C130">
        <f t="shared" si="25"/>
        <v>5.3488565056615429E-2</v>
      </c>
      <c r="D130">
        <f t="shared" si="26"/>
        <v>-0.99856846205364613</v>
      </c>
      <c r="E130">
        <v>130</v>
      </c>
      <c r="F130">
        <f t="shared" si="27"/>
        <v>-1.5172822234772287</v>
      </c>
      <c r="G130">
        <f t="shared" si="28"/>
        <v>3.7822127067470603E-2</v>
      </c>
      <c r="H130">
        <f t="shared" si="29"/>
        <v>-0.70609453099715536</v>
      </c>
    </row>
    <row r="131" spans="1:8" x14ac:dyDescent="0.35">
      <c r="A131">
        <v>131</v>
      </c>
      <c r="B131">
        <f t="shared" si="24"/>
        <v>-1.5046906697554261</v>
      </c>
      <c r="C131">
        <f t="shared" si="25"/>
        <v>6.605752106866157E-2</v>
      </c>
      <c r="D131">
        <f t="shared" si="26"/>
        <v>-0.99781581662662744</v>
      </c>
      <c r="E131">
        <v>131</v>
      </c>
      <c r="F131">
        <f t="shared" si="27"/>
        <v>-1.5046906697554261</v>
      </c>
      <c r="G131">
        <f t="shared" si="28"/>
        <v>4.6709721096023865E-2</v>
      </c>
      <c r="H131">
        <f t="shared" si="29"/>
        <v>-0.70556233031188131</v>
      </c>
    </row>
    <row r="132" spans="1:8" x14ac:dyDescent="0.35">
      <c r="A132">
        <v>132</v>
      </c>
      <c r="B132">
        <f t="shared" si="24"/>
        <v>-1.4920991160336232</v>
      </c>
      <c r="C132">
        <f t="shared" si="25"/>
        <v>7.8616003982418081E-2</v>
      </c>
      <c r="D132">
        <f t="shared" si="26"/>
        <v>-0.99690497236087472</v>
      </c>
      <c r="E132">
        <v>132</v>
      </c>
      <c r="F132">
        <f t="shared" si="27"/>
        <v>-1.4920991160336232</v>
      </c>
      <c r="G132">
        <f t="shared" si="28"/>
        <v>5.5589909525756487E-2</v>
      </c>
      <c r="H132">
        <f t="shared" si="29"/>
        <v>-0.70491826615496278</v>
      </c>
    </row>
    <row r="133" spans="1:8" x14ac:dyDescent="0.35">
      <c r="A133">
        <v>133</v>
      </c>
      <c r="B133">
        <f t="shared" si="24"/>
        <v>-1.4795075623118203</v>
      </c>
      <c r="C133">
        <f t="shared" si="25"/>
        <v>9.1162022711573906E-2</v>
      </c>
      <c r="D133">
        <f t="shared" si="26"/>
        <v>-0.99583607366631099</v>
      </c>
      <c r="E133">
        <v>133</v>
      </c>
      <c r="F133">
        <f t="shared" si="27"/>
        <v>-1.4795075623118203</v>
      </c>
      <c r="G133">
        <f t="shared" si="28"/>
        <v>6.4461284446036007E-2</v>
      </c>
      <c r="H133">
        <f t="shared" si="29"/>
        <v>-0.70416244063963529</v>
      </c>
    </row>
    <row r="134" spans="1:8" x14ac:dyDescent="0.35">
      <c r="A134">
        <v>134</v>
      </c>
      <c r="B134">
        <f t="shared" si="24"/>
        <v>-1.4669160085900177</v>
      </c>
      <c r="C134">
        <f t="shared" si="25"/>
        <v>0.10369358814595377</v>
      </c>
      <c r="D134">
        <f t="shared" si="26"/>
        <v>-0.99460929001161924</v>
      </c>
      <c r="E134">
        <v>134</v>
      </c>
      <c r="F134">
        <f t="shared" si="27"/>
        <v>-1.4669160085900177</v>
      </c>
      <c r="G134">
        <f t="shared" si="28"/>
        <v>7.3322439343568954E-2</v>
      </c>
      <c r="H134">
        <f t="shared" si="29"/>
        <v>-0.70329497359835391</v>
      </c>
    </row>
    <row r="135" spans="1:8" x14ac:dyDescent="0.35">
      <c r="A135">
        <v>135</v>
      </c>
      <c r="B135">
        <f t="shared" si="24"/>
        <v>-1.4543244548682148</v>
      </c>
      <c r="C135">
        <f t="shared" si="25"/>
        <v>0.11620871346688255</v>
      </c>
      <c r="D135">
        <f t="shared" si="26"/>
        <v>-0.99322481589737377</v>
      </c>
      <c r="E135">
        <v>135</v>
      </c>
      <c r="F135">
        <f t="shared" si="27"/>
        <v>-1.4543244548682148</v>
      </c>
      <c r="G135">
        <f t="shared" si="28"/>
        <v>8.2171969325397179E-2</v>
      </c>
      <c r="H135">
        <f t="shared" si="29"/>
        <v>-0.70231600256379367</v>
      </c>
    </row>
    <row r="136" spans="1:8" x14ac:dyDescent="0.35">
      <c r="A136">
        <v>136</v>
      </c>
      <c r="B136">
        <f t="shared" si="24"/>
        <v>-1.4417329011464119</v>
      </c>
      <c r="C136">
        <f t="shared" si="25"/>
        <v>0.12870541446218442</v>
      </c>
      <c r="D136">
        <f t="shared" si="26"/>
        <v>-0.99168287082520357</v>
      </c>
      <c r="E136">
        <v>136</v>
      </c>
      <c r="F136">
        <f t="shared" si="27"/>
        <v>-1.4417329011464119</v>
      </c>
      <c r="G136">
        <f t="shared" si="28"/>
        <v>9.100847134163581E-2</v>
      </c>
      <c r="H136">
        <f t="shared" si="29"/>
        <v>-0.701225682747045</v>
      </c>
    </row>
    <row r="137" spans="1:8" x14ac:dyDescent="0.35">
      <c r="A137">
        <v>137</v>
      </c>
      <c r="B137">
        <f t="shared" si="24"/>
        <v>-1.4291413474246093</v>
      </c>
      <c r="C137">
        <f t="shared" si="25"/>
        <v>0.14118170984077064</v>
      </c>
      <c r="D137">
        <f t="shared" si="26"/>
        <v>-0.98998369926299112</v>
      </c>
      <c r="E137">
        <v>137</v>
      </c>
      <c r="F137">
        <f t="shared" si="27"/>
        <v>-1.4291413474246093</v>
      </c>
      <c r="G137">
        <f t="shared" si="28"/>
        <v>9.983054440792051E-2</v>
      </c>
      <c r="H137">
        <f t="shared" si="29"/>
        <v>-0.70002418701300517</v>
      </c>
    </row>
    <row r="138" spans="1:8" x14ac:dyDescent="0.35">
      <c r="A138">
        <v>138</v>
      </c>
      <c r="B138">
        <f t="shared" si="24"/>
        <v>-1.4165497937028064</v>
      </c>
      <c r="C138">
        <f t="shared" si="25"/>
        <v>0.1536356215467643</v>
      </c>
      <c r="D138">
        <f t="shared" si="26"/>
        <v>-0.98812757060611334</v>
      </c>
      <c r="E138">
        <v>138</v>
      </c>
      <c r="F138">
        <f t="shared" si="27"/>
        <v>-1.4165497937028064</v>
      </c>
      <c r="G138">
        <f t="shared" si="28"/>
        <v>0.10863678982752717</v>
      </c>
      <c r="H138">
        <f t="shared" si="29"/>
        <v>-0.69871170585297226</v>
      </c>
    </row>
    <row r="139" spans="1:8" x14ac:dyDescent="0.35">
      <c r="A139">
        <v>139</v>
      </c>
      <c r="B139">
        <f t="shared" si="24"/>
        <v>-1.4039582399810036</v>
      </c>
      <c r="C139">
        <f t="shared" si="25"/>
        <v>0.16606517507311008</v>
      </c>
      <c r="D139">
        <f t="shared" si="26"/>
        <v>-0.98611477913473</v>
      </c>
      <c r="E139">
        <v>139</v>
      </c>
      <c r="F139">
        <f t="shared" si="27"/>
        <v>-1.4039582399810036</v>
      </c>
      <c r="G139">
        <f t="shared" si="28"/>
        <v>0.11742581141312744</v>
      </c>
      <c r="H139">
        <f t="shared" si="29"/>
        <v>-0.69728844735444262</v>
      </c>
    </row>
    <row r="140" spans="1:8" x14ac:dyDescent="0.35">
      <c r="A140">
        <v>140</v>
      </c>
      <c r="B140">
        <f t="shared" si="24"/>
        <v>-1.3913666862592009</v>
      </c>
      <c r="C140">
        <f t="shared" si="25"/>
        <v>0.17846839977462353</v>
      </c>
      <c r="D140">
        <f t="shared" si="26"/>
        <v>-0.98394564396712747</v>
      </c>
      <c r="E140">
        <v>140</v>
      </c>
      <c r="F140">
        <f t="shared" si="27"/>
        <v>-1.3913666862592009</v>
      </c>
      <c r="G140">
        <f t="shared" si="28"/>
        <v>0.1261962157081481</v>
      </c>
      <c r="H140">
        <f t="shared" si="29"/>
        <v>-0.69575463716812069</v>
      </c>
    </row>
    <row r="141" spans="1:8" x14ac:dyDescent="0.35">
      <c r="A141">
        <v>141</v>
      </c>
      <c r="B141">
        <f t="shared" si="24"/>
        <v>-1.378775132537398</v>
      </c>
      <c r="C141">
        <f t="shared" si="25"/>
        <v>0.19084332918042771</v>
      </c>
      <c r="D141">
        <f t="shared" si="26"/>
        <v>-0.98162050900912357</v>
      </c>
      <c r="E141">
        <v>141</v>
      </c>
      <c r="F141">
        <f t="shared" si="27"/>
        <v>-1.378775132537398</v>
      </c>
      <c r="G141">
        <f t="shared" si="28"/>
        <v>0.13494661220769705</v>
      </c>
      <c r="H141">
        <f t="shared" si="29"/>
        <v>-0.69411051847214222</v>
      </c>
    </row>
    <row r="142" spans="1:8" x14ac:dyDescent="0.35">
      <c r="A142">
        <v>142</v>
      </c>
      <c r="B142">
        <f t="shared" si="24"/>
        <v>-1.3661835788155952</v>
      </c>
      <c r="C142">
        <f t="shared" si="25"/>
        <v>0.20318800130572645</v>
      </c>
      <c r="D142">
        <f t="shared" si="26"/>
        <v>-0.97913974289954353</v>
      </c>
      <c r="E142">
        <v>142</v>
      </c>
      <c r="F142">
        <f t="shared" si="27"/>
        <v>-1.3661835788155952</v>
      </c>
      <c r="G142">
        <f t="shared" si="28"/>
        <v>0.14367561357902034</v>
      </c>
      <c r="H142">
        <f t="shared" si="29"/>
        <v>-0.69235635193352041</v>
      </c>
    </row>
    <row r="143" spans="1:8" x14ac:dyDescent="0.35">
      <c r="A143">
        <v>143</v>
      </c>
      <c r="B143">
        <f t="shared" si="24"/>
        <v>-1.3535920250937925</v>
      </c>
      <c r="C143">
        <f t="shared" si="25"/>
        <v>0.21550045896286801</v>
      </c>
      <c r="D143">
        <f t="shared" si="26"/>
        <v>-0.97650373895177345</v>
      </c>
      <c r="E143">
        <v>143</v>
      </c>
      <c r="F143">
        <f t="shared" si="27"/>
        <v>-1.3535920250937925</v>
      </c>
      <c r="G143">
        <f t="shared" si="28"/>
        <v>0.15238183588145737</v>
      </c>
      <c r="H143">
        <f t="shared" si="29"/>
        <v>-0.69049241566681763</v>
      </c>
    </row>
    <row r="144" spans="1:8" x14ac:dyDescent="0.35">
      <c r="A144">
        <v>144</v>
      </c>
      <c r="B144">
        <f t="shared" si="24"/>
        <v>-1.3410004713719896</v>
      </c>
      <c r="C144">
        <f t="shared" si="25"/>
        <v>0.22777875007164838</v>
      </c>
      <c r="D144">
        <f t="shared" si="26"/>
        <v>-0.9737129150914029</v>
      </c>
      <c r="E144">
        <v>144</v>
      </c>
      <c r="F144">
        <f t="shared" si="27"/>
        <v>-1.3410004713719896</v>
      </c>
      <c r="G144">
        <f t="shared" si="28"/>
        <v>0.16106389878585847</v>
      </c>
      <c r="H144">
        <f t="shared" si="29"/>
        <v>-0.68851900519005249</v>
      </c>
    </row>
    <row r="145" spans="1:8" x14ac:dyDescent="0.35">
      <c r="A145">
        <v>145</v>
      </c>
      <c r="B145">
        <f t="shared" si="24"/>
        <v>-1.3284089176501868</v>
      </c>
      <c r="C145">
        <f t="shared" si="25"/>
        <v>0.24002092796880276</v>
      </c>
      <c r="D145">
        <f t="shared" si="26"/>
        <v>-0.97076771378996474</v>
      </c>
      <c r="E145">
        <v>145</v>
      </c>
      <c r="F145">
        <f t="shared" si="27"/>
        <v>-1.3284089176501868</v>
      </c>
      <c r="G145">
        <f t="shared" si="28"/>
        <v>0.16972042579342841</v>
      </c>
      <c r="H145">
        <f t="shared" si="29"/>
        <v>-0.6864364333778461</v>
      </c>
    </row>
    <row r="146" spans="1:8" x14ac:dyDescent="0.35">
      <c r="A146">
        <v>146</v>
      </c>
      <c r="B146">
        <f t="shared" si="24"/>
        <v>-1.3158173639283841</v>
      </c>
      <c r="C146">
        <f t="shared" si="25"/>
        <v>0.25222505171664023</v>
      </c>
      <c r="D146">
        <f t="shared" si="26"/>
        <v>-0.96766860199478322</v>
      </c>
      <c r="E146">
        <v>146</v>
      </c>
      <c r="F146">
        <f t="shared" si="27"/>
        <v>-1.3158173639283841</v>
      </c>
      <c r="G146">
        <f t="shared" si="28"/>
        <v>0.17835004445396407</v>
      </c>
      <c r="H146">
        <f t="shared" si="29"/>
        <v>-0.68424503041181794</v>
      </c>
    </row>
    <row r="147" spans="1:8" x14ac:dyDescent="0.35">
      <c r="A147">
        <v>147</v>
      </c>
      <c r="B147">
        <f t="shared" si="24"/>
        <v>-1.3032258102065812</v>
      </c>
      <c r="C147">
        <f t="shared" si="25"/>
        <v>0.26438918641077053</v>
      </c>
      <c r="D147">
        <f t="shared" si="26"/>
        <v>-0.96441607105494198</v>
      </c>
      <c r="E147">
        <v>147</v>
      </c>
      <c r="F147">
        <f t="shared" si="27"/>
        <v>-1.3032258102065812</v>
      </c>
      <c r="G147">
        <f t="shared" si="28"/>
        <v>0.18695138658345017</v>
      </c>
      <c r="H147">
        <f t="shared" si="29"/>
        <v>-0.68194514372823722</v>
      </c>
    </row>
    <row r="148" spans="1:8" x14ac:dyDescent="0.35">
      <c r="A148">
        <v>148</v>
      </c>
      <c r="B148">
        <f t="shared" si="24"/>
        <v>-1.2906342564847784</v>
      </c>
      <c r="C148">
        <f t="shared" si="25"/>
        <v>0.27651140348687248</v>
      </c>
      <c r="D148">
        <f t="shared" si="26"/>
        <v>-0.96101063664338282</v>
      </c>
      <c r="E148">
        <v>148</v>
      </c>
      <c r="F148">
        <f t="shared" si="27"/>
        <v>-1.2906342564847784</v>
      </c>
      <c r="G148">
        <f t="shared" si="28"/>
        <v>0.19552308848097721</v>
      </c>
      <c r="H148">
        <f t="shared" si="29"/>
        <v>-0.67953713796293769</v>
      </c>
    </row>
    <row r="149" spans="1:8" x14ac:dyDescent="0.35">
      <c r="A149">
        <v>149</v>
      </c>
      <c r="B149">
        <f t="shared" si="24"/>
        <v>-1.2780427027629757</v>
      </c>
      <c r="C149">
        <f t="shared" si="25"/>
        <v>0.28858978102645916</v>
      </c>
      <c r="D149">
        <f t="shared" si="26"/>
        <v>-0.95745283867514874</v>
      </c>
      <c r="E149">
        <v>149</v>
      </c>
      <c r="F149">
        <f t="shared" si="27"/>
        <v>-1.2780427027629757</v>
      </c>
      <c r="G149">
        <f t="shared" si="28"/>
        <v>0.20406379114495027</v>
      </c>
      <c r="H149">
        <f t="shared" si="29"/>
        <v>-0.67702139489350766</v>
      </c>
    </row>
    <row r="150" spans="1:8" x14ac:dyDescent="0.35">
      <c r="A150">
        <v>150</v>
      </c>
      <c r="B150">
        <f t="shared" si="24"/>
        <v>-1.2654511490411728</v>
      </c>
      <c r="C150">
        <f t="shared" si="25"/>
        <v>0.3006224040615893</v>
      </c>
      <c r="D150">
        <f t="shared" si="26"/>
        <v>-0.95374324122178211</v>
      </c>
      <c r="E150">
        <v>150</v>
      </c>
      <c r="F150">
        <f t="shared" si="27"/>
        <v>-1.2654511490411728</v>
      </c>
      <c r="G150">
        <f t="shared" si="28"/>
        <v>0.21257214048855225</v>
      </c>
      <c r="H150">
        <f t="shared" si="29"/>
        <v>-0.67439831337875977</v>
      </c>
    </row>
    <row r="151" spans="1:8" x14ac:dyDescent="0.35">
      <c r="A151">
        <v>151</v>
      </c>
      <c r="B151">
        <f t="shared" si="24"/>
        <v>-1.25285959531937</v>
      </c>
      <c r="C151">
        <f t="shared" si="25"/>
        <v>0.3126073648784749</v>
      </c>
      <c r="D151">
        <f t="shared" si="26"/>
        <v>-0.94988243242189507</v>
      </c>
      <c r="E151">
        <v>151</v>
      </c>
      <c r="F151">
        <f t="shared" si="27"/>
        <v>-1.25285959531937</v>
      </c>
      <c r="G151">
        <f t="shared" si="28"/>
        <v>0.22104678755442714</v>
      </c>
      <c r="H151">
        <f t="shared" si="29"/>
        <v>-0.67166830929549493</v>
      </c>
    </row>
    <row r="152" spans="1:8" x14ac:dyDescent="0.35">
      <c r="A152">
        <v>152</v>
      </c>
      <c r="B152">
        <f t="shared" si="24"/>
        <v>-1.2402680415975673</v>
      </c>
      <c r="C152">
        <f t="shared" si="25"/>
        <v>0.32454276331994053</v>
      </c>
      <c r="D152">
        <f t="shared" si="26"/>
        <v>-0.94587102438792203</v>
      </c>
      <c r="E152">
        <v>152</v>
      </c>
      <c r="F152">
        <f t="shared" si="27"/>
        <v>-1.2402680415975673</v>
      </c>
      <c r="G152">
        <f t="shared" si="28"/>
        <v>0.22948638872855084</v>
      </c>
      <c r="H152">
        <f t="shared" si="29"/>
        <v>-0.66883181547256643</v>
      </c>
    </row>
    <row r="153" spans="1:8" x14ac:dyDescent="0.35">
      <c r="A153">
        <v>153</v>
      </c>
      <c r="B153">
        <f t="shared" si="24"/>
        <v>-1.2276764878757644</v>
      </c>
      <c r="C153">
        <f t="shared" si="25"/>
        <v>0.33642670708668465</v>
      </c>
      <c r="D153">
        <f t="shared" si="26"/>
        <v>-0.94170965310907273</v>
      </c>
      <c r="E153">
        <v>153</v>
      </c>
      <c r="F153">
        <f t="shared" si="27"/>
        <v>-1.2276764878757644</v>
      </c>
      <c r="G153">
        <f t="shared" si="28"/>
        <v>0.2378896059532552</v>
      </c>
      <c r="H153">
        <f t="shared" si="29"/>
        <v>-0.66588928162225713</v>
      </c>
    </row>
    <row r="154" spans="1:8" x14ac:dyDescent="0.35">
      <c r="A154">
        <v>154</v>
      </c>
      <c r="B154">
        <f t="shared" si="24"/>
        <v>-1.2150849341539616</v>
      </c>
      <c r="C154">
        <f t="shared" si="25"/>
        <v>0.34825731203729327</v>
      </c>
      <c r="D154">
        <f t="shared" si="26"/>
        <v>-0.93739897835049901</v>
      </c>
      <c r="E154">
        <v>154</v>
      </c>
      <c r="F154">
        <f t="shared" si="27"/>
        <v>-1.2150849341539616</v>
      </c>
      <c r="G154">
        <f t="shared" si="28"/>
        <v>0.24625510693936969</v>
      </c>
      <c r="H154">
        <f t="shared" si="29"/>
        <v>-0.66284117426897993</v>
      </c>
    </row>
    <row r="155" spans="1:8" x14ac:dyDescent="0.35">
      <c r="A155">
        <v>155</v>
      </c>
      <c r="B155">
        <f t="shared" si="24"/>
        <v>-1.2024933804321589</v>
      </c>
      <c r="C155">
        <f t="shared" si="25"/>
        <v>0.36003270248696184</v>
      </c>
      <c r="D155">
        <f t="shared" si="26"/>
        <v>-0.93293968354869272</v>
      </c>
      <c r="E155">
        <v>155</v>
      </c>
      <c r="F155">
        <f t="shared" si="27"/>
        <v>-1.2024933804321589</v>
      </c>
      <c r="G155">
        <f t="shared" si="28"/>
        <v>0.25458156537744969</v>
      </c>
      <c r="H155">
        <f t="shared" si="29"/>
        <v>-0.65968797667531287</v>
      </c>
    </row>
    <row r="156" spans="1:8" x14ac:dyDescent="0.35">
      <c r="A156">
        <v>156</v>
      </c>
      <c r="B156">
        <f t="shared" si="24"/>
        <v>-1.189901826710356</v>
      </c>
      <c r="C156">
        <f t="shared" si="25"/>
        <v>0.37175101150487677</v>
      </c>
      <c r="D156">
        <f t="shared" si="26"/>
        <v>-0.92833247570312916</v>
      </c>
      <c r="E156">
        <v>156</v>
      </c>
      <c r="F156">
        <f t="shared" si="27"/>
        <v>-1.189901826710356</v>
      </c>
      <c r="G156">
        <f t="shared" si="28"/>
        <v>0.26286766114805682</v>
      </c>
      <c r="H156">
        <f t="shared" si="29"/>
        <v>-0.65643018876537895</v>
      </c>
    </row>
    <row r="157" spans="1:8" x14ac:dyDescent="0.35">
      <c r="A157">
        <v>157</v>
      </c>
      <c r="B157">
        <f t="shared" si="24"/>
        <v>-1.1773102729885532</v>
      </c>
      <c r="C157">
        <f t="shared" si="25"/>
        <v>0.38341038121020693</v>
      </c>
      <c r="D157">
        <f t="shared" si="26"/>
        <v>-0.92357808526417717</v>
      </c>
      <c r="E157">
        <v>157</v>
      </c>
      <c r="F157">
        <f t="shared" si="27"/>
        <v>-1.1773102729885532</v>
      </c>
      <c r="G157">
        <f t="shared" si="28"/>
        <v>0.27111208053105673</v>
      </c>
      <c r="H157">
        <f t="shared" si="29"/>
        <v>-0.65306832704558748</v>
      </c>
    </row>
    <row r="158" spans="1:8" x14ac:dyDescent="0.35">
      <c r="A158">
        <v>158</v>
      </c>
      <c r="B158">
        <f t="shared" si="24"/>
        <v>-1.1647187192667505</v>
      </c>
      <c r="C158">
        <f t="shared" si="25"/>
        <v>0.39500896306666211</v>
      </c>
      <c r="D158">
        <f t="shared" si="26"/>
        <v>-0.91867726601728883</v>
      </c>
      <c r="E158">
        <v>158</v>
      </c>
      <c r="F158">
        <f t="shared" si="27"/>
        <v>-1.1647187192667505</v>
      </c>
      <c r="G158">
        <f t="shared" si="28"/>
        <v>0.27931351641390345</v>
      </c>
      <c r="H158">
        <f t="shared" si="29"/>
        <v>-0.64960292452274326</v>
      </c>
    </row>
    <row r="159" spans="1:8" x14ac:dyDescent="0.35">
      <c r="A159">
        <v>159</v>
      </c>
      <c r="B159">
        <f t="shared" si="24"/>
        <v>-1.1521271655449477</v>
      </c>
      <c r="C159">
        <f t="shared" si="25"/>
        <v>0.40654491817557015</v>
      </c>
      <c r="D159">
        <f t="shared" si="26"/>
        <v>-0.9136307949634902</v>
      </c>
      <c r="E159">
        <v>159</v>
      </c>
      <c r="F159">
        <f t="shared" si="27"/>
        <v>-1.1521271655449477</v>
      </c>
      <c r="G159">
        <f t="shared" si="28"/>
        <v>0.28747066849887593</v>
      </c>
      <c r="H159">
        <f t="shared" si="29"/>
        <v>-0.64603453061954053</v>
      </c>
    </row>
    <row r="160" spans="1:8" x14ac:dyDescent="0.35">
      <c r="A160">
        <v>160</v>
      </c>
      <c r="B160">
        <f t="shared" si="24"/>
        <v>-1.139535611823145</v>
      </c>
      <c r="C160">
        <f t="shared" si="25"/>
        <v>0.41801641756742391</v>
      </c>
      <c r="D160">
        <f t="shared" si="26"/>
        <v>-0.9084394721961927</v>
      </c>
      <c r="E160">
        <v>160</v>
      </c>
      <c r="F160">
        <f t="shared" si="27"/>
        <v>-1.139535611823145</v>
      </c>
      <c r="G160">
        <f t="shared" si="28"/>
        <v>0.29558224350923312</v>
      </c>
      <c r="H160">
        <f t="shared" si="29"/>
        <v>-0.64236371108745638</v>
      </c>
    </row>
    <row r="161" spans="1:8" x14ac:dyDescent="0.35">
      <c r="A161">
        <v>161</v>
      </c>
      <c r="B161">
        <f t="shared" si="24"/>
        <v>-1.1269440581013419</v>
      </c>
      <c r="C161">
        <f t="shared" si="25"/>
        <v>0.42942164249185744</v>
      </c>
      <c r="D161">
        <f t="shared" si="26"/>
        <v>-0.90310412077434099</v>
      </c>
      <c r="E161">
        <v>161</v>
      </c>
      <c r="F161">
        <f t="shared" si="27"/>
        <v>-1.1269440581013419</v>
      </c>
      <c r="G161">
        <f t="shared" si="28"/>
        <v>0.3036469553942579</v>
      </c>
      <c r="H161">
        <f t="shared" si="29"/>
        <v>-0.63859104791705179</v>
      </c>
    </row>
    <row r="162" spans="1:8" x14ac:dyDescent="0.35">
      <c r="A162">
        <v>162</v>
      </c>
      <c r="B162">
        <f t="shared" si="24"/>
        <v>-1.1143525043795393</v>
      </c>
      <c r="C162">
        <f t="shared" si="25"/>
        <v>0.44075878470599728</v>
      </c>
      <c r="D162">
        <f t="shared" si="26"/>
        <v>-0.89762558659192215</v>
      </c>
      <c r="E162">
        <v>162</v>
      </c>
      <c r="F162">
        <f t="shared" si="27"/>
        <v>-1.1143525043795393</v>
      </c>
      <c r="G162">
        <f t="shared" si="28"/>
        <v>0.31166352553315246</v>
      </c>
      <c r="H162">
        <f t="shared" si="29"/>
        <v>-0.63471713924570106</v>
      </c>
    </row>
    <row r="163" spans="1:8" x14ac:dyDescent="0.35">
      <c r="A163">
        <v>163</v>
      </c>
      <c r="B163">
        <f t="shared" si="24"/>
        <v>-1.1017609506577366</v>
      </c>
      <c r="C163">
        <f t="shared" si="25"/>
        <v>0.45202604676115354</v>
      </c>
      <c r="D163">
        <f t="shared" si="26"/>
        <v>-0.89200473824385229</v>
      </c>
      <c r="E163">
        <v>163</v>
      </c>
      <c r="F163">
        <f t="shared" si="27"/>
        <v>-1.1017609506577366</v>
      </c>
      <c r="G163">
        <f t="shared" si="28"/>
        <v>0.31963068293775931</v>
      </c>
      <c r="H163">
        <f t="shared" si="29"/>
        <v>-0.63074259926275966</v>
      </c>
    </row>
    <row r="164" spans="1:8" x14ac:dyDescent="0.35">
      <c r="A164">
        <v>164</v>
      </c>
      <c r="B164">
        <f t="shared" si="24"/>
        <v>-1.0891693969359335</v>
      </c>
      <c r="C164">
        <f t="shared" si="25"/>
        <v>0.46322164228779505</v>
      </c>
      <c r="D164">
        <f t="shared" si="26"/>
        <v>-0.88624246688826536</v>
      </c>
      <c r="E164">
        <v>164</v>
      </c>
      <c r="F164">
        <f t="shared" si="27"/>
        <v>-1.0891693969359335</v>
      </c>
      <c r="G164">
        <f t="shared" si="28"/>
        <v>0.32754716445406934</v>
      </c>
      <c r="H164">
        <f t="shared" si="29"/>
        <v>-0.62666805811218718</v>
      </c>
    </row>
    <row r="165" spans="1:8" x14ac:dyDescent="0.35">
      <c r="A165">
        <v>165</v>
      </c>
      <c r="B165">
        <f t="shared" si="24"/>
        <v>-1.0765778432141309</v>
      </c>
      <c r="C165">
        <f t="shared" si="25"/>
        <v>0.47434379627876877</v>
      </c>
      <c r="D165">
        <f t="shared" si="26"/>
        <v>-0.88033968610522495</v>
      </c>
      <c r="E165">
        <v>165</v>
      </c>
      <c r="F165">
        <f t="shared" si="27"/>
        <v>-1.0765778432141309</v>
      </c>
      <c r="G165">
        <f t="shared" si="28"/>
        <v>0.33541171496248784</v>
      </c>
      <c r="H165">
        <f t="shared" si="29"/>
        <v>-0.62249416179264161</v>
      </c>
    </row>
    <row r="166" spans="1:8" x14ac:dyDescent="0.35">
      <c r="A166">
        <v>166</v>
      </c>
      <c r="B166">
        <f t="shared" si="24"/>
        <v>-1.0639862894923282</v>
      </c>
      <c r="C166">
        <f t="shared" si="25"/>
        <v>0.48539074537072052</v>
      </c>
      <c r="D166">
        <f t="shared" si="26"/>
        <v>-0.87429733175187974</v>
      </c>
      <c r="E166">
        <v>166</v>
      </c>
      <c r="F166">
        <f t="shared" si="27"/>
        <v>-1.0639862894923282</v>
      </c>
      <c r="G166">
        <f t="shared" si="28"/>
        <v>0.34322308757682951</v>
      </c>
      <c r="H166">
        <f t="shared" si="29"/>
        <v>-0.61822157205505923</v>
      </c>
    </row>
    <row r="167" spans="1:8" x14ac:dyDescent="0.35">
      <c r="A167">
        <v>167</v>
      </c>
      <c r="B167">
        <f t="shared" si="24"/>
        <v>-1.0513947357705251</v>
      </c>
      <c r="C167">
        <f t="shared" si="25"/>
        <v>0.49636073812366666</v>
      </c>
      <c r="D167">
        <f t="shared" si="26"/>
        <v>-0.86811636181408813</v>
      </c>
      <c r="E167">
        <v>167</v>
      </c>
      <c r="F167">
        <f t="shared" si="27"/>
        <v>-1.0513947357705251</v>
      </c>
      <c r="G167">
        <f t="shared" si="28"/>
        <v>0.35098004384200504</v>
      </c>
      <c r="H167">
        <f t="shared" si="29"/>
        <v>-0.61385096629773661</v>
      </c>
    </row>
    <row r="168" spans="1:8" x14ac:dyDescent="0.35">
      <c r="A168">
        <v>168</v>
      </c>
      <c r="B168">
        <f t="shared" si="24"/>
        <v>-1.0388031820487225</v>
      </c>
      <c r="C168">
        <f t="shared" si="25"/>
        <v>0.50725203529867535</v>
      </c>
      <c r="D168">
        <f t="shared" si="26"/>
        <v>-0.86179775625453536</v>
      </c>
      <c r="E168">
        <v>168</v>
      </c>
      <c r="F168">
        <f t="shared" si="27"/>
        <v>-1.0388031820487225</v>
      </c>
      <c r="G168">
        <f t="shared" si="28"/>
        <v>0.35868135393037154</v>
      </c>
      <c r="H168">
        <f t="shared" si="29"/>
        <v>-0.60938303745893374</v>
      </c>
    </row>
    <row r="169" spans="1:8" x14ac:dyDescent="0.35">
      <c r="A169">
        <v>169</v>
      </c>
      <c r="B169">
        <f t="shared" si="24"/>
        <v>-1.0262116283269198</v>
      </c>
      <c r="C169">
        <f t="shared" si="25"/>
        <v>0.51806291013361627</v>
      </c>
      <c r="D169">
        <f t="shared" si="26"/>
        <v>-0.85534251685736318</v>
      </c>
      <c r="E169">
        <v>169</v>
      </c>
      <c r="F169">
        <f t="shared" si="27"/>
        <v>-1.0262116283269198</v>
      </c>
      <c r="G169">
        <f t="shared" si="28"/>
        <v>0.36632579683671729</v>
      </c>
      <c r="H169">
        <f t="shared" si="29"/>
        <v>-0.60481849390701081</v>
      </c>
    </row>
    <row r="170" spans="1:8" x14ac:dyDescent="0.35">
      <c r="A170">
        <v>170</v>
      </c>
      <c r="B170">
        <f t="shared" si="24"/>
        <v>-1.0136200746051167</v>
      </c>
      <c r="C170">
        <f t="shared" si="25"/>
        <v>0.52879164861692984</v>
      </c>
      <c r="D170">
        <f t="shared" si="26"/>
        <v>-0.84875166706934335</v>
      </c>
      <c r="E170">
        <v>170</v>
      </c>
      <c r="F170">
        <f t="shared" si="27"/>
        <v>-1.0136200746051167</v>
      </c>
      <c r="G170">
        <f t="shared" si="28"/>
        <v>0.3739121605718454</v>
      </c>
      <c r="H170">
        <f t="shared" si="29"/>
        <v>-0.60015805932812005</v>
      </c>
    </row>
    <row r="171" spans="1:8" x14ac:dyDescent="0.35">
      <c r="A171">
        <v>171</v>
      </c>
      <c r="B171">
        <f t="shared" si="24"/>
        <v>-1.0010285208833141</v>
      </c>
      <c r="C171">
        <f t="shared" si="25"/>
        <v>0.53943654975937361</v>
      </c>
      <c r="D171">
        <f t="shared" si="26"/>
        <v>-0.84202625183761515</v>
      </c>
      <c r="E171">
        <v>171</v>
      </c>
      <c r="F171">
        <f t="shared" si="27"/>
        <v>-1.0010285208833141</v>
      </c>
      <c r="G171">
        <f t="shared" si="28"/>
        <v>0.38143924235472781</v>
      </c>
      <c r="H171">
        <f t="shared" si="29"/>
        <v>-0.59540247261146972</v>
      </c>
    </row>
    <row r="172" spans="1:8" x14ac:dyDescent="0.35">
      <c r="A172">
        <v>172</v>
      </c>
      <c r="B172">
        <f t="shared" si="24"/>
        <v>-0.98843696716151142</v>
      </c>
      <c r="C172">
        <f t="shared" si="25"/>
        <v>0.5499959258637086</v>
      </c>
      <c r="D172">
        <f t="shared" si="26"/>
        <v>-0.83516733744401306</v>
      </c>
      <c r="E172">
        <v>172</v>
      </c>
      <c r="F172">
        <f t="shared" si="27"/>
        <v>-0.98843696716151142</v>
      </c>
      <c r="G172">
        <f t="shared" si="28"/>
        <v>0.38890584880320228</v>
      </c>
      <c r="H172">
        <f t="shared" si="29"/>
        <v>-0.59055248773217561</v>
      </c>
    </row>
    <row r="173" spans="1:8" x14ac:dyDescent="0.35">
      <c r="A173">
        <v>173</v>
      </c>
      <c r="B173">
        <f t="shared" si="24"/>
        <v>-0.97584541343970832</v>
      </c>
      <c r="C173">
        <f t="shared" si="25"/>
        <v>0.5604681027922741</v>
      </c>
      <c r="D173">
        <f t="shared" si="26"/>
        <v>-0.8281760113360136</v>
      </c>
      <c r="E173">
        <v>173</v>
      </c>
      <c r="F173">
        <f t="shared" si="27"/>
        <v>-0.97584541343970832</v>
      </c>
      <c r="G173">
        <f t="shared" si="28"/>
        <v>0.39631079612317627</v>
      </c>
      <c r="H173">
        <f t="shared" si="29"/>
        <v>-0.58560887363172265</v>
      </c>
    </row>
    <row r="174" spans="1:8" x14ac:dyDescent="0.35">
      <c r="A174">
        <v>174</v>
      </c>
      <c r="B174">
        <f t="shared" si="24"/>
        <v>-0.96325385971790567</v>
      </c>
      <c r="C174">
        <f t="shared" si="25"/>
        <v>0.57085142023241298</v>
      </c>
      <c r="D174">
        <f t="shared" si="26"/>
        <v>-0.82105338195432642</v>
      </c>
      <c r="E174">
        <v>174</v>
      </c>
      <c r="F174">
        <f t="shared" si="27"/>
        <v>-0.96325385971790567</v>
      </c>
      <c r="G174">
        <f t="shared" si="28"/>
        <v>0.40365291029631101</v>
      </c>
      <c r="H174">
        <f t="shared" si="29"/>
        <v>-0.58057241409605309</v>
      </c>
    </row>
    <row r="175" spans="1:8" x14ac:dyDescent="0.35">
      <c r="A175">
        <v>175</v>
      </c>
      <c r="B175">
        <f t="shared" si="24"/>
        <v>-0.95066230599610302</v>
      </c>
      <c r="C175">
        <f t="shared" si="25"/>
        <v>0.58114423195970821</v>
      </c>
      <c r="D175">
        <f t="shared" si="26"/>
        <v>-0.81380057855715537</v>
      </c>
      <c r="E175">
        <v>175</v>
      </c>
      <c r="F175">
        <f t="shared" si="27"/>
        <v>-0.95066230599610302</v>
      </c>
      <c r="G175">
        <f t="shared" si="28"/>
        <v>0.41093102726615788</v>
      </c>
      <c r="H175">
        <f t="shared" si="29"/>
        <v>-0.5754439076313006</v>
      </c>
    </row>
    <row r="176" spans="1:8" x14ac:dyDescent="0.35">
      <c r="A176">
        <v>176</v>
      </c>
      <c r="B176">
        <f t="shared" si="24"/>
        <v>-0.93807075227429992</v>
      </c>
      <c r="C176">
        <f t="shared" si="25"/>
        <v>0.59134490609898305</v>
      </c>
      <c r="D176">
        <f t="shared" si="26"/>
        <v>-0.80641875104116034</v>
      </c>
      <c r="E176">
        <v>176</v>
      </c>
      <c r="F176">
        <f t="shared" si="27"/>
        <v>-0.93807075227429992</v>
      </c>
      <c r="G176">
        <f t="shared" si="28"/>
        <v>0.41814399312271339</v>
      </c>
      <c r="H176">
        <f t="shared" si="29"/>
        <v>-0.57022416733719106</v>
      </c>
    </row>
    <row r="177" spans="1:8" x14ac:dyDescent="0.35">
      <c r="A177">
        <v>177</v>
      </c>
      <c r="B177">
        <f t="shared" si="24"/>
        <v>-0.92547919855249727</v>
      </c>
      <c r="C177">
        <f t="shared" si="25"/>
        <v>0.60145182538302566</v>
      </c>
      <c r="D177">
        <f t="shared" si="26"/>
        <v>-0.79890906975914755</v>
      </c>
      <c r="E177">
        <v>177</v>
      </c>
      <c r="F177">
        <f t="shared" si="27"/>
        <v>-0.92547919855249727</v>
      </c>
      <c r="G177">
        <f t="shared" si="28"/>
        <v>0.42529066428536499</v>
      </c>
      <c r="H177">
        <f t="shared" si="29"/>
        <v>-0.56491402077813013</v>
      </c>
    </row>
    <row r="178" spans="1:8" x14ac:dyDescent="0.35">
      <c r="A178">
        <v>178</v>
      </c>
      <c r="B178">
        <f t="shared" si="24"/>
        <v>-0.91288764483069462</v>
      </c>
      <c r="C178">
        <f t="shared" si="25"/>
        <v>0.61146338740900052</v>
      </c>
      <c r="D178">
        <f t="shared" si="26"/>
        <v>-0.79127272533451476</v>
      </c>
      <c r="E178">
        <v>178</v>
      </c>
      <c r="F178">
        <f t="shared" si="27"/>
        <v>-0.91288764483069462</v>
      </c>
      <c r="G178">
        <f t="shared" si="28"/>
        <v>0.43236990768420158</v>
      </c>
      <c r="H178">
        <f t="shared" si="29"/>
        <v>-0.55951430985199624</v>
      </c>
    </row>
    <row r="179" spans="1:8" x14ac:dyDescent="0.35">
      <c r="A179">
        <v>179</v>
      </c>
      <c r="B179">
        <f t="shared" si="24"/>
        <v>-0.90029609110889153</v>
      </c>
      <c r="C179">
        <f t="shared" si="25"/>
        <v>0.62137800489250161</v>
      </c>
      <c r="D179">
        <f t="shared" si="26"/>
        <v>-0.78351092847248416</v>
      </c>
      <c r="E179">
        <v>179</v>
      </c>
      <c r="F179">
        <f t="shared" si="27"/>
        <v>-0.90029609110889153</v>
      </c>
      <c r="G179">
        <f t="shared" si="28"/>
        <v>0.43938060093965592</v>
      </c>
      <c r="H179">
        <f t="shared" si="29"/>
        <v>-0.55402589065666197</v>
      </c>
    </row>
    <row r="180" spans="1:8" x14ac:dyDescent="0.35">
      <c r="A180">
        <v>180</v>
      </c>
      <c r="B180">
        <f t="shared" si="24"/>
        <v>-0.88770453738708888</v>
      </c>
      <c r="C180">
        <f t="shared" si="25"/>
        <v>0.63119410591920666</v>
      </c>
      <c r="D180">
        <f t="shared" si="26"/>
        <v>-0.77562490976815157</v>
      </c>
      <c r="E180">
        <v>180</v>
      </c>
      <c r="F180">
        <f t="shared" si="27"/>
        <v>-0.88770453738708888</v>
      </c>
      <c r="G180">
        <f t="shared" si="28"/>
        <v>0.44632163254045126</v>
      </c>
      <c r="H180">
        <f t="shared" si="29"/>
        <v>-0.54844963335426444</v>
      </c>
    </row>
    <row r="181" spans="1:8" x14ac:dyDescent="0.35">
      <c r="A181">
        <v>181</v>
      </c>
      <c r="B181">
        <f t="shared" si="24"/>
        <v>-0.87511298366528623</v>
      </c>
      <c r="C181">
        <f t="shared" si="25"/>
        <v>0.64091013419409903</v>
      </c>
      <c r="D181">
        <f t="shared" si="26"/>
        <v>-0.76761591951138042</v>
      </c>
      <c r="E181">
        <v>181</v>
      </c>
      <c r="F181">
        <f t="shared" si="27"/>
        <v>-0.87511298366528623</v>
      </c>
      <c r="G181">
        <f t="shared" si="28"/>
        <v>0.4531919020198279</v>
      </c>
      <c r="H181">
        <f t="shared" si="29"/>
        <v>-0.54278642203324456</v>
      </c>
    </row>
    <row r="182" spans="1:8" x14ac:dyDescent="0.35">
      <c r="A182">
        <v>182</v>
      </c>
      <c r="B182">
        <f t="shared" si="24"/>
        <v>-0.86252142994348313</v>
      </c>
      <c r="C182">
        <f t="shared" si="25"/>
        <v>0.65052454928820946</v>
      </c>
      <c r="D182">
        <f t="shared" si="26"/>
        <v>-0.75948522748857461</v>
      </c>
      <c r="E182">
        <v>182</v>
      </c>
      <c r="F182">
        <f t="shared" si="27"/>
        <v>-0.86252142994348313</v>
      </c>
      <c r="G182">
        <f t="shared" si="28"/>
        <v>0.45999032013001567</v>
      </c>
      <c r="H182">
        <f t="shared" si="29"/>
        <v>-0.53703715456817913</v>
      </c>
    </row>
    <row r="183" spans="1:8" x14ac:dyDescent="0.35">
      <c r="A183">
        <v>183</v>
      </c>
      <c r="B183">
        <f t="shared" si="24"/>
        <v>-0.84992987622168048</v>
      </c>
      <c r="C183">
        <f t="shared" si="25"/>
        <v>0.66003582688284268</v>
      </c>
      <c r="D183">
        <f t="shared" si="26"/>
        <v>-0.75123412278136181</v>
      </c>
      <c r="E183">
        <v>183</v>
      </c>
      <c r="F183">
        <f t="shared" si="27"/>
        <v>-0.84992987622168048</v>
      </c>
      <c r="G183">
        <f t="shared" si="28"/>
        <v>0.46671580901492854</v>
      </c>
      <c r="H183">
        <f t="shared" si="29"/>
        <v>-0.53120274247742871</v>
      </c>
    </row>
    <row r="184" spans="1:8" x14ac:dyDescent="0.35">
      <c r="A184">
        <v>184</v>
      </c>
      <c r="B184">
        <f t="shared" si="24"/>
        <v>-0.83733832249987783</v>
      </c>
      <c r="C184">
        <f t="shared" si="25"/>
        <v>0.66944245901125288</v>
      </c>
      <c r="D184">
        <f t="shared" si="26"/>
        <v>-0.74286391356221293</v>
      </c>
      <c r="E184">
        <v>184</v>
      </c>
      <c r="F184">
        <f t="shared" si="27"/>
        <v>-0.83733832249987783</v>
      </c>
      <c r="G184">
        <f t="shared" si="28"/>
        <v>0.47336730238105462</v>
      </c>
      <c r="H184">
        <f t="shared" si="29"/>
        <v>-0.52528411077861836</v>
      </c>
    </row>
    <row r="185" spans="1:8" x14ac:dyDescent="0.35">
      <c r="A185">
        <v>185</v>
      </c>
      <c r="B185">
        <f t="shared" si="24"/>
        <v>-0.82474676877807473</v>
      </c>
      <c r="C185">
        <f t="shared" si="25"/>
        <v>0.67874295429772324</v>
      </c>
      <c r="D185">
        <f t="shared" si="26"/>
        <v>-0.73437592688703979</v>
      </c>
      <c r="E185">
        <v>185</v>
      </c>
      <c r="F185">
        <f t="shared" si="27"/>
        <v>-0.82474676877807473</v>
      </c>
      <c r="G185">
        <f t="shared" si="28"/>
        <v>0.47994374566651132</v>
      </c>
      <c r="H185">
        <f t="shared" si="29"/>
        <v>-0.51928219784198237</v>
      </c>
    </row>
    <row r="186" spans="1:8" x14ac:dyDescent="0.35">
      <c r="A186">
        <v>186</v>
      </c>
      <c r="B186">
        <f t="shared" si="24"/>
        <v>-0.81215521505627208</v>
      </c>
      <c r="C186">
        <f t="shared" si="25"/>
        <v>0.68793583819401527</v>
      </c>
      <c r="D186">
        <f t="shared" si="26"/>
        <v>-0.72577150848479688</v>
      </c>
      <c r="E186">
        <v>186</v>
      </c>
      <c r="F186">
        <f t="shared" si="27"/>
        <v>-0.81215521505627208</v>
      </c>
      <c r="G186">
        <f t="shared" si="28"/>
        <v>0.48644409620824008</v>
      </c>
      <c r="H186">
        <f t="shared" si="29"/>
        <v>-0.51319795524159018</v>
      </c>
    </row>
    <row r="187" spans="1:8" x14ac:dyDescent="0.35">
      <c r="A187">
        <v>187</v>
      </c>
      <c r="B187">
        <f t="shared" si="24"/>
        <v>-0.79956366133446943</v>
      </c>
      <c r="C187">
        <f t="shared" si="25"/>
        <v>0.69701965321315373</v>
      </c>
      <c r="D187">
        <f t="shared" si="26"/>
        <v>-0.71705202254412126</v>
      </c>
      <c r="E187">
        <v>187</v>
      </c>
      <c r="F187">
        <f t="shared" si="27"/>
        <v>-0.79956366133446943</v>
      </c>
      <c r="G187">
        <f t="shared" si="28"/>
        <v>0.49286732340731709</v>
      </c>
      <c r="H187">
        <f t="shared" si="29"/>
        <v>-0.50703234760447768</v>
      </c>
    </row>
    <row r="188" spans="1:8" x14ac:dyDescent="0.35">
      <c r="A188">
        <v>188</v>
      </c>
      <c r="B188">
        <f t="shared" si="24"/>
        <v>-0.78697210761266634</v>
      </c>
      <c r="C188">
        <f t="shared" si="25"/>
        <v>0.70599295916050209</v>
      </c>
      <c r="D188">
        <f t="shared" si="26"/>
        <v>-0.70821885149704789</v>
      </c>
      <c r="E188">
        <v>188</v>
      </c>
      <c r="F188">
        <f t="shared" si="27"/>
        <v>-0.78697210761266634</v>
      </c>
      <c r="G188">
        <f t="shared" si="28"/>
        <v>0.49921240889234869</v>
      </c>
      <c r="H188">
        <f t="shared" si="29"/>
        <v>-0.50078635245771141</v>
      </c>
    </row>
    <row r="189" spans="1:8" x14ac:dyDescent="0.35">
      <c r="A189">
        <v>189</v>
      </c>
      <c r="B189">
        <f t="shared" si="24"/>
        <v>-0.77438055389086369</v>
      </c>
      <c r="C189">
        <f t="shared" si="25"/>
        <v>0.7148543333620988</v>
      </c>
      <c r="D189">
        <f t="shared" si="26"/>
        <v>-0.69927339579983261</v>
      </c>
      <c r="E189">
        <v>189</v>
      </c>
      <c r="F189">
        <f t="shared" si="27"/>
        <v>-0.77438055389086369</v>
      </c>
      <c r="G189">
        <f t="shared" si="28"/>
        <v>0.50547834668092928</v>
      </c>
      <c r="H189">
        <f t="shared" si="29"/>
        <v>-0.49446096007340662</v>
      </c>
    </row>
    <row r="190" spans="1:8" x14ac:dyDescent="0.35">
      <c r="A190">
        <v>190</v>
      </c>
      <c r="B190">
        <f t="shared" si="24"/>
        <v>-0.76178900016906104</v>
      </c>
      <c r="C190">
        <f t="shared" si="25"/>
        <v>0.72360237089021584</v>
      </c>
      <c r="D190">
        <f t="shared" si="26"/>
        <v>-0.6902170737109149</v>
      </c>
      <c r="E190">
        <v>190</v>
      </c>
      <c r="F190">
        <f t="shared" si="27"/>
        <v>-0.76178900016906104</v>
      </c>
      <c r="G190">
        <f t="shared" si="28"/>
        <v>0.51166414333913524</v>
      </c>
      <c r="H190">
        <f t="shared" si="29"/>
        <v>-0.48805717331172338</v>
      </c>
    </row>
    <row r="191" spans="1:8" x14ac:dyDescent="0.35">
      <c r="A191">
        <v>191</v>
      </c>
      <c r="B191">
        <f t="shared" si="24"/>
        <v>-0.74919744644725794</v>
      </c>
      <c r="C191">
        <f t="shared" si="25"/>
        <v>0.73223568478610324</v>
      </c>
      <c r="D191">
        <f t="shared" si="26"/>
        <v>-0.6810513210660607</v>
      </c>
      <c r="E191">
        <v>191</v>
      </c>
      <c r="F191">
        <f t="shared" si="27"/>
        <v>-0.74919744644725794</v>
      </c>
      <c r="G191">
        <f t="shared" si="28"/>
        <v>0.5177688181390292</v>
      </c>
      <c r="H191">
        <f t="shared" si="29"/>
        <v>-0.48157600746186846</v>
      </c>
    </row>
    <row r="192" spans="1:8" x14ac:dyDescent="0.35">
      <c r="A192">
        <v>192</v>
      </c>
      <c r="B192">
        <f t="shared" si="24"/>
        <v>-0.73660589272545529</v>
      </c>
      <c r="C192">
        <f t="shared" si="25"/>
        <v>0.74075290627988322</v>
      </c>
      <c r="D192">
        <f t="shared" si="26"/>
        <v>-0.67177759105071866</v>
      </c>
      <c r="E192">
        <v>192</v>
      </c>
      <c r="F192">
        <f t="shared" si="27"/>
        <v>-0.73660589272545529</v>
      </c>
      <c r="G192">
        <f t="shared" si="28"/>
        <v>0.52379140321414885</v>
      </c>
      <c r="H192">
        <f t="shared" si="29"/>
        <v>-0.47501849008112684</v>
      </c>
    </row>
    <row r="193" spans="1:8" x14ac:dyDescent="0.35">
      <c r="A193">
        <v>193</v>
      </c>
      <c r="B193">
        <f t="shared" ref="B193:B256" si="30">-3.14159265358979+(A193-1)*0.0125915537218028</f>
        <v>-0.72401433900365264</v>
      </c>
      <c r="C193">
        <f t="shared" ref="C193:C256" si="31">1*COS(B193)+0</f>
        <v>0.74915268500756382</v>
      </c>
      <c r="D193">
        <f t="shared" ref="D193:D256" si="32">1*SIN(B193)+0+0*COS(B193)</f>
        <v>-0.66239735396962285</v>
      </c>
      <c r="E193">
        <v>193</v>
      </c>
      <c r="F193">
        <f t="shared" ref="F193:F256" si="33">-3.14159265358979+(E193-1)*0.0125915537218028</f>
        <v>-0.72401433900365264</v>
      </c>
      <c r="G193">
        <f t="shared" ref="G193:G256" si="34">0.707106781186548*COS(F193)+0</f>
        <v>0.52973094371295837</v>
      </c>
      <c r="H193">
        <f t="shared" ref="H193:H256" si="35">0.707106781186548*SIN(F193)+0+0*COS(F193)</f>
        <v>-0.46838566083194649</v>
      </c>
    </row>
    <row r="194" spans="1:8" x14ac:dyDescent="0.35">
      <c r="A194">
        <v>194</v>
      </c>
      <c r="B194">
        <f t="shared" si="30"/>
        <v>-0.71142278528184955</v>
      </c>
      <c r="C194">
        <f t="shared" si="31"/>
        <v>0.7574336892251321</v>
      </c>
      <c r="D194">
        <f t="shared" si="32"/>
        <v>-0.65291209701368369</v>
      </c>
      <c r="E194">
        <v>194</v>
      </c>
      <c r="F194">
        <f t="shared" si="33"/>
        <v>-0.71142278528184955</v>
      </c>
      <c r="G194">
        <f t="shared" si="34"/>
        <v>0.53558649795023527</v>
      </c>
      <c r="H194">
        <f t="shared" si="35"/>
        <v>-0.46167857131710505</v>
      </c>
    </row>
    <row r="195" spans="1:8" x14ac:dyDescent="0.35">
      <c r="A195">
        <v>195</v>
      </c>
      <c r="B195">
        <f t="shared" si="30"/>
        <v>-0.69883123156004689</v>
      </c>
      <c r="C195">
        <f t="shared" si="31"/>
        <v>0.76559460601969409</v>
      </c>
      <c r="D195">
        <f t="shared" si="32"/>
        <v>-0.64332332402420278</v>
      </c>
      <c r="E195">
        <v>195</v>
      </c>
      <c r="F195">
        <f t="shared" si="33"/>
        <v>-0.69883123156004689</v>
      </c>
      <c r="G195">
        <f t="shared" si="34"/>
        <v>0.54135713755636927</v>
      </c>
      <c r="H195">
        <f t="shared" si="35"/>
        <v>-0.45489828491298467</v>
      </c>
    </row>
    <row r="196" spans="1:8" x14ac:dyDescent="0.35">
      <c r="A196">
        <v>196</v>
      </c>
      <c r="B196">
        <f t="shared" si="30"/>
        <v>-0.6862396778382438</v>
      </c>
      <c r="C196">
        <f t="shared" si="31"/>
        <v>0.77363414151763321</v>
      </c>
      <c r="D196">
        <f t="shared" si="32"/>
        <v>-0.63363255525444295</v>
      </c>
      <c r="E196">
        <v>196</v>
      </c>
      <c r="F196">
        <f t="shared" si="33"/>
        <v>-0.6862396778382438</v>
      </c>
      <c r="G196">
        <f t="shared" si="34"/>
        <v>0.54704194762455194</v>
      </c>
      <c r="H196">
        <f t="shared" si="35"/>
        <v>-0.44804587660097667</v>
      </c>
    </row>
    <row r="197" spans="1:8" x14ac:dyDescent="0.35">
      <c r="A197">
        <v>197</v>
      </c>
      <c r="B197">
        <f t="shared" si="30"/>
        <v>-0.67364812411644115</v>
      </c>
      <c r="C197">
        <f t="shared" si="31"/>
        <v>0.78155102108974517</v>
      </c>
      <c r="D197">
        <f t="shared" si="32"/>
        <v>-0.62384132712860307</v>
      </c>
      <c r="E197">
        <v>197</v>
      </c>
      <c r="F197">
        <f t="shared" si="33"/>
        <v>-0.67364812411644115</v>
      </c>
      <c r="G197">
        <f t="shared" si="34"/>
        <v>0.55264002685582958</v>
      </c>
      <c r="H197">
        <f t="shared" si="35"/>
        <v>-0.44112243279705088</v>
      </c>
    </row>
    <row r="198" spans="1:8" x14ac:dyDescent="0.35">
      <c r="A198">
        <v>198</v>
      </c>
      <c r="B198">
        <f t="shared" si="30"/>
        <v>-0.6610565703946385</v>
      </c>
      <c r="C198">
        <f t="shared" si="31"/>
        <v>0.78934398955332641</v>
      </c>
      <c r="D198">
        <f t="shared" si="32"/>
        <v>-0.61395119199822235</v>
      </c>
      <c r="E198">
        <v>198</v>
      </c>
      <c r="F198">
        <f t="shared" si="33"/>
        <v>-0.6610565703946385</v>
      </c>
      <c r="G198">
        <f t="shared" si="34"/>
        <v>0.55815048770200082</v>
      </c>
      <c r="H198">
        <f t="shared" si="35"/>
        <v>-0.43412905117950734</v>
      </c>
    </row>
    <row r="199" spans="1:8" x14ac:dyDescent="0.35">
      <c r="A199">
        <v>199</v>
      </c>
      <c r="B199">
        <f t="shared" si="30"/>
        <v>-0.6484650166728354</v>
      </c>
      <c r="C199">
        <f t="shared" si="31"/>
        <v>0.79701181137117627</v>
      </c>
      <c r="D199">
        <f t="shared" si="32"/>
        <v>-0.60396371789606418</v>
      </c>
      <c r="E199">
        <v>199</v>
      </c>
      <c r="F199">
        <f t="shared" si="33"/>
        <v>-0.6484650166728354</v>
      </c>
      <c r="G199">
        <f t="shared" si="34"/>
        <v>0.56357245650633259</v>
      </c>
      <c r="H199">
        <f t="shared" si="35"/>
        <v>-0.42706684051494626</v>
      </c>
    </row>
    <row r="200" spans="1:8" x14ac:dyDescent="0.35">
      <c r="A200">
        <v>200</v>
      </c>
      <c r="B200">
        <f t="shared" si="30"/>
        <v>-0.63587346295103275</v>
      </c>
      <c r="C200">
        <f t="shared" si="31"/>
        <v>0.80455327084748429</v>
      </c>
      <c r="D200">
        <f t="shared" si="32"/>
        <v>-0.59388048828751272</v>
      </c>
      <c r="E200">
        <v>200</v>
      </c>
      <c r="F200">
        <f t="shared" si="33"/>
        <v>-0.63587346295103275</v>
      </c>
      <c r="G200">
        <f t="shared" si="34"/>
        <v>0.56890507364207354</v>
      </c>
      <c r="H200">
        <f t="shared" si="35"/>
        <v>-0.41993692048247855</v>
      </c>
    </row>
    <row r="201" spans="1:8" x14ac:dyDescent="0.35">
      <c r="A201">
        <v>201</v>
      </c>
      <c r="B201">
        <f t="shared" si="30"/>
        <v>-0.6232819092292301</v>
      </c>
      <c r="C201">
        <f t="shared" si="31"/>
        <v>0.81196717232057491</v>
      </c>
      <c r="D201">
        <f t="shared" si="32"/>
        <v>-0.58370310181952068</v>
      </c>
      <c r="E201">
        <v>201</v>
      </c>
      <c r="F201">
        <f t="shared" si="33"/>
        <v>-0.6232819092292301</v>
      </c>
      <c r="G201">
        <f t="shared" si="34"/>
        <v>0.57414749364874484</v>
      </c>
      <c r="H201">
        <f t="shared" si="35"/>
        <v>-0.41274042149620516</v>
      </c>
    </row>
    <row r="202" spans="1:8" x14ac:dyDescent="0.35">
      <c r="A202">
        <v>202</v>
      </c>
      <c r="B202">
        <f t="shared" si="30"/>
        <v>-0.61069035550742701</v>
      </c>
      <c r="C202">
        <f t="shared" si="31"/>
        <v>0.81925234035247285</v>
      </c>
      <c r="D202">
        <f t="shared" si="32"/>
        <v>-0.57343317206715205</v>
      </c>
      <c r="E202">
        <v>202</v>
      </c>
      <c r="F202">
        <f t="shared" si="33"/>
        <v>-0.61069035550742701</v>
      </c>
      <c r="G202">
        <f t="shared" si="34"/>
        <v>0.57929888536618335</v>
      </c>
      <c r="H202">
        <f t="shared" si="35"/>
        <v>-0.40547848452599583</v>
      </c>
    </row>
    <row r="203" spans="1:8" x14ac:dyDescent="0.35">
      <c r="A203">
        <v>203</v>
      </c>
      <c r="B203">
        <f t="shared" si="30"/>
        <v>-0.59809880178562436</v>
      </c>
      <c r="C203">
        <f t="shared" si="31"/>
        <v>0.82640761991526213</v>
      </c>
      <c r="D203">
        <f t="shared" si="32"/>
        <v>-0.56307232727775902</v>
      </c>
      <c r="E203">
        <v>203</v>
      </c>
      <c r="F203">
        <f t="shared" si="33"/>
        <v>-0.59809880178562436</v>
      </c>
      <c r="G203">
        <f t="shared" si="34"/>
        <v>0.58435843206631721</v>
      </c>
      <c r="H203">
        <f t="shared" si="35"/>
        <v>-0.39815226091659472</v>
      </c>
    </row>
    <row r="204" spans="1:8" x14ac:dyDescent="0.35">
      <c r="A204">
        <v>204</v>
      </c>
      <c r="B204">
        <f t="shared" si="30"/>
        <v>-0.58550724806382171</v>
      </c>
      <c r="C204">
        <f t="shared" si="31"/>
        <v>0.83343187657421181</v>
      </c>
      <c r="D204">
        <f t="shared" si="32"/>
        <v>-0.55262221011282897</v>
      </c>
      <c r="E204">
        <v>204</v>
      </c>
      <c r="F204">
        <f t="shared" si="33"/>
        <v>-0.58550724806382171</v>
      </c>
      <c r="G204">
        <f t="shared" si="34"/>
        <v>0.58932533158265532</v>
      </c>
      <c r="H204">
        <f t="shared" si="35"/>
        <v>-0.39076291220507869</v>
      </c>
    </row>
    <row r="205" spans="1:8" x14ac:dyDescent="0.35">
      <c r="A205">
        <v>205</v>
      </c>
      <c r="B205">
        <f t="shared" si="30"/>
        <v>-0.57291569434201861</v>
      </c>
      <c r="C205">
        <f t="shared" si="31"/>
        <v>0.84032399666763458</v>
      </c>
      <c r="D205">
        <f t="shared" si="32"/>
        <v>-0.54208447738755017</v>
      </c>
      <c r="E205">
        <v>205</v>
      </c>
      <c r="F205">
        <f t="shared" si="33"/>
        <v>-0.57291569434201861</v>
      </c>
      <c r="G205">
        <f t="shared" si="34"/>
        <v>0.59419879643746654</v>
      </c>
      <c r="H205">
        <f t="shared" si="35"/>
        <v>-0.38331160993670266</v>
      </c>
    </row>
    <row r="206" spans="1:8" x14ac:dyDescent="0.35">
      <c r="A206">
        <v>206</v>
      </c>
      <c r="B206">
        <f t="shared" si="30"/>
        <v>-0.56032414062021596</v>
      </c>
      <c r="C206">
        <f t="shared" si="31"/>
        <v>0.84708288748345095</v>
      </c>
      <c r="D206">
        <f t="shared" si="32"/>
        <v>-0.53146079980813188</v>
      </c>
      <c r="E206">
        <v>206</v>
      </c>
      <c r="F206">
        <f t="shared" si="33"/>
        <v>-0.56032414062021596</v>
      </c>
      <c r="G206">
        <f t="shared" si="34"/>
        <v>0.59897805396662984</v>
      </c>
      <c r="H206">
        <f t="shared" si="35"/>
        <v>-0.37579953547915651</v>
      </c>
    </row>
    <row r="207" spans="1:8" x14ac:dyDescent="0.35">
      <c r="A207">
        <v>207</v>
      </c>
      <c r="B207">
        <f t="shared" si="30"/>
        <v>-0.54773258689841331</v>
      </c>
      <c r="C207">
        <f t="shared" si="31"/>
        <v>0.8537074774324358</v>
      </c>
      <c r="D207">
        <f t="shared" si="32"/>
        <v>-0.52075286170692059</v>
      </c>
      <c r="E207">
        <v>207</v>
      </c>
      <c r="F207">
        <f t="shared" si="33"/>
        <v>-0.54773258689841331</v>
      </c>
      <c r="G207">
        <f t="shared" si="34"/>
        <v>0.60366234644213723</v>
      </c>
      <c r="H207">
        <f t="shared" si="35"/>
        <v>-0.36822787983526417</v>
      </c>
    </row>
    <row r="208" spans="1:8" x14ac:dyDescent="0.35">
      <c r="A208">
        <v>208</v>
      </c>
      <c r="B208">
        <f t="shared" si="30"/>
        <v>-0.53514103317661021</v>
      </c>
      <c r="C208">
        <f t="shared" si="31"/>
        <v>0.86019671621811211</v>
      </c>
      <c r="D208">
        <f t="shared" si="32"/>
        <v>-0.50996236077535817</v>
      </c>
      <c r="E208">
        <v>208</v>
      </c>
      <c r="F208">
        <f t="shared" si="33"/>
        <v>-0.53514103317661021</v>
      </c>
      <c r="G208">
        <f t="shared" si="34"/>
        <v>0.60825093119222773</v>
      </c>
      <c r="H208">
        <f t="shared" si="35"/>
        <v>-0.36059784345415663</v>
      </c>
    </row>
    <row r="209" spans="1:8" x14ac:dyDescent="0.35">
      <c r="A209">
        <v>209</v>
      </c>
      <c r="B209">
        <f t="shared" si="30"/>
        <v>-0.52254947945480756</v>
      </c>
      <c r="C209">
        <f t="shared" si="31"/>
        <v>0.86654957500327034</v>
      </c>
      <c r="D209">
        <f t="shared" si="32"/>
        <v>-0.49909100779482252</v>
      </c>
      <c r="E209">
        <v>209</v>
      </c>
      <c r="F209">
        <f t="shared" si="33"/>
        <v>-0.52254947945480756</v>
      </c>
      <c r="G209">
        <f t="shared" si="34"/>
        <v>0.61274308071913364</v>
      </c>
      <c r="H209">
        <f t="shared" si="35"/>
        <v>-0.3529106360409473</v>
      </c>
    </row>
    <row r="210" spans="1:8" x14ac:dyDescent="0.35">
      <c r="A210">
        <v>210</v>
      </c>
      <c r="B210">
        <f t="shared" si="30"/>
        <v>-0.50995792573300491</v>
      </c>
      <c r="C210">
        <f t="shared" si="31"/>
        <v>0.87276504657308618</v>
      </c>
      <c r="D210">
        <f t="shared" si="32"/>
        <v>-0.48814052636538874</v>
      </c>
      <c r="E210">
        <v>210</v>
      </c>
      <c r="F210">
        <f t="shared" si="33"/>
        <v>-0.50995792573300491</v>
      </c>
      <c r="G210">
        <f t="shared" si="34"/>
        <v>0.61713808281442262</v>
      </c>
      <c r="H210">
        <f t="shared" si="35"/>
        <v>-0.34516747636493733</v>
      </c>
    </row>
    <row r="211" spans="1:8" x14ac:dyDescent="0.35">
      <c r="A211">
        <v>211</v>
      </c>
      <c r="B211">
        <f t="shared" si="30"/>
        <v>-0.49736637201120182</v>
      </c>
      <c r="C211">
        <f t="shared" si="31"/>
        <v>0.87884214549480955</v>
      </c>
      <c r="D211">
        <f t="shared" si="32"/>
        <v>-0.47711265263256231</v>
      </c>
      <c r="E211">
        <v>211</v>
      </c>
      <c r="F211">
        <f t="shared" si="33"/>
        <v>-0.49736637201120182</v>
      </c>
      <c r="G211">
        <f t="shared" si="34"/>
        <v>0.62143524067191469</v>
      </c>
      <c r="H211">
        <f t="shared" si="35"/>
        <v>-0.33736959206638673</v>
      </c>
    </row>
    <row r="212" spans="1:8" x14ac:dyDescent="0.35">
      <c r="A212">
        <v>212</v>
      </c>
      <c r="B212">
        <f t="shared" si="30"/>
        <v>-0.48477481828939917</v>
      </c>
      <c r="C212">
        <f t="shared" si="31"/>
        <v>0.88477990827399922</v>
      </c>
      <c r="D212">
        <f t="shared" si="32"/>
        <v>-0.46600913501202273</v>
      </c>
      <c r="E212">
        <v>212</v>
      </c>
      <c r="F212">
        <f t="shared" si="33"/>
        <v>-0.48477481828939917</v>
      </c>
      <c r="G212">
        <f t="shared" si="34"/>
        <v>0.62563387299815676</v>
      </c>
      <c r="H212">
        <f t="shared" si="35"/>
        <v>-0.32951821946187887</v>
      </c>
    </row>
    <row r="213" spans="1:8" x14ac:dyDescent="0.35">
      <c r="A213">
        <v>213</v>
      </c>
      <c r="B213">
        <f t="shared" si="30"/>
        <v>-0.47218326456759652</v>
      </c>
      <c r="C213">
        <f t="shared" si="31"/>
        <v>0.89057739350728138</v>
      </c>
      <c r="D213">
        <f t="shared" si="32"/>
        <v>-0.45483173391241832</v>
      </c>
      <c r="E213">
        <v>213</v>
      </c>
      <c r="F213">
        <f t="shared" si="33"/>
        <v>-0.47218326456759652</v>
      </c>
      <c r="G213">
        <f t="shared" si="34"/>
        <v>0.62973331412043954</v>
      </c>
      <c r="H213">
        <f t="shared" si="35"/>
        <v>-0.3216146033483066</v>
      </c>
    </row>
    <row r="214" spans="1:8" x14ac:dyDescent="0.35">
      <c r="A214">
        <v>214</v>
      </c>
      <c r="B214">
        <f t="shared" si="30"/>
        <v>-0.45959171084579342</v>
      </c>
      <c r="C214">
        <f t="shared" si="31"/>
        <v>0.89623368203160425</v>
      </c>
      <c r="D214">
        <f t="shared" si="32"/>
        <v>-0.44358222145626325</v>
      </c>
      <c r="E214">
        <v>214</v>
      </c>
      <c r="F214">
        <f t="shared" si="33"/>
        <v>-0.45959171084579342</v>
      </c>
      <c r="G214">
        <f t="shared" si="34"/>
        <v>0.63373291409233579</v>
      </c>
      <c r="H214">
        <f t="shared" si="35"/>
        <v>-0.31365999680551682</v>
      </c>
    </row>
    <row r="215" spans="1:8" x14ac:dyDescent="0.35">
      <c r="A215">
        <v>215</v>
      </c>
      <c r="B215">
        <f t="shared" si="30"/>
        <v>-0.44700015712399077</v>
      </c>
      <c r="C215">
        <f t="shared" si="31"/>
        <v>0.90174787706996573</v>
      </c>
      <c r="D215">
        <f t="shared" si="32"/>
        <v>-0.43226238119897725</v>
      </c>
      <c r="E215">
        <v>215</v>
      </c>
      <c r="F215">
        <f t="shared" si="33"/>
        <v>-0.44700015712399077</v>
      </c>
      <c r="G215">
        <f t="shared" si="34"/>
        <v>0.63763203879674646</v>
      </c>
      <c r="H215">
        <f t="shared" si="35"/>
        <v>-0.30565566099764141</v>
      </c>
    </row>
    <row r="216" spans="1:8" x14ac:dyDescent="0.35">
      <c r="A216">
        <v>216</v>
      </c>
      <c r="B216">
        <f t="shared" si="30"/>
        <v>-0.43440860340218812</v>
      </c>
      <c r="C216">
        <f t="shared" si="31"/>
        <v>0.907119104373595</v>
      </c>
      <c r="D216">
        <f t="shared" si="32"/>
        <v>-0.4208740078461094</v>
      </c>
      <c r="E216">
        <v>216</v>
      </c>
      <c r="F216">
        <f t="shared" si="33"/>
        <v>-0.43440860340218812</v>
      </c>
      <c r="G216">
        <f t="shared" si="34"/>
        <v>0.64143007004643704</v>
      </c>
      <c r="H216">
        <f t="shared" si="35"/>
        <v>-0.29760286497314437</v>
      </c>
    </row>
    <row r="217" spans="1:8" x14ac:dyDescent="0.35">
      <c r="A217">
        <v>217</v>
      </c>
      <c r="B217">
        <f t="shared" si="30"/>
        <v>-0.42181704968038503</v>
      </c>
      <c r="C217">
        <f t="shared" si="31"/>
        <v>0.91234651236055886</v>
      </c>
      <c r="D217">
        <f t="shared" si="32"/>
        <v>-0.40941890696879712</v>
      </c>
      <c r="E217">
        <v>217</v>
      </c>
      <c r="F217">
        <f t="shared" si="33"/>
        <v>-0.42181704968038503</v>
      </c>
      <c r="G217">
        <f t="shared" si="34"/>
        <v>0.64512640568204793</v>
      </c>
      <c r="H217">
        <f t="shared" si="35"/>
        <v>-0.28950288546362091</v>
      </c>
    </row>
    <row r="218" spans="1:8" x14ac:dyDescent="0.35">
      <c r="A218">
        <v>218</v>
      </c>
      <c r="B218">
        <f t="shared" si="30"/>
        <v>-0.40922549595858237</v>
      </c>
      <c r="C218">
        <f t="shared" si="31"/>
        <v>0.91742927225077642</v>
      </c>
      <c r="D218">
        <f t="shared" si="32"/>
        <v>-0.39789889471750334</v>
      </c>
      <c r="E218">
        <v>218</v>
      </c>
      <c r="F218">
        <f t="shared" si="33"/>
        <v>-0.40922549595858237</v>
      </c>
      <c r="G218">
        <f t="shared" si="34"/>
        <v>0.64872045966756375</v>
      </c>
      <c r="H218">
        <f t="shared" si="35"/>
        <v>-0.28135700668137892</v>
      </c>
    </row>
    <row r="219" spans="1:8" x14ac:dyDescent="0.35">
      <c r="A219">
        <v>219</v>
      </c>
      <c r="B219">
        <f t="shared" si="30"/>
        <v>-0.39663394223677972</v>
      </c>
      <c r="C219">
        <f t="shared" si="31"/>
        <v>0.92236657819741819</v>
      </c>
      <c r="D219">
        <f t="shared" si="32"/>
        <v>-0.38631579753407186</v>
      </c>
      <c r="E219">
        <v>219</v>
      </c>
      <c r="F219">
        <f t="shared" si="33"/>
        <v>-0.39663394223677972</v>
      </c>
      <c r="G219">
        <f t="shared" si="34"/>
        <v>0.65221166218322679</v>
      </c>
      <c r="H219">
        <f t="shared" si="35"/>
        <v>-0.27316652011583176</v>
      </c>
    </row>
    <row r="220" spans="1:8" x14ac:dyDescent="0.35">
      <c r="A220">
        <v>220</v>
      </c>
      <c r="B220">
        <f t="shared" si="30"/>
        <v>-0.38404238851497663</v>
      </c>
      <c r="C220">
        <f t="shared" si="31"/>
        <v>0.92715764741466955</v>
      </c>
      <c r="D220">
        <f t="shared" si="32"/>
        <v>-0.37467145186215534</v>
      </c>
      <c r="E220">
        <v>220</v>
      </c>
      <c r="F220">
        <f t="shared" si="33"/>
        <v>-0.38404238851497663</v>
      </c>
      <c r="G220">
        <f t="shared" si="34"/>
        <v>0.65559945971587941</v>
      </c>
      <c r="H220">
        <f t="shared" si="35"/>
        <v>-0.26493272432873932</v>
      </c>
    </row>
    <row r="221" spans="1:8" x14ac:dyDescent="0.35">
      <c r="A221">
        <v>221</v>
      </c>
      <c r="B221">
        <f t="shared" si="30"/>
        <v>-0.37145083479317398</v>
      </c>
      <c r="C221">
        <f t="shared" si="31"/>
        <v>0.93180172030183628</v>
      </c>
      <c r="D221">
        <f t="shared" si="32"/>
        <v>-0.3629677038560572</v>
      </c>
      <c r="E221">
        <v>221</v>
      </c>
      <c r="F221">
        <f t="shared" si="33"/>
        <v>-0.37145083479317398</v>
      </c>
      <c r="G221">
        <f t="shared" si="34"/>
        <v>0.65888331514671961</v>
      </c>
      <c r="H221">
        <f t="shared" si="35"/>
        <v>-0.2566569247483288</v>
      </c>
    </row>
    <row r="222" spans="1:8" x14ac:dyDescent="0.35">
      <c r="A222">
        <v>222</v>
      </c>
      <c r="B222">
        <f t="shared" si="30"/>
        <v>-0.35885928107137133</v>
      </c>
      <c r="C222">
        <f t="shared" si="31"/>
        <v>0.9362980605637774</v>
      </c>
      <c r="D222">
        <f t="shared" si="32"/>
        <v>-0.35120640908803058</v>
      </c>
      <c r="E222">
        <v>222</v>
      </c>
      <c r="F222">
        <f t="shared" si="33"/>
        <v>-0.35885928107137133</v>
      </c>
      <c r="G222">
        <f t="shared" si="34"/>
        <v>0.66206270783646026</v>
      </c>
      <c r="H222">
        <f t="shared" si="35"/>
        <v>-0.24834043346232332</v>
      </c>
    </row>
    <row r="223" spans="1:8" x14ac:dyDescent="0.35">
      <c r="A223">
        <v>223</v>
      </c>
      <c r="B223">
        <f t="shared" si="30"/>
        <v>-0.34626772734956823</v>
      </c>
      <c r="C223">
        <f t="shared" si="31"/>
        <v>0.94064595532763984</v>
      </c>
      <c r="D223">
        <f t="shared" si="32"/>
        <v>-0.3393894322540873</v>
      </c>
      <c r="E223">
        <v>223</v>
      </c>
      <c r="F223">
        <f t="shared" si="33"/>
        <v>-0.34626772734956823</v>
      </c>
      <c r="G223">
        <f t="shared" si="34"/>
        <v>0.66513713370787286</v>
      </c>
      <c r="H223">
        <f t="shared" si="35"/>
        <v>-0.23998456900991766</v>
      </c>
    </row>
    <row r="224" spans="1:8" x14ac:dyDescent="0.35">
      <c r="A224">
        <v>224</v>
      </c>
      <c r="B224">
        <f t="shared" si="30"/>
        <v>-0.33367617362776558</v>
      </c>
      <c r="C224">
        <f t="shared" si="31"/>
        <v>0.94484471525588132</v>
      </c>
      <c r="D224">
        <f t="shared" si="32"/>
        <v>-0.32751864687836102</v>
      </c>
      <c r="E224">
        <v>224</v>
      </c>
      <c r="F224">
        <f t="shared" si="33"/>
        <v>-0.33367617362776558</v>
      </c>
      <c r="G224">
        <f t="shared" si="34"/>
        <v>0.66810610532570669</v>
      </c>
      <c r="H224">
        <f t="shared" si="35"/>
        <v>-0.2315906561727315</v>
      </c>
    </row>
    <row r="225" spans="1:8" x14ac:dyDescent="0.35">
      <c r="A225">
        <v>225</v>
      </c>
      <c r="B225">
        <f t="shared" si="30"/>
        <v>-0.32108461990596293</v>
      </c>
      <c r="C225">
        <f t="shared" si="31"/>
        <v>0.94889367465556163</v>
      </c>
      <c r="D225">
        <f t="shared" si="32"/>
        <v>-0.31559593501606631</v>
      </c>
      <c r="E225">
        <v>225</v>
      </c>
      <c r="F225">
        <f t="shared" si="33"/>
        <v>-0.32108461990596293</v>
      </c>
      <c r="G225">
        <f t="shared" si="34"/>
        <v>0.67096915197396967</v>
      </c>
      <c r="H225">
        <f t="shared" si="35"/>
        <v>-0.22316002576476962</v>
      </c>
    </row>
    <row r="226" spans="1:8" x14ac:dyDescent="0.35">
      <c r="A226">
        <v>226</v>
      </c>
      <c r="B226">
        <f t="shared" si="30"/>
        <v>-0.30849306618415984</v>
      </c>
      <c r="C226">
        <f t="shared" si="31"/>
        <v>0.95279219158388506</v>
      </c>
      <c r="D226">
        <f t="shared" si="32"/>
        <v>-0.30362318695510926</v>
      </c>
      <c r="E226">
        <v>226</v>
      </c>
      <c r="F226">
        <f t="shared" si="33"/>
        <v>-0.30849306618415984</v>
      </c>
      <c r="G226">
        <f t="shared" si="34"/>
        <v>0.67372581973055778</v>
      </c>
      <c r="H226">
        <f t="shared" si="35"/>
        <v>-0.2146940144214288</v>
      </c>
    </row>
    <row r="227" spans="1:8" x14ac:dyDescent="0.35">
      <c r="A227">
        <v>227</v>
      </c>
      <c r="B227">
        <f t="shared" si="30"/>
        <v>-0.29590151246235719</v>
      </c>
      <c r="C227">
        <f t="shared" si="31"/>
        <v>0.9565396479499767</v>
      </c>
      <c r="D227">
        <f t="shared" si="32"/>
        <v>-0.29160230091639305</v>
      </c>
      <c r="E227">
        <v>227</v>
      </c>
      <c r="F227">
        <f t="shared" si="33"/>
        <v>-0.29590151246235719</v>
      </c>
      <c r="G227">
        <f t="shared" si="34"/>
        <v>0.67637567153922185</v>
      </c>
      <c r="H227">
        <f t="shared" si="35"/>
        <v>-0.20619396438758186</v>
      </c>
    </row>
    <row r="228" spans="1:8" x14ac:dyDescent="0.35">
      <c r="A228">
        <v>228</v>
      </c>
      <c r="B228">
        <f t="shared" si="30"/>
        <v>-0.28330995874055453</v>
      </c>
      <c r="C228">
        <f t="shared" si="31"/>
        <v>0.96013544961287856</v>
      </c>
      <c r="D228">
        <f t="shared" si="32"/>
        <v>-0.27953518275286143</v>
      </c>
      <c r="E228">
        <v>228</v>
      </c>
      <c r="F228">
        <f t="shared" si="33"/>
        <v>-0.28330995874055453</v>
      </c>
      <c r="G228">
        <f t="shared" si="34"/>
        <v>0.67891828727886161</v>
      </c>
      <c r="H228">
        <f t="shared" si="35"/>
        <v>-0.19766122330476929</v>
      </c>
    </row>
    <row r="229" spans="1:8" x14ac:dyDescent="0.35">
      <c r="A229">
        <v>229</v>
      </c>
      <c r="B229">
        <f t="shared" si="30"/>
        <v>-0.27071840501875144</v>
      </c>
      <c r="C229">
        <f t="shared" si="31"/>
        <v>0.96357902647574722</v>
      </c>
      <c r="D229">
        <f t="shared" si="32"/>
        <v>-0.26742374564733634</v>
      </c>
      <c r="E229">
        <v>229</v>
      </c>
      <c r="F229">
        <f t="shared" si="33"/>
        <v>-0.27071840501875144</v>
      </c>
      <c r="G229">
        <f t="shared" si="34"/>
        <v>0.68135326383013317</v>
      </c>
      <c r="H229">
        <f t="shared" si="35"/>
        <v>-0.18909714399753813</v>
      </c>
    </row>
    <row r="230" spans="1:8" x14ac:dyDescent="0.35">
      <c r="A230">
        <v>230</v>
      </c>
      <c r="B230">
        <f t="shared" si="30"/>
        <v>-0.25812685129694879</v>
      </c>
      <c r="C230">
        <f t="shared" si="31"/>
        <v>0.96686983257623993</v>
      </c>
      <c r="D230">
        <f t="shared" si="32"/>
        <v>-0.25526990980919356</v>
      </c>
      <c r="E230">
        <v>230</v>
      </c>
      <c r="F230">
        <f t="shared" si="33"/>
        <v>-0.25812685129694879</v>
      </c>
      <c r="G230">
        <f t="shared" si="34"/>
        <v>0.68368021513936161</v>
      </c>
      <c r="H230">
        <f t="shared" si="35"/>
        <v>-0.18050308425895928</v>
      </c>
    </row>
    <row r="231" spans="1:8" x14ac:dyDescent="0.35">
      <c r="A231">
        <v>231</v>
      </c>
      <c r="B231">
        <f t="shared" si="30"/>
        <v>-0.24553529757514614</v>
      </c>
      <c r="C231">
        <f t="shared" si="31"/>
        <v>0.97000734617307449</v>
      </c>
      <c r="D231">
        <f t="shared" si="32"/>
        <v>-0.24307560216992019</v>
      </c>
      <c r="E231">
        <v>231</v>
      </c>
      <c r="F231">
        <f t="shared" si="33"/>
        <v>-0.24553529757514614</v>
      </c>
      <c r="G231">
        <f t="shared" si="34"/>
        <v>0.68589877227974827</v>
      </c>
      <c r="H231">
        <f t="shared" si="35"/>
        <v>-0.17188040663535414</v>
      </c>
    </row>
    <row r="232" spans="1:8" x14ac:dyDescent="0.35">
      <c r="A232">
        <v>232</v>
      </c>
      <c r="B232">
        <f t="shared" si="30"/>
        <v>-0.23294374385334304</v>
      </c>
      <c r="C232">
        <f t="shared" si="31"/>
        <v>0.97299106982874872</v>
      </c>
      <c r="D232">
        <f t="shared" si="32"/>
        <v>-0.23084275607761018</v>
      </c>
      <c r="E232">
        <v>232</v>
      </c>
      <c r="F232">
        <f t="shared" si="33"/>
        <v>-0.23294374385334304</v>
      </c>
      <c r="G232">
        <f t="shared" si="34"/>
        <v>0.68800858350986227</v>
      </c>
      <c r="H232">
        <f t="shared" si="35"/>
        <v>-0.16323047821027037</v>
      </c>
    </row>
    <row r="233" spans="1:8" x14ac:dyDescent="0.35">
      <c r="A233">
        <v>233</v>
      </c>
      <c r="B233">
        <f t="shared" si="30"/>
        <v>-0.22035219013154039</v>
      </c>
      <c r="C233">
        <f t="shared" si="31"/>
        <v>0.97582053048840656</v>
      </c>
      <c r="D233">
        <f t="shared" si="32"/>
        <v>-0.21857331099044294</v>
      </c>
      <c r="E233">
        <v>233</v>
      </c>
      <c r="F233">
        <f t="shared" si="33"/>
        <v>-0.22035219013154039</v>
      </c>
      <c r="G233">
        <f t="shared" si="34"/>
        <v>0.69000931432940693</v>
      </c>
      <c r="H233">
        <f t="shared" si="35"/>
        <v>-0.15455467038773846</v>
      </c>
    </row>
    <row r="234" spans="1:8" x14ac:dyDescent="0.35">
      <c r="A234">
        <v>234</v>
      </c>
      <c r="B234">
        <f t="shared" si="30"/>
        <v>-0.20776063640973774</v>
      </c>
      <c r="C234">
        <f t="shared" si="31"/>
        <v>0.97849527955483873</v>
      </c>
      <c r="D234">
        <f t="shared" si="32"/>
        <v>-0.206269212169189</v>
      </c>
      <c r="E234">
        <v>234</v>
      </c>
      <c r="F234">
        <f t="shared" si="33"/>
        <v>-0.20776063640973774</v>
      </c>
      <c r="G234">
        <f t="shared" si="34"/>
        <v>0.69190064753225344</v>
      </c>
      <c r="H234">
        <f t="shared" si="35"/>
        <v>-0.14585435867484037</v>
      </c>
    </row>
    <row r="235" spans="1:8" x14ac:dyDescent="0.35">
      <c r="A235">
        <v>235</v>
      </c>
      <c r="B235">
        <f t="shared" si="30"/>
        <v>-0.19516908268793465</v>
      </c>
      <c r="C235">
        <f t="shared" si="31"/>
        <v>0.9810148929596062</v>
      </c>
      <c r="D235">
        <f t="shared" si="32"/>
        <v>-0.1939324103687996</v>
      </c>
      <c r="E235">
        <v>235</v>
      </c>
      <c r="F235">
        <f t="shared" si="33"/>
        <v>-0.19516908268793465</v>
      </c>
      <c r="G235">
        <f t="shared" si="34"/>
        <v>0.69368228325673309</v>
      </c>
      <c r="H235">
        <f t="shared" si="35"/>
        <v>-0.13713092246363062</v>
      </c>
    </row>
    <row r="236" spans="1:8" x14ac:dyDescent="0.35">
      <c r="A236">
        <v>236</v>
      </c>
      <c r="B236">
        <f t="shared" si="30"/>
        <v>-0.182577528966132</v>
      </c>
      <c r="C236">
        <f t="shared" si="31"/>
        <v>0.98337897123027274</v>
      </c>
      <c r="D236">
        <f t="shared" si="32"/>
        <v>-0.18156486152912546</v>
      </c>
      <c r="E236">
        <v>236</v>
      </c>
      <c r="F236">
        <f t="shared" si="33"/>
        <v>-0.182577528966132</v>
      </c>
      <c r="G236">
        <f t="shared" si="34"/>
        <v>0.69535393903317722</v>
      </c>
      <c r="H236">
        <f t="shared" si="35"/>
        <v>-0.12838574481244119</v>
      </c>
    </row>
    <row r="237" spans="1:8" x14ac:dyDescent="0.35">
      <c r="A237">
        <v>237</v>
      </c>
      <c r="B237">
        <f t="shared" si="30"/>
        <v>-0.16998597524432935</v>
      </c>
      <c r="C237">
        <f t="shared" si="31"/>
        <v>0.98558713955374089</v>
      </c>
      <c r="D237">
        <f t="shared" si="32"/>
        <v>-0.16916852646480929</v>
      </c>
      <c r="E237">
        <v>237</v>
      </c>
      <c r="F237">
        <f t="shared" si="33"/>
        <v>-0.16998597524432935</v>
      </c>
      <c r="G237">
        <f t="shared" si="34"/>
        <v>0.69691534982870285</v>
      </c>
      <c r="H237">
        <f t="shared" si="35"/>
        <v>-0.11962021222660266</v>
      </c>
    </row>
    <row r="238" spans="1:8" x14ac:dyDescent="0.35">
      <c r="A238">
        <v>238</v>
      </c>
      <c r="B238">
        <f t="shared" si="30"/>
        <v>-0.15739442152252625</v>
      </c>
      <c r="C238">
        <f t="shared" si="31"/>
        <v>0.98763904783567602</v>
      </c>
      <c r="D238">
        <f t="shared" si="32"/>
        <v>-0.15674537055440954</v>
      </c>
      <c r="E238">
        <v>238</v>
      </c>
      <c r="F238">
        <f t="shared" si="33"/>
        <v>-0.15739442152252625</v>
      </c>
      <c r="G238">
        <f t="shared" si="34"/>
        <v>0.69836626808923197</v>
      </c>
      <c r="H238">
        <f t="shared" si="35"/>
        <v>-0.11083571443862125</v>
      </c>
    </row>
    <row r="239" spans="1:8" x14ac:dyDescent="0.35">
      <c r="A239">
        <v>239</v>
      </c>
      <c r="B239">
        <f t="shared" si="30"/>
        <v>-0.1448028678007236</v>
      </c>
      <c r="C239">
        <f t="shared" si="31"/>
        <v>0.98953437075601203</v>
      </c>
      <c r="D239">
        <f t="shared" si="32"/>
        <v>-0.14429736342880053</v>
      </c>
      <c r="E239">
        <v>239</v>
      </c>
      <c r="F239">
        <f t="shared" si="33"/>
        <v>-0.1448028678007236</v>
      </c>
      <c r="G239">
        <f t="shared" si="34"/>
        <v>0.69970646377873991</v>
      </c>
      <c r="H239">
        <f t="shared" si="35"/>
        <v>-0.10203364418784465</v>
      </c>
    </row>
    <row r="240" spans="1:8" x14ac:dyDescent="0.35">
      <c r="A240">
        <v>240</v>
      </c>
      <c r="B240">
        <f t="shared" si="30"/>
        <v>-0.13221131407892095</v>
      </c>
      <c r="C240">
        <f t="shared" si="31"/>
        <v>0.99127280782052929</v>
      </c>
      <c r="D240">
        <f t="shared" si="32"/>
        <v>-0.13182647865889446</v>
      </c>
      <c r="E240">
        <v>240</v>
      </c>
      <c r="F240">
        <f t="shared" si="33"/>
        <v>-0.13221131407892095</v>
      </c>
      <c r="G240">
        <f t="shared" si="34"/>
        <v>0.70093572441572605</v>
      </c>
      <c r="H240">
        <f t="shared" si="35"/>
        <v>-9.3215396999648023E-2</v>
      </c>
    </row>
    <row r="241" spans="1:8" x14ac:dyDescent="0.35">
      <c r="A241">
        <v>241</v>
      </c>
      <c r="B241">
        <f t="shared" si="30"/>
        <v>-0.11961976035711785</v>
      </c>
      <c r="C241">
        <f t="shared" si="31"/>
        <v>0.99285408340849701</v>
      </c>
      <c r="D241">
        <f t="shared" si="32"/>
        <v>-0.11933469344274253</v>
      </c>
      <c r="E241">
        <v>241</v>
      </c>
      <c r="F241">
        <f t="shared" si="33"/>
        <v>-0.11961976035711785</v>
      </c>
      <c r="G241">
        <f t="shared" si="34"/>
        <v>0.70205385510690277</v>
      </c>
      <c r="H241">
        <f t="shared" si="35"/>
        <v>-8.4382370964181122E-2</v>
      </c>
    </row>
    <row r="242" spans="1:8" x14ac:dyDescent="0.35">
      <c r="A242">
        <v>242</v>
      </c>
      <c r="B242">
        <f t="shared" si="30"/>
        <v>-0.1070282066353152</v>
      </c>
      <c r="C242">
        <f t="shared" si="31"/>
        <v>0.99427794681637061</v>
      </c>
      <c r="D242">
        <f t="shared" si="32"/>
        <v>-0.1068239882920613</v>
      </c>
      <c r="E242">
        <v>242</v>
      </c>
      <c r="F242">
        <f t="shared" si="33"/>
        <v>-0.1070282066353152</v>
      </c>
      <c r="G242">
        <f t="shared" si="34"/>
        <v>0.70306067857809362</v>
      </c>
      <c r="H242">
        <f t="shared" si="35"/>
        <v>-7.5535966514708952E-2</v>
      </c>
    </row>
    <row r="243" spans="1:8" x14ac:dyDescent="0.35">
      <c r="A243">
        <v>243</v>
      </c>
      <c r="B243">
        <f t="shared" si="30"/>
        <v>-9.4436652913512553E-2</v>
      </c>
      <c r="C243">
        <f t="shared" si="31"/>
        <v>0.99554417229754077</v>
      </c>
      <c r="D243">
        <f t="shared" si="32"/>
        <v>-9.4296346718229507E-2</v>
      </c>
      <c r="E243">
        <v>243</v>
      </c>
      <c r="F243">
        <f t="shared" si="33"/>
        <v>-9.4436652913512553E-2</v>
      </c>
      <c r="G243">
        <f t="shared" si="34"/>
        <v>0.70395603520234018</v>
      </c>
      <c r="H243">
        <f t="shared" si="35"/>
        <v>-6.6677586205577982E-2</v>
      </c>
    </row>
    <row r="244" spans="1:8" x14ac:dyDescent="0.35">
      <c r="A244">
        <v>244</v>
      </c>
      <c r="B244">
        <f t="shared" si="30"/>
        <v>-8.1845099191709458E-2</v>
      </c>
      <c r="C244">
        <f t="shared" si="31"/>
        <v>0.99665255909812334</v>
      </c>
      <c r="D244">
        <f t="shared" si="32"/>
        <v>-8.1753754917813268E-2</v>
      </c>
      <c r="E244">
        <v>244</v>
      </c>
      <c r="F244">
        <f t="shared" si="33"/>
        <v>-8.1845099191709458E-2</v>
      </c>
      <c r="G244">
        <f t="shared" si="34"/>
        <v>0.70473978302520979</v>
      </c>
      <c r="H244">
        <f t="shared" si="35"/>
        <v>-5.780863448984886E-2</v>
      </c>
    </row>
    <row r="245" spans="1:8" x14ac:dyDescent="0.35">
      <c r="A245">
        <v>245</v>
      </c>
      <c r="B245">
        <f t="shared" si="30"/>
        <v>-6.9253545469906808E-2</v>
      </c>
      <c r="C245">
        <f t="shared" si="31"/>
        <v>0.99760293148878842</v>
      </c>
      <c r="D245">
        <f t="shared" si="32"/>
        <v>-6.919820145766567E-2</v>
      </c>
      <c r="E245">
        <v>245</v>
      </c>
      <c r="F245">
        <f t="shared" si="33"/>
        <v>-6.9253545469906808E-2</v>
      </c>
      <c r="G245">
        <f t="shared" si="34"/>
        <v>0.70541179778730156</v>
      </c>
      <c r="H245">
        <f t="shared" si="35"/>
        <v>-4.8930517496628266E-2</v>
      </c>
    </row>
    <row r="246" spans="1:8" x14ac:dyDescent="0.35">
      <c r="A246">
        <v>246</v>
      </c>
      <c r="B246">
        <f t="shared" si="30"/>
        <v>-5.6661991748104157E-2</v>
      </c>
      <c r="C246">
        <f t="shared" si="31"/>
        <v>0.99839513879262165</v>
      </c>
      <c r="D246">
        <f t="shared" si="32"/>
        <v>-5.6631676959646479E-2</v>
      </c>
      <c r="E246">
        <v>246</v>
      </c>
      <c r="F246">
        <f t="shared" si="33"/>
        <v>-5.6661991748104157E-2</v>
      </c>
      <c r="G246">
        <f t="shared" si="34"/>
        <v>0.70597197294394753</v>
      </c>
      <c r="H246">
        <f t="shared" si="35"/>
        <v>-4.0044642808132018E-2</v>
      </c>
    </row>
    <row r="247" spans="1:8" x14ac:dyDescent="0.35">
      <c r="A247">
        <v>247</v>
      </c>
      <c r="B247">
        <f t="shared" si="30"/>
        <v>-4.4070438026301062E-2</v>
      </c>
      <c r="C247">
        <f t="shared" si="31"/>
        <v>0.99902905540901266</v>
      </c>
      <c r="D247">
        <f t="shared" si="32"/>
        <v>-4.4056173785020115E-2</v>
      </c>
      <c r="E247">
        <v>247</v>
      </c>
      <c r="F247">
        <f t="shared" si="33"/>
        <v>-4.4070438026301062E-2</v>
      </c>
      <c r="G247">
        <f t="shared" si="34"/>
        <v>0.70642021968210444</v>
      </c>
      <c r="H247">
        <f t="shared" si="35"/>
        <v>-3.1152419236520752E-2</v>
      </c>
    </row>
    <row r="248" spans="1:8" x14ac:dyDescent="0.35">
      <c r="A248">
        <v>248</v>
      </c>
      <c r="B248">
        <f t="shared" si="30"/>
        <v>-3.1478884304498411E-2</v>
      </c>
      <c r="C248">
        <f t="shared" si="31"/>
        <v>0.99950458083356886</v>
      </c>
      <c r="D248">
        <f t="shared" si="32"/>
        <v>-3.1473685718577782E-2</v>
      </c>
      <c r="E248">
        <v>248</v>
      </c>
      <c r="F248">
        <f t="shared" si="33"/>
        <v>-3.1478884304498411E-2</v>
      </c>
      <c r="G248">
        <f t="shared" si="34"/>
        <v>0.70675646693443472</v>
      </c>
      <c r="H248">
        <f t="shared" si="35"/>
        <v>-2.2255256600540559E-2</v>
      </c>
    </row>
    <row r="249" spans="1:8" x14ac:dyDescent="0.35">
      <c r="A249">
        <v>249</v>
      </c>
      <c r="B249">
        <f t="shared" si="30"/>
        <v>-1.888733058269576E-2</v>
      </c>
      <c r="C249">
        <f t="shared" si="31"/>
        <v>0.9998216396740498</v>
      </c>
      <c r="D249">
        <f t="shared" si="32"/>
        <v>-1.8886207652529921E-2</v>
      </c>
      <c r="E249">
        <v>249</v>
      </c>
      <c r="F249">
        <f t="shared" si="33"/>
        <v>-1.888733058269576E-2</v>
      </c>
      <c r="G249">
        <f t="shared" si="34"/>
        <v>0.70698066139057403</v>
      </c>
      <c r="H249">
        <f t="shared" si="35"/>
        <v>-1.3354565502001184E-2</v>
      </c>
    </row>
    <row r="250" spans="1:8" x14ac:dyDescent="0.35">
      <c r="A250">
        <v>250</v>
      </c>
      <c r="B250">
        <f t="shared" si="30"/>
        <v>-6.2957768608926656E-3</v>
      </c>
      <c r="C250">
        <f t="shared" si="31"/>
        <v>0.99998018166232039</v>
      </c>
      <c r="D250">
        <f t="shared" si="32"/>
        <v>-6.2957352702271195E-3</v>
      </c>
      <c r="E250">
        <v>250</v>
      </c>
      <c r="F250">
        <f t="shared" si="33"/>
        <v>-6.2957768608926656E-3</v>
      </c>
      <c r="G250">
        <f t="shared" si="34"/>
        <v>0.70709276750558292</v>
      </c>
      <c r="H250">
        <f t="shared" si="35"/>
        <v>-4.4517571021329208E-3</v>
      </c>
    </row>
    <row r="251" spans="1:8" x14ac:dyDescent="0.35">
      <c r="A251">
        <v>251</v>
      </c>
      <c r="B251">
        <f t="shared" si="30"/>
        <v>6.2957768609099851E-3</v>
      </c>
      <c r="C251">
        <f t="shared" si="31"/>
        <v>0.99998018166232028</v>
      </c>
      <c r="D251">
        <f t="shared" si="32"/>
        <v>6.295735270244439E-3</v>
      </c>
      <c r="E251">
        <v>251</v>
      </c>
      <c r="F251">
        <f t="shared" si="33"/>
        <v>6.2957768609099851E-3</v>
      </c>
      <c r="G251">
        <f t="shared" si="34"/>
        <v>0.70709276750558281</v>
      </c>
      <c r="H251">
        <f t="shared" si="35"/>
        <v>4.4517571021451671E-3</v>
      </c>
    </row>
    <row r="252" spans="1:8" x14ac:dyDescent="0.35">
      <c r="A252">
        <v>252</v>
      </c>
      <c r="B252">
        <f t="shared" si="30"/>
        <v>1.8887330582712636E-2</v>
      </c>
      <c r="C252">
        <f t="shared" si="31"/>
        <v>0.99982163967404947</v>
      </c>
      <c r="D252">
        <f t="shared" si="32"/>
        <v>1.8886207652546793E-2</v>
      </c>
      <c r="E252">
        <v>252</v>
      </c>
      <c r="F252">
        <f t="shared" si="33"/>
        <v>1.8887330582712636E-2</v>
      </c>
      <c r="G252">
        <f t="shared" si="34"/>
        <v>0.70698066139057381</v>
      </c>
      <c r="H252">
        <f t="shared" si="35"/>
        <v>1.3354565502013114E-2</v>
      </c>
    </row>
    <row r="253" spans="1:8" x14ac:dyDescent="0.35">
      <c r="A253">
        <v>253</v>
      </c>
      <c r="B253">
        <f t="shared" si="30"/>
        <v>3.1478884304515731E-2</v>
      </c>
      <c r="C253">
        <f t="shared" si="31"/>
        <v>0.9995045808335683</v>
      </c>
      <c r="D253">
        <f t="shared" si="32"/>
        <v>3.1473685718595094E-2</v>
      </c>
      <c r="E253">
        <v>253</v>
      </c>
      <c r="F253">
        <f t="shared" si="33"/>
        <v>3.1478884304515731E-2</v>
      </c>
      <c r="G253">
        <f t="shared" si="34"/>
        <v>0.70675646693443439</v>
      </c>
      <c r="H253">
        <f t="shared" si="35"/>
        <v>2.2255256600552803E-2</v>
      </c>
    </row>
    <row r="254" spans="1:8" x14ac:dyDescent="0.35">
      <c r="A254">
        <v>254</v>
      </c>
      <c r="B254">
        <f t="shared" si="30"/>
        <v>4.4070438026318381E-2</v>
      </c>
      <c r="C254">
        <f t="shared" si="31"/>
        <v>0.99902905540901188</v>
      </c>
      <c r="D254">
        <f t="shared" si="32"/>
        <v>4.4056173785037421E-2</v>
      </c>
      <c r="E254">
        <v>254</v>
      </c>
      <c r="F254">
        <f t="shared" si="33"/>
        <v>4.4070438026318381E-2</v>
      </c>
      <c r="G254">
        <f t="shared" si="34"/>
        <v>0.70642021968210389</v>
      </c>
      <c r="H254">
        <f t="shared" si="35"/>
        <v>3.1152419236532988E-2</v>
      </c>
    </row>
    <row r="255" spans="1:8" x14ac:dyDescent="0.35">
      <c r="A255">
        <v>255</v>
      </c>
      <c r="B255">
        <f t="shared" si="30"/>
        <v>5.6661991748121032E-2</v>
      </c>
      <c r="C255">
        <f t="shared" si="31"/>
        <v>0.99839513879262065</v>
      </c>
      <c r="D255">
        <f t="shared" si="32"/>
        <v>5.6631676959663327E-2</v>
      </c>
      <c r="E255">
        <v>255</v>
      </c>
      <c r="F255">
        <f t="shared" si="33"/>
        <v>5.6661991748121032E-2</v>
      </c>
      <c r="G255">
        <f t="shared" si="34"/>
        <v>0.70597197294394687</v>
      </c>
      <c r="H255">
        <f t="shared" si="35"/>
        <v>4.0044642808143932E-2</v>
      </c>
    </row>
    <row r="256" spans="1:8" x14ac:dyDescent="0.35">
      <c r="A256">
        <v>256</v>
      </c>
      <c r="B256">
        <f t="shared" si="30"/>
        <v>6.9253545469924127E-2</v>
      </c>
      <c r="C256">
        <f t="shared" si="31"/>
        <v>0.9976029314887872</v>
      </c>
      <c r="D256">
        <f t="shared" si="32"/>
        <v>6.9198201457682948E-2</v>
      </c>
      <c r="E256">
        <v>256</v>
      </c>
      <c r="F256">
        <f t="shared" si="33"/>
        <v>6.9253545469924127E-2</v>
      </c>
      <c r="G256">
        <f t="shared" si="34"/>
        <v>0.70541179778730068</v>
      </c>
      <c r="H256">
        <f t="shared" si="35"/>
        <v>4.8930517496640485E-2</v>
      </c>
    </row>
    <row r="257" spans="1:8" x14ac:dyDescent="0.35">
      <c r="A257">
        <v>257</v>
      </c>
      <c r="B257">
        <f t="shared" ref="B257:B320" si="36">-3.14159265358979+(A257-1)*0.0125915537218028</f>
        <v>8.1845099191726778E-2</v>
      </c>
      <c r="C257">
        <f t="shared" ref="C257:C320" si="37">1*COS(B257)+0</f>
        <v>0.99665255909812189</v>
      </c>
      <c r="D257">
        <f t="shared" ref="D257:D320" si="38">1*SIN(B257)+0+0*COS(B257)</f>
        <v>8.1753754917830532E-2</v>
      </c>
      <c r="E257">
        <v>257</v>
      </c>
      <c r="F257">
        <f t="shared" ref="F257:F320" si="39">-3.14159265358979+(E257-1)*0.0125915537218028</f>
        <v>8.1845099191726778E-2</v>
      </c>
      <c r="G257">
        <f t="shared" ref="G257:G320" si="40">0.707106781186548*COS(F257)+0</f>
        <v>0.70473978302520879</v>
      </c>
      <c r="H257">
        <f t="shared" ref="H257:H320" si="41">0.707106781186548*SIN(F257)+0+0*COS(F257)</f>
        <v>5.7808634489861066E-2</v>
      </c>
    </row>
    <row r="258" spans="1:8" x14ac:dyDescent="0.35">
      <c r="A258">
        <v>258</v>
      </c>
      <c r="B258">
        <f t="shared" si="36"/>
        <v>9.4436652913529429E-2</v>
      </c>
      <c r="C258">
        <f t="shared" si="37"/>
        <v>0.99554417229753911</v>
      </c>
      <c r="D258">
        <f t="shared" si="38"/>
        <v>9.4296346718246313E-2</v>
      </c>
      <c r="E258">
        <v>258</v>
      </c>
      <c r="F258">
        <f t="shared" si="39"/>
        <v>9.4436652913529429E-2</v>
      </c>
      <c r="G258">
        <f t="shared" si="40"/>
        <v>0.70395603520233907</v>
      </c>
      <c r="H258">
        <f t="shared" si="41"/>
        <v>6.6677586205589862E-2</v>
      </c>
    </row>
    <row r="259" spans="1:8" x14ac:dyDescent="0.35">
      <c r="A259">
        <v>259</v>
      </c>
      <c r="B259">
        <f t="shared" si="36"/>
        <v>0.10702820663533252</v>
      </c>
      <c r="C259">
        <f t="shared" si="37"/>
        <v>0.99427794681636883</v>
      </c>
      <c r="D259">
        <f t="shared" si="38"/>
        <v>0.10682398829207852</v>
      </c>
      <c r="E259">
        <v>259</v>
      </c>
      <c r="F259">
        <f t="shared" si="39"/>
        <v>0.10702820663533252</v>
      </c>
      <c r="G259">
        <f t="shared" si="40"/>
        <v>0.70306067857809229</v>
      </c>
      <c r="H259">
        <f t="shared" si="41"/>
        <v>7.5535966514721137E-2</v>
      </c>
    </row>
    <row r="260" spans="1:8" x14ac:dyDescent="0.35">
      <c r="A260">
        <v>260</v>
      </c>
      <c r="B260">
        <f t="shared" si="36"/>
        <v>0.11961976035713517</v>
      </c>
      <c r="C260">
        <f t="shared" si="37"/>
        <v>0.9928540834084949</v>
      </c>
      <c r="D260">
        <f t="shared" si="38"/>
        <v>0.11933469344275972</v>
      </c>
      <c r="E260">
        <v>260</v>
      </c>
      <c r="F260">
        <f t="shared" si="39"/>
        <v>0.11961976035713517</v>
      </c>
      <c r="G260">
        <f t="shared" si="40"/>
        <v>0.70205385510690133</v>
      </c>
      <c r="H260">
        <f t="shared" si="41"/>
        <v>8.4382370964193293E-2</v>
      </c>
    </row>
    <row r="261" spans="1:8" x14ac:dyDescent="0.35">
      <c r="A261">
        <v>261</v>
      </c>
      <c r="B261">
        <f t="shared" si="36"/>
        <v>0.13221131407893782</v>
      </c>
      <c r="C261">
        <f t="shared" si="37"/>
        <v>0.99127280782052707</v>
      </c>
      <c r="D261">
        <f t="shared" si="38"/>
        <v>0.13182647865891117</v>
      </c>
      <c r="E261">
        <v>261</v>
      </c>
      <c r="F261">
        <f t="shared" si="39"/>
        <v>0.13221131407893782</v>
      </c>
      <c r="G261">
        <f t="shared" si="40"/>
        <v>0.70093572441572449</v>
      </c>
      <c r="H261">
        <f t="shared" si="41"/>
        <v>9.3215396999659847E-2</v>
      </c>
    </row>
    <row r="262" spans="1:8" x14ac:dyDescent="0.35">
      <c r="A262">
        <v>262</v>
      </c>
      <c r="B262">
        <f t="shared" si="36"/>
        <v>0.14480286780074092</v>
      </c>
      <c r="C262">
        <f t="shared" si="37"/>
        <v>0.98953437075600947</v>
      </c>
      <c r="D262">
        <f t="shared" si="38"/>
        <v>0.14429736342881769</v>
      </c>
      <c r="E262">
        <v>262</v>
      </c>
      <c r="F262">
        <f t="shared" si="39"/>
        <v>0.14480286780074092</v>
      </c>
      <c r="G262">
        <f t="shared" si="40"/>
        <v>0.69970646377873802</v>
      </c>
      <c r="H262">
        <f t="shared" si="41"/>
        <v>0.10203364418785678</v>
      </c>
    </row>
    <row r="263" spans="1:8" x14ac:dyDescent="0.35">
      <c r="A263">
        <v>263</v>
      </c>
      <c r="B263">
        <f t="shared" si="36"/>
        <v>0.15739442152254357</v>
      </c>
      <c r="C263">
        <f t="shared" si="37"/>
        <v>0.98763904783567336</v>
      </c>
      <c r="D263">
        <f t="shared" si="38"/>
        <v>0.15674537055442664</v>
      </c>
      <c r="E263">
        <v>263</v>
      </c>
      <c r="F263">
        <f t="shared" si="39"/>
        <v>0.15739442152254357</v>
      </c>
      <c r="G263">
        <f t="shared" si="40"/>
        <v>0.69836626808923008</v>
      </c>
      <c r="H263">
        <f t="shared" si="41"/>
        <v>0.11083571443863334</v>
      </c>
    </row>
    <row r="264" spans="1:8" x14ac:dyDescent="0.35">
      <c r="A264">
        <v>264</v>
      </c>
      <c r="B264">
        <f t="shared" si="36"/>
        <v>0.16998597524434622</v>
      </c>
      <c r="C264">
        <f t="shared" si="37"/>
        <v>0.985587139553738</v>
      </c>
      <c r="D264">
        <f t="shared" si="38"/>
        <v>0.16916852646482591</v>
      </c>
      <c r="E264">
        <v>264</v>
      </c>
      <c r="F264">
        <f t="shared" si="39"/>
        <v>0.16998597524434622</v>
      </c>
      <c r="G264">
        <f t="shared" si="40"/>
        <v>0.69691534982870074</v>
      </c>
      <c r="H264">
        <f t="shared" si="41"/>
        <v>0.11962021222661441</v>
      </c>
    </row>
    <row r="265" spans="1:8" x14ac:dyDescent="0.35">
      <c r="A265">
        <v>265</v>
      </c>
      <c r="B265">
        <f t="shared" si="36"/>
        <v>0.18257752896614932</v>
      </c>
      <c r="C265">
        <f t="shared" si="37"/>
        <v>0.98337897123026952</v>
      </c>
      <c r="D265">
        <f t="shared" si="38"/>
        <v>0.1815648615291425</v>
      </c>
      <c r="E265">
        <v>265</v>
      </c>
      <c r="F265">
        <f t="shared" si="39"/>
        <v>0.18257752896614932</v>
      </c>
      <c r="G265">
        <f t="shared" si="40"/>
        <v>0.69535393903317488</v>
      </c>
      <c r="H265">
        <f t="shared" si="41"/>
        <v>0.12838574481245327</v>
      </c>
    </row>
    <row r="266" spans="1:8" x14ac:dyDescent="0.35">
      <c r="A266">
        <v>266</v>
      </c>
      <c r="B266">
        <f t="shared" si="36"/>
        <v>0.19516908268795197</v>
      </c>
      <c r="C266">
        <f t="shared" si="37"/>
        <v>0.98101489295960276</v>
      </c>
      <c r="D266">
        <f t="shared" si="38"/>
        <v>0.19393241036881659</v>
      </c>
      <c r="E266">
        <v>266</v>
      </c>
      <c r="F266">
        <f t="shared" si="39"/>
        <v>0.19516908268795197</v>
      </c>
      <c r="G266">
        <f t="shared" si="40"/>
        <v>0.69368228325673065</v>
      </c>
      <c r="H266">
        <f t="shared" si="41"/>
        <v>0.13713092246364264</v>
      </c>
    </row>
    <row r="267" spans="1:8" x14ac:dyDescent="0.35">
      <c r="A267">
        <v>267</v>
      </c>
      <c r="B267">
        <f t="shared" si="36"/>
        <v>0.20776063640975462</v>
      </c>
      <c r="C267">
        <f t="shared" si="37"/>
        <v>0.97849527955483528</v>
      </c>
      <c r="D267">
        <f t="shared" si="38"/>
        <v>0.20626921216920552</v>
      </c>
      <c r="E267">
        <v>267</v>
      </c>
      <c r="F267">
        <f t="shared" si="39"/>
        <v>0.20776063640975462</v>
      </c>
      <c r="G267">
        <f t="shared" si="40"/>
        <v>0.691900647532251</v>
      </c>
      <c r="H267">
        <f t="shared" si="41"/>
        <v>0.14585435867485205</v>
      </c>
    </row>
    <row r="268" spans="1:8" x14ac:dyDescent="0.35">
      <c r="A268">
        <v>268</v>
      </c>
      <c r="B268">
        <f t="shared" si="36"/>
        <v>0.22035219013155771</v>
      </c>
      <c r="C268">
        <f t="shared" si="37"/>
        <v>0.97582053048840278</v>
      </c>
      <c r="D268">
        <f t="shared" si="38"/>
        <v>0.21857331099045985</v>
      </c>
      <c r="E268">
        <v>268</v>
      </c>
      <c r="F268">
        <f t="shared" si="39"/>
        <v>0.22035219013155771</v>
      </c>
      <c r="G268">
        <f t="shared" si="40"/>
        <v>0.69000931432940427</v>
      </c>
      <c r="H268">
        <f t="shared" si="41"/>
        <v>0.15455467038775039</v>
      </c>
    </row>
    <row r="269" spans="1:8" x14ac:dyDescent="0.35">
      <c r="A269">
        <v>269</v>
      </c>
      <c r="B269">
        <f t="shared" si="36"/>
        <v>0.23294374385336036</v>
      </c>
      <c r="C269">
        <f t="shared" si="37"/>
        <v>0.97299106982874473</v>
      </c>
      <c r="D269">
        <f t="shared" si="38"/>
        <v>0.23084275607762703</v>
      </c>
      <c r="E269">
        <v>269</v>
      </c>
      <c r="F269">
        <f t="shared" si="39"/>
        <v>0.23294374385336036</v>
      </c>
      <c r="G269">
        <f t="shared" si="40"/>
        <v>0.68800858350985949</v>
      </c>
      <c r="H269">
        <f t="shared" si="41"/>
        <v>0.1632304782102823</v>
      </c>
    </row>
    <row r="270" spans="1:8" x14ac:dyDescent="0.35">
      <c r="A270">
        <v>270</v>
      </c>
      <c r="B270">
        <f t="shared" si="36"/>
        <v>0.24553529757516301</v>
      </c>
      <c r="C270">
        <f t="shared" si="37"/>
        <v>0.97000734617307038</v>
      </c>
      <c r="D270">
        <f t="shared" si="38"/>
        <v>0.24307560216993654</v>
      </c>
      <c r="E270">
        <v>270</v>
      </c>
      <c r="F270">
        <f t="shared" si="39"/>
        <v>0.24553529757516301</v>
      </c>
      <c r="G270">
        <f t="shared" si="40"/>
        <v>0.68589877227974538</v>
      </c>
      <c r="H270">
        <f t="shared" si="41"/>
        <v>0.17188040663536572</v>
      </c>
    </row>
    <row r="271" spans="1:8" x14ac:dyDescent="0.35">
      <c r="A271">
        <v>271</v>
      </c>
      <c r="B271">
        <f t="shared" si="36"/>
        <v>0.25812685129696611</v>
      </c>
      <c r="C271">
        <f t="shared" si="37"/>
        <v>0.96686983257623549</v>
      </c>
      <c r="D271">
        <f t="shared" si="38"/>
        <v>0.25526990980921033</v>
      </c>
      <c r="E271">
        <v>271</v>
      </c>
      <c r="F271">
        <f t="shared" si="39"/>
        <v>0.25812685129696611</v>
      </c>
      <c r="G271">
        <f t="shared" si="40"/>
        <v>0.6836802151393585</v>
      </c>
      <c r="H271">
        <f t="shared" si="41"/>
        <v>0.18050308425897113</v>
      </c>
    </row>
    <row r="272" spans="1:8" x14ac:dyDescent="0.35">
      <c r="A272">
        <v>272</v>
      </c>
      <c r="B272">
        <f t="shared" si="36"/>
        <v>0.27071840501876876</v>
      </c>
      <c r="C272">
        <f t="shared" si="37"/>
        <v>0.96357902647574256</v>
      </c>
      <c r="D272">
        <f t="shared" si="38"/>
        <v>0.267423745647353</v>
      </c>
      <c r="E272">
        <v>272</v>
      </c>
      <c r="F272">
        <f t="shared" si="39"/>
        <v>0.27071840501876876</v>
      </c>
      <c r="G272">
        <f t="shared" si="40"/>
        <v>0.68135326383012984</v>
      </c>
      <c r="H272">
        <f t="shared" si="41"/>
        <v>0.1890971439975499</v>
      </c>
    </row>
    <row r="273" spans="1:8" x14ac:dyDescent="0.35">
      <c r="A273">
        <v>273</v>
      </c>
      <c r="B273">
        <f t="shared" si="36"/>
        <v>0.28330995874057141</v>
      </c>
      <c r="C273">
        <f t="shared" si="37"/>
        <v>0.96013544961287378</v>
      </c>
      <c r="D273">
        <f t="shared" si="38"/>
        <v>0.27953518275287759</v>
      </c>
      <c r="E273">
        <v>273</v>
      </c>
      <c r="F273">
        <f t="shared" si="39"/>
        <v>0.28330995874057141</v>
      </c>
      <c r="G273">
        <f t="shared" si="40"/>
        <v>0.67891828727885828</v>
      </c>
      <c r="H273">
        <f t="shared" si="41"/>
        <v>0.19766122330478073</v>
      </c>
    </row>
    <row r="274" spans="1:8" x14ac:dyDescent="0.35">
      <c r="A274">
        <v>274</v>
      </c>
      <c r="B274">
        <f t="shared" si="36"/>
        <v>0.29590151246237451</v>
      </c>
      <c r="C274">
        <f t="shared" si="37"/>
        <v>0.95653964794997159</v>
      </c>
      <c r="D274">
        <f t="shared" si="38"/>
        <v>0.29160230091640965</v>
      </c>
      <c r="E274">
        <v>274</v>
      </c>
      <c r="F274">
        <f t="shared" si="39"/>
        <v>0.29590151246237451</v>
      </c>
      <c r="G274">
        <f t="shared" si="40"/>
        <v>0.67637567153921829</v>
      </c>
      <c r="H274">
        <f t="shared" si="41"/>
        <v>0.2061939643875936</v>
      </c>
    </row>
    <row r="275" spans="1:8" x14ac:dyDescent="0.35">
      <c r="A275">
        <v>275</v>
      </c>
      <c r="B275">
        <f t="shared" si="36"/>
        <v>0.30849306618417716</v>
      </c>
      <c r="C275">
        <f t="shared" si="37"/>
        <v>0.95279219158387984</v>
      </c>
      <c r="D275">
        <f t="shared" si="38"/>
        <v>0.3036231869551258</v>
      </c>
      <c r="E275">
        <v>275</v>
      </c>
      <c r="F275">
        <f t="shared" si="39"/>
        <v>0.30849306618417716</v>
      </c>
      <c r="G275">
        <f t="shared" si="40"/>
        <v>0.67372581973055401</v>
      </c>
      <c r="H275">
        <f t="shared" si="41"/>
        <v>0.21469401442144051</v>
      </c>
    </row>
    <row r="276" spans="1:8" x14ac:dyDescent="0.35">
      <c r="A276">
        <v>276</v>
      </c>
      <c r="B276">
        <f t="shared" si="36"/>
        <v>0.32108461990597981</v>
      </c>
      <c r="C276">
        <f t="shared" si="37"/>
        <v>0.9488936746555563</v>
      </c>
      <c r="D276">
        <f t="shared" si="38"/>
        <v>0.3155959350160823</v>
      </c>
      <c r="E276">
        <v>276</v>
      </c>
      <c r="F276">
        <f t="shared" si="39"/>
        <v>0.32108461990597981</v>
      </c>
      <c r="G276">
        <f t="shared" si="40"/>
        <v>0.67096915197396589</v>
      </c>
      <c r="H276">
        <f t="shared" si="41"/>
        <v>0.22316002576478094</v>
      </c>
    </row>
    <row r="277" spans="1:8" x14ac:dyDescent="0.35">
      <c r="A277">
        <v>277</v>
      </c>
      <c r="B277">
        <f t="shared" si="36"/>
        <v>0.3336761736277829</v>
      </c>
      <c r="C277">
        <f t="shared" si="37"/>
        <v>0.94484471525587566</v>
      </c>
      <c r="D277">
        <f t="shared" si="38"/>
        <v>0.3275186468783774</v>
      </c>
      <c r="E277">
        <v>277</v>
      </c>
      <c r="F277">
        <f t="shared" si="39"/>
        <v>0.3336761736277829</v>
      </c>
      <c r="G277">
        <f t="shared" si="40"/>
        <v>0.66810610532570269</v>
      </c>
      <c r="H277">
        <f t="shared" si="41"/>
        <v>0.2315906561727431</v>
      </c>
    </row>
    <row r="278" spans="1:8" x14ac:dyDescent="0.35">
      <c r="A278">
        <v>278</v>
      </c>
      <c r="B278">
        <f t="shared" si="36"/>
        <v>0.34626772734958555</v>
      </c>
      <c r="C278">
        <f t="shared" si="37"/>
        <v>0.94064595532763395</v>
      </c>
      <c r="D278">
        <f t="shared" si="38"/>
        <v>0.33938943225410362</v>
      </c>
      <c r="E278">
        <v>278</v>
      </c>
      <c r="F278">
        <f t="shared" si="39"/>
        <v>0.34626772734958555</v>
      </c>
      <c r="G278">
        <f t="shared" si="40"/>
        <v>0.66513713370786864</v>
      </c>
      <c r="H278">
        <f t="shared" si="41"/>
        <v>0.23998456900992921</v>
      </c>
    </row>
    <row r="279" spans="1:8" x14ac:dyDescent="0.35">
      <c r="A279">
        <v>279</v>
      </c>
      <c r="B279">
        <f t="shared" si="36"/>
        <v>0.3588592810713882</v>
      </c>
      <c r="C279">
        <f t="shared" si="37"/>
        <v>0.93629806056377141</v>
      </c>
      <c r="D279">
        <f t="shared" si="38"/>
        <v>0.35120640908804635</v>
      </c>
      <c r="E279">
        <v>279</v>
      </c>
      <c r="F279">
        <f t="shared" si="39"/>
        <v>0.3588592810713882</v>
      </c>
      <c r="G279">
        <f t="shared" si="40"/>
        <v>0.66206270783645604</v>
      </c>
      <c r="H279">
        <f t="shared" si="41"/>
        <v>0.24834043346233445</v>
      </c>
    </row>
    <row r="280" spans="1:8" x14ac:dyDescent="0.35">
      <c r="A280">
        <v>280</v>
      </c>
      <c r="B280">
        <f t="shared" si="36"/>
        <v>0.3714508347931913</v>
      </c>
      <c r="C280">
        <f t="shared" si="37"/>
        <v>0.93180172030183006</v>
      </c>
      <c r="D280">
        <f t="shared" si="38"/>
        <v>0.36296770385607335</v>
      </c>
      <c r="E280">
        <v>280</v>
      </c>
      <c r="F280">
        <f t="shared" si="39"/>
        <v>0.3714508347931913</v>
      </c>
      <c r="G280">
        <f t="shared" si="40"/>
        <v>0.65888331514671516</v>
      </c>
      <c r="H280">
        <f t="shared" si="41"/>
        <v>0.25665692474834023</v>
      </c>
    </row>
    <row r="281" spans="1:8" x14ac:dyDescent="0.35">
      <c r="A281">
        <v>281</v>
      </c>
      <c r="B281">
        <f t="shared" si="36"/>
        <v>0.38404238851499395</v>
      </c>
      <c r="C281">
        <f t="shared" si="37"/>
        <v>0.927157647414663</v>
      </c>
      <c r="D281">
        <f t="shared" si="38"/>
        <v>0.37467145186217138</v>
      </c>
      <c r="E281">
        <v>281</v>
      </c>
      <c r="F281">
        <f t="shared" si="39"/>
        <v>0.38404238851499395</v>
      </c>
      <c r="G281">
        <f t="shared" si="40"/>
        <v>0.65559945971587474</v>
      </c>
      <c r="H281">
        <f t="shared" si="41"/>
        <v>0.2649327243287507</v>
      </c>
    </row>
    <row r="282" spans="1:8" x14ac:dyDescent="0.35">
      <c r="A282">
        <v>282</v>
      </c>
      <c r="B282">
        <f t="shared" si="36"/>
        <v>0.3966339422367966</v>
      </c>
      <c r="C282">
        <f t="shared" si="37"/>
        <v>0.92236657819741175</v>
      </c>
      <c r="D282">
        <f t="shared" si="38"/>
        <v>0.3863157975340874</v>
      </c>
      <c r="E282">
        <v>282</v>
      </c>
      <c r="F282">
        <f t="shared" si="39"/>
        <v>0.3966339422367966</v>
      </c>
      <c r="G282">
        <f t="shared" si="40"/>
        <v>0.65221166218322224</v>
      </c>
      <c r="H282">
        <f t="shared" si="41"/>
        <v>0.27316652011584275</v>
      </c>
    </row>
    <row r="283" spans="1:8" x14ac:dyDescent="0.35">
      <c r="A283">
        <v>283</v>
      </c>
      <c r="B283">
        <f t="shared" si="36"/>
        <v>0.40922549595859969</v>
      </c>
      <c r="C283">
        <f t="shared" si="37"/>
        <v>0.91742927225076953</v>
      </c>
      <c r="D283">
        <f t="shared" si="38"/>
        <v>0.39789889471751921</v>
      </c>
      <c r="E283">
        <v>283</v>
      </c>
      <c r="F283">
        <f t="shared" si="39"/>
        <v>0.40922549595859969</v>
      </c>
      <c r="G283">
        <f t="shared" si="40"/>
        <v>0.64872045966755887</v>
      </c>
      <c r="H283">
        <f t="shared" si="41"/>
        <v>0.28135700668139019</v>
      </c>
    </row>
    <row r="284" spans="1:8" x14ac:dyDescent="0.35">
      <c r="A284">
        <v>284</v>
      </c>
      <c r="B284">
        <f t="shared" si="36"/>
        <v>0.42181704968040235</v>
      </c>
      <c r="C284">
        <f t="shared" si="37"/>
        <v>0.91234651236055175</v>
      </c>
      <c r="D284">
        <f t="shared" si="38"/>
        <v>0.40941890696881295</v>
      </c>
      <c r="E284">
        <v>284</v>
      </c>
      <c r="F284">
        <f t="shared" si="39"/>
        <v>0.42181704968040235</v>
      </c>
      <c r="G284">
        <f t="shared" si="40"/>
        <v>0.64512640568204294</v>
      </c>
      <c r="H284">
        <f t="shared" si="41"/>
        <v>0.28950288546363206</v>
      </c>
    </row>
    <row r="285" spans="1:8" x14ac:dyDescent="0.35">
      <c r="A285">
        <v>285</v>
      </c>
      <c r="B285">
        <f t="shared" si="36"/>
        <v>0.434408603402205</v>
      </c>
      <c r="C285">
        <f t="shared" si="37"/>
        <v>0.90711910437358789</v>
      </c>
      <c r="D285">
        <f t="shared" si="38"/>
        <v>0.42087400784612472</v>
      </c>
      <c r="E285">
        <v>285</v>
      </c>
      <c r="F285">
        <f t="shared" si="39"/>
        <v>0.434408603402205</v>
      </c>
      <c r="G285">
        <f t="shared" si="40"/>
        <v>0.64143007004643204</v>
      </c>
      <c r="H285">
        <f t="shared" si="41"/>
        <v>0.29760286497315519</v>
      </c>
    </row>
    <row r="286" spans="1:8" x14ac:dyDescent="0.35">
      <c r="A286">
        <v>286</v>
      </c>
      <c r="B286">
        <f t="shared" si="36"/>
        <v>0.44700015712400809</v>
      </c>
      <c r="C286">
        <f t="shared" si="37"/>
        <v>0.90174787706995829</v>
      </c>
      <c r="D286">
        <f t="shared" si="38"/>
        <v>0.43226238119899291</v>
      </c>
      <c r="E286">
        <v>286</v>
      </c>
      <c r="F286">
        <f t="shared" si="39"/>
        <v>0.44700015712400809</v>
      </c>
      <c r="G286">
        <f t="shared" si="40"/>
        <v>0.63763203879674124</v>
      </c>
      <c r="H286">
        <f t="shared" si="41"/>
        <v>0.30565566099765251</v>
      </c>
    </row>
    <row r="287" spans="1:8" x14ac:dyDescent="0.35">
      <c r="A287">
        <v>287</v>
      </c>
      <c r="B287">
        <f t="shared" si="36"/>
        <v>0.45959171084581074</v>
      </c>
      <c r="C287">
        <f t="shared" si="37"/>
        <v>0.89623368203159648</v>
      </c>
      <c r="D287">
        <f t="shared" si="38"/>
        <v>0.44358222145627879</v>
      </c>
      <c r="E287">
        <v>287</v>
      </c>
      <c r="F287">
        <f t="shared" si="39"/>
        <v>0.45959171084581074</v>
      </c>
      <c r="G287">
        <f t="shared" si="40"/>
        <v>0.63373291409233035</v>
      </c>
      <c r="H287">
        <f t="shared" si="41"/>
        <v>0.31365999680552781</v>
      </c>
    </row>
    <row r="288" spans="1:8" x14ac:dyDescent="0.35">
      <c r="A288">
        <v>288</v>
      </c>
      <c r="B288">
        <f t="shared" si="36"/>
        <v>0.47218326456761339</v>
      </c>
      <c r="C288">
        <f t="shared" si="37"/>
        <v>0.89057739350727372</v>
      </c>
      <c r="D288">
        <f t="shared" si="38"/>
        <v>0.45483173391243337</v>
      </c>
      <c r="E288">
        <v>288</v>
      </c>
      <c r="F288">
        <f t="shared" si="39"/>
        <v>0.47218326456761339</v>
      </c>
      <c r="G288">
        <f t="shared" si="40"/>
        <v>0.6297333141204341</v>
      </c>
      <c r="H288">
        <f t="shared" si="41"/>
        <v>0.32161460334831726</v>
      </c>
    </row>
    <row r="289" spans="1:8" x14ac:dyDescent="0.35">
      <c r="A289">
        <v>289</v>
      </c>
      <c r="B289">
        <f t="shared" si="36"/>
        <v>0.48477481828941649</v>
      </c>
      <c r="C289">
        <f t="shared" si="37"/>
        <v>0.88477990827399111</v>
      </c>
      <c r="D289">
        <f t="shared" si="38"/>
        <v>0.46600913501203806</v>
      </c>
      <c r="E289">
        <v>289</v>
      </c>
      <c r="F289">
        <f t="shared" si="39"/>
        <v>0.48477481828941649</v>
      </c>
      <c r="G289">
        <f t="shared" si="40"/>
        <v>0.6256338729981511</v>
      </c>
      <c r="H289">
        <f t="shared" si="41"/>
        <v>0.32951821946188969</v>
      </c>
    </row>
    <row r="290" spans="1:8" x14ac:dyDescent="0.35">
      <c r="A290">
        <v>290</v>
      </c>
      <c r="B290">
        <f t="shared" si="36"/>
        <v>0.49736637201121914</v>
      </c>
      <c r="C290">
        <f t="shared" si="37"/>
        <v>0.87884214549480122</v>
      </c>
      <c r="D290">
        <f t="shared" si="38"/>
        <v>0.47711265263257752</v>
      </c>
      <c r="E290">
        <v>290</v>
      </c>
      <c r="F290">
        <f t="shared" si="39"/>
        <v>0.49736637201121914</v>
      </c>
      <c r="G290">
        <f t="shared" si="40"/>
        <v>0.62143524067190881</v>
      </c>
      <c r="H290">
        <f t="shared" si="41"/>
        <v>0.33736959206639749</v>
      </c>
    </row>
    <row r="291" spans="1:8" x14ac:dyDescent="0.35">
      <c r="A291">
        <v>291</v>
      </c>
      <c r="B291">
        <f t="shared" si="36"/>
        <v>0.50995792573302179</v>
      </c>
      <c r="C291">
        <f t="shared" si="37"/>
        <v>0.87276504657307785</v>
      </c>
      <c r="D291">
        <f t="shared" si="38"/>
        <v>0.48814052636540345</v>
      </c>
      <c r="E291">
        <v>291</v>
      </c>
      <c r="F291">
        <f t="shared" si="39"/>
        <v>0.50995792573302179</v>
      </c>
      <c r="G291">
        <f t="shared" si="40"/>
        <v>0.61713808281441673</v>
      </c>
      <c r="H291">
        <f t="shared" si="41"/>
        <v>0.34516747636494771</v>
      </c>
    </row>
    <row r="292" spans="1:8" x14ac:dyDescent="0.35">
      <c r="A292">
        <v>292</v>
      </c>
      <c r="B292">
        <f t="shared" si="36"/>
        <v>0.52254947945482488</v>
      </c>
      <c r="C292">
        <f t="shared" si="37"/>
        <v>0.86654957500326169</v>
      </c>
      <c r="D292">
        <f t="shared" si="38"/>
        <v>0.49909100779483756</v>
      </c>
      <c r="E292">
        <v>292</v>
      </c>
      <c r="F292">
        <f t="shared" si="39"/>
        <v>0.52254947945482488</v>
      </c>
      <c r="G292">
        <f t="shared" si="40"/>
        <v>0.61274308071912753</v>
      </c>
      <c r="H292">
        <f t="shared" si="41"/>
        <v>0.35291063604095796</v>
      </c>
    </row>
    <row r="293" spans="1:8" x14ac:dyDescent="0.35">
      <c r="A293">
        <v>293</v>
      </c>
      <c r="B293">
        <f t="shared" si="36"/>
        <v>0.53514103317662753</v>
      </c>
      <c r="C293">
        <f t="shared" si="37"/>
        <v>0.86019671621810334</v>
      </c>
      <c r="D293">
        <f t="shared" si="38"/>
        <v>0.50996236077537316</v>
      </c>
      <c r="E293">
        <v>293</v>
      </c>
      <c r="F293">
        <f t="shared" si="39"/>
        <v>0.53514103317662753</v>
      </c>
      <c r="G293">
        <f t="shared" si="40"/>
        <v>0.60825093119222151</v>
      </c>
      <c r="H293">
        <f t="shared" si="41"/>
        <v>0.36059784345416723</v>
      </c>
    </row>
    <row r="294" spans="1:8" x14ac:dyDescent="0.35">
      <c r="A294">
        <v>294</v>
      </c>
      <c r="B294">
        <f t="shared" si="36"/>
        <v>0.54773258689843018</v>
      </c>
      <c r="C294">
        <f t="shared" si="37"/>
        <v>0.85370747743242703</v>
      </c>
      <c r="D294">
        <f t="shared" si="38"/>
        <v>0.52075286170693491</v>
      </c>
      <c r="E294">
        <v>294</v>
      </c>
      <c r="F294">
        <f t="shared" si="39"/>
        <v>0.54773258689843018</v>
      </c>
      <c r="G294">
        <f t="shared" si="40"/>
        <v>0.60366234644213101</v>
      </c>
      <c r="H294">
        <f t="shared" si="41"/>
        <v>0.36822787983527433</v>
      </c>
    </row>
    <row r="295" spans="1:8" x14ac:dyDescent="0.35">
      <c r="A295">
        <v>295</v>
      </c>
      <c r="B295">
        <f t="shared" si="36"/>
        <v>0.56032414062023328</v>
      </c>
      <c r="C295">
        <f t="shared" si="37"/>
        <v>0.84708288748344174</v>
      </c>
      <c r="D295">
        <f t="shared" si="38"/>
        <v>0.53146079980814653</v>
      </c>
      <c r="E295">
        <v>295</v>
      </c>
      <c r="F295">
        <f t="shared" si="39"/>
        <v>0.56032414062023328</v>
      </c>
      <c r="G295">
        <f t="shared" si="40"/>
        <v>0.59897805396662329</v>
      </c>
      <c r="H295">
        <f t="shared" si="41"/>
        <v>0.37579953547916689</v>
      </c>
    </row>
    <row r="296" spans="1:8" x14ac:dyDescent="0.35">
      <c r="A296">
        <v>296</v>
      </c>
      <c r="B296">
        <f t="shared" si="36"/>
        <v>0.57291569434203593</v>
      </c>
      <c r="C296">
        <f t="shared" si="37"/>
        <v>0.84032399666762514</v>
      </c>
      <c r="D296">
        <f t="shared" si="38"/>
        <v>0.54208447738756471</v>
      </c>
      <c r="E296">
        <v>296</v>
      </c>
      <c r="F296">
        <f t="shared" si="39"/>
        <v>0.57291569434203593</v>
      </c>
      <c r="G296">
        <f t="shared" si="40"/>
        <v>0.59419879643745988</v>
      </c>
      <c r="H296">
        <f t="shared" si="41"/>
        <v>0.38331160993671298</v>
      </c>
    </row>
    <row r="297" spans="1:8" x14ac:dyDescent="0.35">
      <c r="A297">
        <v>297</v>
      </c>
      <c r="B297">
        <f t="shared" si="36"/>
        <v>0.58550724806383858</v>
      </c>
      <c r="C297">
        <f t="shared" si="37"/>
        <v>0.83343187657420248</v>
      </c>
      <c r="D297">
        <f t="shared" si="38"/>
        <v>0.55262221011284307</v>
      </c>
      <c r="E297">
        <v>297</v>
      </c>
      <c r="F297">
        <f t="shared" si="39"/>
        <v>0.58550724806383858</v>
      </c>
      <c r="G297">
        <f t="shared" si="40"/>
        <v>0.58932533158264866</v>
      </c>
      <c r="H297">
        <f t="shared" si="41"/>
        <v>0.39076291220508869</v>
      </c>
    </row>
    <row r="298" spans="1:8" x14ac:dyDescent="0.35">
      <c r="A298">
        <v>298</v>
      </c>
      <c r="B298">
        <f t="shared" si="36"/>
        <v>0.59809880178564168</v>
      </c>
      <c r="C298">
        <f t="shared" si="37"/>
        <v>0.82640761991525236</v>
      </c>
      <c r="D298">
        <f t="shared" si="38"/>
        <v>0.56307232727777323</v>
      </c>
      <c r="E298">
        <v>298</v>
      </c>
      <c r="F298">
        <f t="shared" si="39"/>
        <v>0.59809880178564168</v>
      </c>
      <c r="G298">
        <f t="shared" si="40"/>
        <v>0.58435843206631033</v>
      </c>
      <c r="H298">
        <f t="shared" si="41"/>
        <v>0.39815226091660477</v>
      </c>
    </row>
    <row r="299" spans="1:8" x14ac:dyDescent="0.35">
      <c r="A299">
        <v>299</v>
      </c>
      <c r="B299">
        <f t="shared" si="36"/>
        <v>0.61069035550744433</v>
      </c>
      <c r="C299">
        <f t="shared" si="37"/>
        <v>0.81925234035246286</v>
      </c>
      <c r="D299">
        <f t="shared" si="38"/>
        <v>0.57343317206716626</v>
      </c>
      <c r="E299">
        <v>299</v>
      </c>
      <c r="F299">
        <f t="shared" si="39"/>
        <v>0.61069035550744433</v>
      </c>
      <c r="G299">
        <f t="shared" si="40"/>
        <v>0.57929888536617635</v>
      </c>
      <c r="H299">
        <f t="shared" si="41"/>
        <v>0.40547848452600588</v>
      </c>
    </row>
    <row r="300" spans="1:8" x14ac:dyDescent="0.35">
      <c r="A300">
        <v>300</v>
      </c>
      <c r="B300">
        <f t="shared" si="36"/>
        <v>0.62328190922924698</v>
      </c>
      <c r="C300">
        <f t="shared" si="37"/>
        <v>0.81196717232056503</v>
      </c>
      <c r="D300">
        <f t="shared" si="38"/>
        <v>0.58370310181953444</v>
      </c>
      <c r="E300">
        <v>300</v>
      </c>
      <c r="F300">
        <f t="shared" si="39"/>
        <v>0.62328190922924698</v>
      </c>
      <c r="G300">
        <f t="shared" si="40"/>
        <v>0.57414749364873796</v>
      </c>
      <c r="H300">
        <f t="shared" si="41"/>
        <v>0.41274042149621487</v>
      </c>
    </row>
    <row r="301" spans="1:8" x14ac:dyDescent="0.35">
      <c r="A301">
        <v>301</v>
      </c>
      <c r="B301">
        <f t="shared" si="36"/>
        <v>0.63587346295105007</v>
      </c>
      <c r="C301">
        <f t="shared" si="37"/>
        <v>0.80455327084747397</v>
      </c>
      <c r="D301">
        <f t="shared" si="38"/>
        <v>0.59388048828752671</v>
      </c>
      <c r="E301">
        <v>301</v>
      </c>
      <c r="F301">
        <f t="shared" si="39"/>
        <v>0.63587346295105007</v>
      </c>
      <c r="G301">
        <f t="shared" si="40"/>
        <v>0.56890507364206633</v>
      </c>
      <c r="H301">
        <f t="shared" si="41"/>
        <v>0.41993692048248843</v>
      </c>
    </row>
    <row r="302" spans="1:8" x14ac:dyDescent="0.35">
      <c r="A302">
        <v>302</v>
      </c>
      <c r="B302">
        <f t="shared" si="36"/>
        <v>0.64846501667285272</v>
      </c>
      <c r="C302">
        <f t="shared" si="37"/>
        <v>0.79701181137116583</v>
      </c>
      <c r="D302">
        <f t="shared" si="38"/>
        <v>0.60396371789607795</v>
      </c>
      <c r="E302">
        <v>302</v>
      </c>
      <c r="F302">
        <f t="shared" si="39"/>
        <v>0.64846501667285272</v>
      </c>
      <c r="G302">
        <f t="shared" si="40"/>
        <v>0.56357245650632526</v>
      </c>
      <c r="H302">
        <f t="shared" si="41"/>
        <v>0.42706684051495603</v>
      </c>
    </row>
    <row r="303" spans="1:8" x14ac:dyDescent="0.35">
      <c r="A303">
        <v>303</v>
      </c>
      <c r="B303">
        <f t="shared" si="36"/>
        <v>0.66105657039465537</v>
      </c>
      <c r="C303">
        <f t="shared" si="37"/>
        <v>0.78934398955331608</v>
      </c>
      <c r="D303">
        <f t="shared" si="38"/>
        <v>0.61395119199823567</v>
      </c>
      <c r="E303">
        <v>303</v>
      </c>
      <c r="F303">
        <f t="shared" si="39"/>
        <v>0.66105657039465537</v>
      </c>
      <c r="G303">
        <f t="shared" si="40"/>
        <v>0.55815048770199349</v>
      </c>
      <c r="H303">
        <f t="shared" si="41"/>
        <v>0.43412905117951678</v>
      </c>
    </row>
    <row r="304" spans="1:8" x14ac:dyDescent="0.35">
      <c r="A304">
        <v>304</v>
      </c>
      <c r="B304">
        <f t="shared" si="36"/>
        <v>0.67364812411645847</v>
      </c>
      <c r="C304">
        <f t="shared" si="37"/>
        <v>0.7815510210897344</v>
      </c>
      <c r="D304">
        <f t="shared" si="38"/>
        <v>0.62384132712861662</v>
      </c>
      <c r="E304">
        <v>304</v>
      </c>
      <c r="F304">
        <f t="shared" si="39"/>
        <v>0.67364812411645847</v>
      </c>
      <c r="G304">
        <f t="shared" si="40"/>
        <v>0.55264002685582203</v>
      </c>
      <c r="H304">
        <f t="shared" si="41"/>
        <v>0.44112243279706043</v>
      </c>
    </row>
    <row r="305" spans="1:8" x14ac:dyDescent="0.35">
      <c r="A305">
        <v>305</v>
      </c>
      <c r="B305">
        <f t="shared" si="36"/>
        <v>0.68623967783826112</v>
      </c>
      <c r="C305">
        <f t="shared" si="37"/>
        <v>0.77363414151762222</v>
      </c>
      <c r="D305">
        <f t="shared" si="38"/>
        <v>0.63363255525445639</v>
      </c>
      <c r="E305">
        <v>305</v>
      </c>
      <c r="F305">
        <f t="shared" si="39"/>
        <v>0.68623967783826112</v>
      </c>
      <c r="G305">
        <f t="shared" si="40"/>
        <v>0.54704194762454417</v>
      </c>
      <c r="H305">
        <f t="shared" si="41"/>
        <v>0.44804587660098621</v>
      </c>
    </row>
    <row r="306" spans="1:8" x14ac:dyDescent="0.35">
      <c r="A306">
        <v>306</v>
      </c>
      <c r="B306">
        <f t="shared" si="36"/>
        <v>0.69883123156006377</v>
      </c>
      <c r="C306">
        <f t="shared" si="37"/>
        <v>0.76559460601968321</v>
      </c>
      <c r="D306">
        <f t="shared" si="38"/>
        <v>0.64332332402421566</v>
      </c>
      <c r="E306">
        <v>306</v>
      </c>
      <c r="F306">
        <f t="shared" si="39"/>
        <v>0.69883123156006377</v>
      </c>
      <c r="G306">
        <f t="shared" si="40"/>
        <v>0.54135713755636161</v>
      </c>
      <c r="H306">
        <f t="shared" si="41"/>
        <v>0.45489828491299378</v>
      </c>
    </row>
    <row r="307" spans="1:8" x14ac:dyDescent="0.35">
      <c r="A307">
        <v>307</v>
      </c>
      <c r="B307">
        <f t="shared" si="36"/>
        <v>0.71142278528186687</v>
      </c>
      <c r="C307">
        <f t="shared" si="37"/>
        <v>0.75743368922512078</v>
      </c>
      <c r="D307">
        <f t="shared" si="38"/>
        <v>0.65291209701369679</v>
      </c>
      <c r="E307">
        <v>307</v>
      </c>
      <c r="F307">
        <f t="shared" si="39"/>
        <v>0.71142278528186687</v>
      </c>
      <c r="G307">
        <f t="shared" si="40"/>
        <v>0.53558649795022728</v>
      </c>
      <c r="H307">
        <f t="shared" si="41"/>
        <v>0.46167857131711432</v>
      </c>
    </row>
    <row r="308" spans="1:8" x14ac:dyDescent="0.35">
      <c r="A308">
        <v>308</v>
      </c>
      <c r="B308">
        <f t="shared" si="36"/>
        <v>0.72401433900366952</v>
      </c>
      <c r="C308">
        <f t="shared" si="37"/>
        <v>0.74915268500755272</v>
      </c>
      <c r="D308">
        <f t="shared" si="38"/>
        <v>0.66239735396963551</v>
      </c>
      <c r="E308">
        <v>308</v>
      </c>
      <c r="F308">
        <f t="shared" si="39"/>
        <v>0.72401433900366952</v>
      </c>
      <c r="G308">
        <f t="shared" si="40"/>
        <v>0.52973094371295049</v>
      </c>
      <c r="H308">
        <f t="shared" si="41"/>
        <v>0.46838566083195543</v>
      </c>
    </row>
    <row r="309" spans="1:8" x14ac:dyDescent="0.35">
      <c r="A309">
        <v>309</v>
      </c>
      <c r="B309">
        <f t="shared" si="36"/>
        <v>0.73660589272547217</v>
      </c>
      <c r="C309">
        <f t="shared" si="37"/>
        <v>0.74075290627987178</v>
      </c>
      <c r="D309">
        <f t="shared" si="38"/>
        <v>0.6717775910507312</v>
      </c>
      <c r="E309">
        <v>309</v>
      </c>
      <c r="F309">
        <f t="shared" si="39"/>
        <v>0.73660589272547217</v>
      </c>
      <c r="G309">
        <f t="shared" si="40"/>
        <v>0.52379140321414086</v>
      </c>
      <c r="H309">
        <f t="shared" si="41"/>
        <v>0.47501849008113572</v>
      </c>
    </row>
    <row r="310" spans="1:8" x14ac:dyDescent="0.35">
      <c r="A310">
        <v>310</v>
      </c>
      <c r="B310">
        <f t="shared" si="36"/>
        <v>0.74919744644727526</v>
      </c>
      <c r="C310">
        <f t="shared" si="37"/>
        <v>0.73223568478609136</v>
      </c>
      <c r="D310">
        <f t="shared" si="38"/>
        <v>0.68105132106607336</v>
      </c>
      <c r="E310">
        <v>310</v>
      </c>
      <c r="F310">
        <f t="shared" si="39"/>
        <v>0.74919744644727526</v>
      </c>
      <c r="G310">
        <f t="shared" si="40"/>
        <v>0.51776881813902087</v>
      </c>
      <c r="H310">
        <f t="shared" si="41"/>
        <v>0.4815760074618774</v>
      </c>
    </row>
    <row r="311" spans="1:8" x14ac:dyDescent="0.35">
      <c r="A311">
        <v>311</v>
      </c>
      <c r="B311">
        <f t="shared" si="36"/>
        <v>0.76178900016907791</v>
      </c>
      <c r="C311">
        <f t="shared" si="37"/>
        <v>0.72360237089020418</v>
      </c>
      <c r="D311">
        <f t="shared" si="38"/>
        <v>0.69021707371092711</v>
      </c>
      <c r="E311">
        <v>311</v>
      </c>
      <c r="F311">
        <f t="shared" si="39"/>
        <v>0.76178900016907791</v>
      </c>
      <c r="G311">
        <f t="shared" si="40"/>
        <v>0.51166414333912702</v>
      </c>
      <c r="H311">
        <f t="shared" si="41"/>
        <v>0.48805717331173204</v>
      </c>
    </row>
    <row r="312" spans="1:8" x14ac:dyDescent="0.35">
      <c r="A312">
        <v>312</v>
      </c>
      <c r="B312">
        <f t="shared" si="36"/>
        <v>0.77438055389088056</v>
      </c>
      <c r="C312">
        <f t="shared" si="37"/>
        <v>0.71485433336208692</v>
      </c>
      <c r="D312">
        <f t="shared" si="38"/>
        <v>0.69927339579984471</v>
      </c>
      <c r="E312">
        <v>312</v>
      </c>
      <c r="F312">
        <f t="shared" si="39"/>
        <v>0.77438055389088056</v>
      </c>
      <c r="G312">
        <f t="shared" si="40"/>
        <v>0.50547834668092084</v>
      </c>
      <c r="H312">
        <f t="shared" si="41"/>
        <v>0.49446096007341517</v>
      </c>
    </row>
    <row r="313" spans="1:8" x14ac:dyDescent="0.35">
      <c r="A313">
        <v>313</v>
      </c>
      <c r="B313">
        <f t="shared" si="36"/>
        <v>0.78697210761268366</v>
      </c>
      <c r="C313">
        <f t="shared" si="37"/>
        <v>0.70599295916048987</v>
      </c>
      <c r="D313">
        <f t="shared" si="38"/>
        <v>0.7082188514970601</v>
      </c>
      <c r="E313">
        <v>313</v>
      </c>
      <c r="F313">
        <f t="shared" si="39"/>
        <v>0.78697210761268366</v>
      </c>
      <c r="G313">
        <f t="shared" si="40"/>
        <v>0.49921240889234003</v>
      </c>
      <c r="H313">
        <f t="shared" si="41"/>
        <v>0.50078635245772007</v>
      </c>
    </row>
    <row r="314" spans="1:8" x14ac:dyDescent="0.35">
      <c r="A314">
        <v>314</v>
      </c>
      <c r="B314">
        <f t="shared" si="36"/>
        <v>0.79956366133448631</v>
      </c>
      <c r="C314">
        <f t="shared" si="37"/>
        <v>0.69701965321314163</v>
      </c>
      <c r="D314">
        <f t="shared" si="38"/>
        <v>0.71705202254413303</v>
      </c>
      <c r="E314">
        <v>314</v>
      </c>
      <c r="F314">
        <f t="shared" si="39"/>
        <v>0.79956366133448631</v>
      </c>
      <c r="G314">
        <f t="shared" si="40"/>
        <v>0.49286732340730854</v>
      </c>
      <c r="H314">
        <f t="shared" si="41"/>
        <v>0.50703234760448601</v>
      </c>
    </row>
    <row r="315" spans="1:8" x14ac:dyDescent="0.35">
      <c r="A315">
        <v>315</v>
      </c>
      <c r="B315">
        <f t="shared" si="36"/>
        <v>0.81215521505628896</v>
      </c>
      <c r="C315">
        <f t="shared" si="37"/>
        <v>0.68793583819400306</v>
      </c>
      <c r="D315">
        <f t="shared" si="38"/>
        <v>0.72577150848480843</v>
      </c>
      <c r="E315">
        <v>315</v>
      </c>
      <c r="F315">
        <f t="shared" si="39"/>
        <v>0.81215521505628896</v>
      </c>
      <c r="G315">
        <f t="shared" si="40"/>
        <v>0.48644409620823142</v>
      </c>
      <c r="H315">
        <f t="shared" si="41"/>
        <v>0.51319795524159828</v>
      </c>
    </row>
    <row r="316" spans="1:8" x14ac:dyDescent="0.35">
      <c r="A316">
        <v>316</v>
      </c>
      <c r="B316">
        <f t="shared" si="36"/>
        <v>0.82474676877809205</v>
      </c>
      <c r="C316">
        <f t="shared" si="37"/>
        <v>0.67874295429771048</v>
      </c>
      <c r="D316">
        <f t="shared" si="38"/>
        <v>0.73437592688705156</v>
      </c>
      <c r="E316">
        <v>316</v>
      </c>
      <c r="F316">
        <f t="shared" si="39"/>
        <v>0.82474676877809205</v>
      </c>
      <c r="G316">
        <f t="shared" si="40"/>
        <v>0.47994374566650233</v>
      </c>
      <c r="H316">
        <f t="shared" si="41"/>
        <v>0.5192821978419907</v>
      </c>
    </row>
    <row r="317" spans="1:8" x14ac:dyDescent="0.35">
      <c r="A317">
        <v>317</v>
      </c>
      <c r="B317">
        <f t="shared" si="36"/>
        <v>0.8373383224998947</v>
      </c>
      <c r="C317">
        <f t="shared" si="37"/>
        <v>0.66944245901124033</v>
      </c>
      <c r="D317">
        <f t="shared" si="38"/>
        <v>0.74286391356222425</v>
      </c>
      <c r="E317">
        <v>317</v>
      </c>
      <c r="F317">
        <f t="shared" si="39"/>
        <v>0.8373383224998947</v>
      </c>
      <c r="G317">
        <f t="shared" si="40"/>
        <v>0.47336730238104574</v>
      </c>
      <c r="H317">
        <f t="shared" si="41"/>
        <v>0.52528411077862647</v>
      </c>
    </row>
    <row r="318" spans="1:8" x14ac:dyDescent="0.35">
      <c r="A318">
        <v>318</v>
      </c>
      <c r="B318">
        <f t="shared" si="36"/>
        <v>0.84992987622169736</v>
      </c>
      <c r="C318">
        <f t="shared" si="37"/>
        <v>0.66003582688283002</v>
      </c>
      <c r="D318">
        <f t="shared" si="38"/>
        <v>0.75123412278137291</v>
      </c>
      <c r="E318">
        <v>318</v>
      </c>
      <c r="F318">
        <f t="shared" si="39"/>
        <v>0.84992987622169736</v>
      </c>
      <c r="G318">
        <f t="shared" si="40"/>
        <v>0.4667158090149196</v>
      </c>
      <c r="H318">
        <f t="shared" si="41"/>
        <v>0.5312027424774366</v>
      </c>
    </row>
    <row r="319" spans="1:8" x14ac:dyDescent="0.35">
      <c r="A319">
        <v>319</v>
      </c>
      <c r="B319">
        <f t="shared" si="36"/>
        <v>0.86252142994350001</v>
      </c>
      <c r="C319">
        <f t="shared" si="37"/>
        <v>0.65052454928819659</v>
      </c>
      <c r="D319">
        <f t="shared" si="38"/>
        <v>0.7594852274885856</v>
      </c>
      <c r="E319">
        <v>319</v>
      </c>
      <c r="F319">
        <f t="shared" si="39"/>
        <v>0.86252142994350001</v>
      </c>
      <c r="G319">
        <f t="shared" si="40"/>
        <v>0.45999032013000657</v>
      </c>
      <c r="H319">
        <f t="shared" si="41"/>
        <v>0.5370371545681869</v>
      </c>
    </row>
    <row r="320" spans="1:8" x14ac:dyDescent="0.35">
      <c r="A320">
        <v>320</v>
      </c>
      <c r="B320">
        <f t="shared" si="36"/>
        <v>0.8751129836653031</v>
      </c>
      <c r="C320">
        <f t="shared" si="37"/>
        <v>0.64091013419408605</v>
      </c>
      <c r="D320">
        <f t="shared" si="38"/>
        <v>0.76761591951139119</v>
      </c>
      <c r="E320">
        <v>320</v>
      </c>
      <c r="F320">
        <f t="shared" si="39"/>
        <v>0.8751129836653031</v>
      </c>
      <c r="G320">
        <f t="shared" si="40"/>
        <v>0.45319190201981874</v>
      </c>
      <c r="H320">
        <f t="shared" si="41"/>
        <v>0.54278642203325211</v>
      </c>
    </row>
    <row r="321" spans="1:8" x14ac:dyDescent="0.35">
      <c r="A321">
        <v>321</v>
      </c>
      <c r="B321">
        <f t="shared" ref="B321:B384" si="42">-3.14159265358979+(A321-1)*0.0125915537218028</f>
        <v>0.8877045373871062</v>
      </c>
      <c r="C321">
        <f t="shared" ref="C321:C384" si="43">1*COS(B321)+0</f>
        <v>0.63119410591919323</v>
      </c>
      <c r="D321">
        <f t="shared" ref="D321:D384" si="44">1*SIN(B321)+0+0*COS(B321)</f>
        <v>0.77562490976816245</v>
      </c>
      <c r="E321">
        <v>321</v>
      </c>
      <c r="F321">
        <f t="shared" ref="F321:F384" si="45">-3.14159265358979+(E321-1)*0.0125915537218028</f>
        <v>0.8877045373871062</v>
      </c>
      <c r="G321">
        <f t="shared" ref="G321:G384" si="46">0.707106781186548*COS(F321)+0</f>
        <v>0.44632163254044177</v>
      </c>
      <c r="H321">
        <f t="shared" ref="H321:H384" si="47">0.707106781186548*SIN(F321)+0+0*COS(F321)</f>
        <v>0.5484496333542721</v>
      </c>
    </row>
    <row r="322" spans="1:8" x14ac:dyDescent="0.35">
      <c r="A322">
        <v>322</v>
      </c>
      <c r="B322">
        <f t="shared" si="42"/>
        <v>0.9002960911089084</v>
      </c>
      <c r="C322">
        <f t="shared" si="43"/>
        <v>0.6213780048924884</v>
      </c>
      <c r="D322">
        <f t="shared" si="44"/>
        <v>0.78351092847249459</v>
      </c>
      <c r="E322">
        <v>322</v>
      </c>
      <c r="F322">
        <f t="shared" si="45"/>
        <v>0.9002960911089084</v>
      </c>
      <c r="G322">
        <f t="shared" si="46"/>
        <v>0.43938060093964654</v>
      </c>
      <c r="H322">
        <f t="shared" si="47"/>
        <v>0.5540258906566693</v>
      </c>
    </row>
    <row r="323" spans="1:8" x14ac:dyDescent="0.35">
      <c r="A323">
        <v>323</v>
      </c>
      <c r="B323">
        <f t="shared" si="42"/>
        <v>0.9128876448307115</v>
      </c>
      <c r="C323">
        <f t="shared" si="43"/>
        <v>0.6114633874089872</v>
      </c>
      <c r="D323">
        <f t="shared" si="44"/>
        <v>0.79127272533452508</v>
      </c>
      <c r="E323">
        <v>323</v>
      </c>
      <c r="F323">
        <f t="shared" si="45"/>
        <v>0.9128876448307115</v>
      </c>
      <c r="G323">
        <f t="shared" si="46"/>
        <v>0.43236990768419215</v>
      </c>
      <c r="H323">
        <f t="shared" si="47"/>
        <v>0.55951430985200357</v>
      </c>
    </row>
    <row r="324" spans="1:8" x14ac:dyDescent="0.35">
      <c r="A324">
        <v>324</v>
      </c>
      <c r="B324">
        <f t="shared" si="42"/>
        <v>0.92547919855251459</v>
      </c>
      <c r="C324">
        <f t="shared" si="43"/>
        <v>0.60145182538301178</v>
      </c>
      <c r="D324">
        <f t="shared" si="44"/>
        <v>0.79890906975915799</v>
      </c>
      <c r="E324">
        <v>324</v>
      </c>
      <c r="F324">
        <f t="shared" si="45"/>
        <v>0.92547919855251459</v>
      </c>
      <c r="G324">
        <f t="shared" si="46"/>
        <v>0.42529066428535522</v>
      </c>
      <c r="H324">
        <f t="shared" si="47"/>
        <v>0.56491402077813757</v>
      </c>
    </row>
    <row r="325" spans="1:8" x14ac:dyDescent="0.35">
      <c r="A325">
        <v>325</v>
      </c>
      <c r="B325">
        <f t="shared" si="42"/>
        <v>0.9380707522743168</v>
      </c>
      <c r="C325">
        <f t="shared" si="43"/>
        <v>0.5913449060989695</v>
      </c>
      <c r="D325">
        <f t="shared" si="44"/>
        <v>0.80641875104117022</v>
      </c>
      <c r="E325">
        <v>325</v>
      </c>
      <c r="F325">
        <f t="shared" si="45"/>
        <v>0.9380707522743168</v>
      </c>
      <c r="G325">
        <f t="shared" si="46"/>
        <v>0.41814399312270384</v>
      </c>
      <c r="H325">
        <f t="shared" si="47"/>
        <v>0.57022416733719805</v>
      </c>
    </row>
    <row r="326" spans="1:8" x14ac:dyDescent="0.35">
      <c r="A326">
        <v>326</v>
      </c>
      <c r="B326">
        <f t="shared" si="42"/>
        <v>0.95066230599611989</v>
      </c>
      <c r="C326">
        <f t="shared" si="43"/>
        <v>0.58114423195969445</v>
      </c>
      <c r="D326">
        <f t="shared" si="44"/>
        <v>0.81380057855716526</v>
      </c>
      <c r="E326">
        <v>326</v>
      </c>
      <c r="F326">
        <f t="shared" si="45"/>
        <v>0.95066230599611989</v>
      </c>
      <c r="G326">
        <f t="shared" si="46"/>
        <v>0.41093102726614816</v>
      </c>
      <c r="H326">
        <f t="shared" si="47"/>
        <v>0.57544390763130759</v>
      </c>
    </row>
    <row r="327" spans="1:8" x14ac:dyDescent="0.35">
      <c r="A327">
        <v>327</v>
      </c>
      <c r="B327">
        <f t="shared" si="42"/>
        <v>0.96325385971792299</v>
      </c>
      <c r="C327">
        <f t="shared" si="43"/>
        <v>0.57085142023239865</v>
      </c>
      <c r="D327">
        <f t="shared" si="44"/>
        <v>0.8210533819543363</v>
      </c>
      <c r="E327">
        <v>327</v>
      </c>
      <c r="F327">
        <f t="shared" si="45"/>
        <v>0.96325385971792299</v>
      </c>
      <c r="G327">
        <f t="shared" si="46"/>
        <v>0.4036529102963009</v>
      </c>
      <c r="H327">
        <f t="shared" si="47"/>
        <v>0.58057241409606009</v>
      </c>
    </row>
    <row r="328" spans="1:8" x14ac:dyDescent="0.35">
      <c r="A328">
        <v>328</v>
      </c>
      <c r="B328">
        <f t="shared" si="42"/>
        <v>0.9758454134397252</v>
      </c>
      <c r="C328">
        <f t="shared" si="43"/>
        <v>0.56046810279226011</v>
      </c>
      <c r="D328">
        <f t="shared" si="44"/>
        <v>0.82817601133602303</v>
      </c>
      <c r="E328">
        <v>328</v>
      </c>
      <c r="F328">
        <f t="shared" si="45"/>
        <v>0.9758454134397252</v>
      </c>
      <c r="G328">
        <f t="shared" si="46"/>
        <v>0.39631079612316639</v>
      </c>
      <c r="H328">
        <f t="shared" si="47"/>
        <v>0.58560887363172931</v>
      </c>
    </row>
    <row r="329" spans="1:8" x14ac:dyDescent="0.35">
      <c r="A329">
        <v>329</v>
      </c>
      <c r="B329">
        <f t="shared" si="42"/>
        <v>0.98843696716152829</v>
      </c>
      <c r="C329">
        <f t="shared" si="43"/>
        <v>0.5499959258636945</v>
      </c>
      <c r="D329">
        <f t="shared" si="44"/>
        <v>0.83516733744402227</v>
      </c>
      <c r="E329">
        <v>329</v>
      </c>
      <c r="F329">
        <f t="shared" si="45"/>
        <v>0.98843696716152829</v>
      </c>
      <c r="G329">
        <f t="shared" si="46"/>
        <v>0.38890584880319229</v>
      </c>
      <c r="H329">
        <f t="shared" si="47"/>
        <v>0.59055248773218216</v>
      </c>
    </row>
    <row r="330" spans="1:8" x14ac:dyDescent="0.35">
      <c r="A330">
        <v>330</v>
      </c>
      <c r="B330">
        <f t="shared" si="42"/>
        <v>1.0010285208833314</v>
      </c>
      <c r="C330">
        <f t="shared" si="43"/>
        <v>0.53943654975935906</v>
      </c>
      <c r="D330">
        <f t="shared" si="44"/>
        <v>0.84202625183762447</v>
      </c>
      <c r="E330">
        <v>330</v>
      </c>
      <c r="F330">
        <f t="shared" si="45"/>
        <v>1.0010285208833314</v>
      </c>
      <c r="G330">
        <f t="shared" si="46"/>
        <v>0.38143924235471754</v>
      </c>
      <c r="H330">
        <f t="shared" si="47"/>
        <v>0.59540247261147627</v>
      </c>
    </row>
    <row r="331" spans="1:8" x14ac:dyDescent="0.35">
      <c r="A331">
        <v>331</v>
      </c>
      <c r="B331">
        <f t="shared" si="42"/>
        <v>1.0136200746051336</v>
      </c>
      <c r="C331">
        <f t="shared" si="43"/>
        <v>0.52879164861691552</v>
      </c>
      <c r="D331">
        <f t="shared" si="44"/>
        <v>0.84875166706935223</v>
      </c>
      <c r="E331">
        <v>331</v>
      </c>
      <c r="F331">
        <f t="shared" si="45"/>
        <v>1.0136200746051336</v>
      </c>
      <c r="G331">
        <f t="shared" si="46"/>
        <v>0.37391216057183529</v>
      </c>
      <c r="H331">
        <f t="shared" si="47"/>
        <v>0.60015805932812627</v>
      </c>
    </row>
    <row r="332" spans="1:8" x14ac:dyDescent="0.35">
      <c r="A332">
        <v>332</v>
      </c>
      <c r="B332">
        <f t="shared" si="42"/>
        <v>1.0262116283269367</v>
      </c>
      <c r="C332">
        <f t="shared" si="43"/>
        <v>0.51806291013360184</v>
      </c>
      <c r="D332">
        <f t="shared" si="44"/>
        <v>0.85534251685737195</v>
      </c>
      <c r="E332">
        <v>332</v>
      </c>
      <c r="F332">
        <f t="shared" si="45"/>
        <v>1.0262116283269367</v>
      </c>
      <c r="G332">
        <f t="shared" si="46"/>
        <v>0.36632579683670707</v>
      </c>
      <c r="H332">
        <f t="shared" si="47"/>
        <v>0.60481849390701692</v>
      </c>
    </row>
    <row r="333" spans="1:8" x14ac:dyDescent="0.35">
      <c r="A333">
        <v>333</v>
      </c>
      <c r="B333">
        <f t="shared" si="42"/>
        <v>1.0388031820487398</v>
      </c>
      <c r="C333">
        <f t="shared" si="43"/>
        <v>0.50725203529866036</v>
      </c>
      <c r="D333">
        <f t="shared" si="44"/>
        <v>0.86179775625454413</v>
      </c>
      <c r="E333">
        <v>333</v>
      </c>
      <c r="F333">
        <f t="shared" si="45"/>
        <v>1.0388031820487398</v>
      </c>
      <c r="G333">
        <f t="shared" si="46"/>
        <v>0.35868135393036099</v>
      </c>
      <c r="H333">
        <f t="shared" si="47"/>
        <v>0.60938303745893996</v>
      </c>
    </row>
    <row r="334" spans="1:8" x14ac:dyDescent="0.35">
      <c r="A334">
        <v>334</v>
      </c>
      <c r="B334">
        <f t="shared" si="42"/>
        <v>1.051394735770542</v>
      </c>
      <c r="C334">
        <f t="shared" si="43"/>
        <v>0.496360738123652</v>
      </c>
      <c r="D334">
        <f t="shared" si="44"/>
        <v>0.86811636181409657</v>
      </c>
      <c r="E334">
        <v>334</v>
      </c>
      <c r="F334">
        <f t="shared" si="45"/>
        <v>1.051394735770542</v>
      </c>
      <c r="G334">
        <f t="shared" si="46"/>
        <v>0.35098004384199466</v>
      </c>
      <c r="H334">
        <f t="shared" si="47"/>
        <v>0.6138509662977425</v>
      </c>
    </row>
    <row r="335" spans="1:8" x14ac:dyDescent="0.35">
      <c r="A335">
        <v>335</v>
      </c>
      <c r="B335">
        <f t="shared" si="42"/>
        <v>1.0639862894923451</v>
      </c>
      <c r="C335">
        <f t="shared" si="43"/>
        <v>0.48539074537070576</v>
      </c>
      <c r="D335">
        <f t="shared" si="44"/>
        <v>0.87429733175188784</v>
      </c>
      <c r="E335">
        <v>335</v>
      </c>
      <c r="F335">
        <f t="shared" si="45"/>
        <v>1.0639862894923451</v>
      </c>
      <c r="G335">
        <f t="shared" si="46"/>
        <v>0.34322308757681907</v>
      </c>
      <c r="H335">
        <f t="shared" si="47"/>
        <v>0.61822157205506489</v>
      </c>
    </row>
    <row r="336" spans="1:8" x14ac:dyDescent="0.35">
      <c r="A336">
        <v>336</v>
      </c>
      <c r="B336">
        <f t="shared" si="42"/>
        <v>1.0765778432141482</v>
      </c>
      <c r="C336">
        <f t="shared" si="43"/>
        <v>0.4743437962787535</v>
      </c>
      <c r="D336">
        <f t="shared" si="44"/>
        <v>0.88033968610523317</v>
      </c>
      <c r="E336">
        <v>336</v>
      </c>
      <c r="F336">
        <f t="shared" si="45"/>
        <v>1.0765778432141482</v>
      </c>
      <c r="G336">
        <f t="shared" si="46"/>
        <v>0.33541171496247707</v>
      </c>
      <c r="H336">
        <f t="shared" si="47"/>
        <v>0.62249416179264749</v>
      </c>
    </row>
    <row r="337" spans="1:8" x14ac:dyDescent="0.35">
      <c r="A337">
        <v>337</v>
      </c>
      <c r="B337">
        <f t="shared" si="42"/>
        <v>1.0891693969359504</v>
      </c>
      <c r="C337">
        <f t="shared" si="43"/>
        <v>0.46322164228778012</v>
      </c>
      <c r="D337">
        <f t="shared" si="44"/>
        <v>0.88624246688827313</v>
      </c>
      <c r="E337">
        <v>337</v>
      </c>
      <c r="F337">
        <f t="shared" si="45"/>
        <v>1.0891693969359504</v>
      </c>
      <c r="G337">
        <f t="shared" si="46"/>
        <v>0.32754716445405874</v>
      </c>
      <c r="H337">
        <f t="shared" si="47"/>
        <v>0.62666805811219273</v>
      </c>
    </row>
    <row r="338" spans="1:8" x14ac:dyDescent="0.35">
      <c r="A338">
        <v>338</v>
      </c>
      <c r="B338">
        <f t="shared" si="42"/>
        <v>1.1017609506577535</v>
      </c>
      <c r="C338">
        <f t="shared" si="43"/>
        <v>0.4520260467611385</v>
      </c>
      <c r="D338">
        <f t="shared" si="44"/>
        <v>0.89200473824385995</v>
      </c>
      <c r="E338">
        <v>338</v>
      </c>
      <c r="F338">
        <f t="shared" si="45"/>
        <v>1.1017609506577535</v>
      </c>
      <c r="G338">
        <f t="shared" si="46"/>
        <v>0.31963068293774866</v>
      </c>
      <c r="H338">
        <f t="shared" si="47"/>
        <v>0.6307425992627651</v>
      </c>
    </row>
    <row r="339" spans="1:8" x14ac:dyDescent="0.35">
      <c r="A339">
        <v>339</v>
      </c>
      <c r="B339">
        <f t="shared" si="42"/>
        <v>1.1143525043795566</v>
      </c>
      <c r="C339">
        <f t="shared" si="43"/>
        <v>0.44075878470598173</v>
      </c>
      <c r="D339">
        <f t="shared" si="44"/>
        <v>0.89762558659192981</v>
      </c>
      <c r="E339">
        <v>339</v>
      </c>
      <c r="F339">
        <f t="shared" si="45"/>
        <v>1.1143525043795566</v>
      </c>
      <c r="G339">
        <f t="shared" si="46"/>
        <v>0.31166352553314147</v>
      </c>
      <c r="H339">
        <f t="shared" si="47"/>
        <v>0.6347171392457065</v>
      </c>
    </row>
    <row r="340" spans="1:8" x14ac:dyDescent="0.35">
      <c r="A340">
        <v>340</v>
      </c>
      <c r="B340">
        <f t="shared" si="42"/>
        <v>1.1269440581013588</v>
      </c>
      <c r="C340">
        <f t="shared" si="43"/>
        <v>0.42942164249184217</v>
      </c>
      <c r="D340">
        <f t="shared" si="44"/>
        <v>0.90310412077434821</v>
      </c>
      <c r="E340">
        <v>340</v>
      </c>
      <c r="F340">
        <f t="shared" si="45"/>
        <v>1.1269440581013588</v>
      </c>
      <c r="G340">
        <f t="shared" si="46"/>
        <v>0.30364695539424708</v>
      </c>
      <c r="H340">
        <f t="shared" si="47"/>
        <v>0.6385910479170569</v>
      </c>
    </row>
    <row r="341" spans="1:8" x14ac:dyDescent="0.35">
      <c r="A341">
        <v>341</v>
      </c>
      <c r="B341">
        <f t="shared" si="42"/>
        <v>1.1395356118231619</v>
      </c>
      <c r="C341">
        <f t="shared" si="43"/>
        <v>0.41801641756740859</v>
      </c>
      <c r="D341">
        <f t="shared" si="44"/>
        <v>0.90843947219619969</v>
      </c>
      <c r="E341">
        <v>341</v>
      </c>
      <c r="F341">
        <f t="shared" si="45"/>
        <v>1.1395356118231619</v>
      </c>
      <c r="G341">
        <f t="shared" si="46"/>
        <v>0.2955822435092223</v>
      </c>
      <c r="H341">
        <f t="shared" si="47"/>
        <v>0.64236371108746138</v>
      </c>
    </row>
    <row r="342" spans="1:8" x14ac:dyDescent="0.35">
      <c r="A342">
        <v>342</v>
      </c>
      <c r="B342">
        <f t="shared" si="42"/>
        <v>1.152127165544965</v>
      </c>
      <c r="C342">
        <f t="shared" si="43"/>
        <v>0.40654491817555433</v>
      </c>
      <c r="D342">
        <f t="shared" si="44"/>
        <v>0.91363079496349719</v>
      </c>
      <c r="E342">
        <v>342</v>
      </c>
      <c r="F342">
        <f t="shared" si="45"/>
        <v>1.152127165544965</v>
      </c>
      <c r="G342">
        <f t="shared" si="46"/>
        <v>0.28747066849886477</v>
      </c>
      <c r="H342">
        <f t="shared" si="47"/>
        <v>0.64603453061954552</v>
      </c>
    </row>
    <row r="343" spans="1:8" x14ac:dyDescent="0.35">
      <c r="A343">
        <v>343</v>
      </c>
      <c r="B343">
        <f t="shared" si="42"/>
        <v>1.1647187192667672</v>
      </c>
      <c r="C343">
        <f t="shared" si="43"/>
        <v>0.39500896306664679</v>
      </c>
      <c r="D343">
        <f t="shared" si="44"/>
        <v>0.91867726601729538</v>
      </c>
      <c r="E343">
        <v>343</v>
      </c>
      <c r="F343">
        <f t="shared" si="45"/>
        <v>1.1647187192667672</v>
      </c>
      <c r="G343">
        <f t="shared" si="46"/>
        <v>0.27931351641389263</v>
      </c>
      <c r="H343">
        <f t="shared" si="47"/>
        <v>0.64960292452274782</v>
      </c>
    </row>
    <row r="344" spans="1:8" x14ac:dyDescent="0.35">
      <c r="A344">
        <v>344</v>
      </c>
      <c r="B344">
        <f t="shared" si="42"/>
        <v>1.1773102729885703</v>
      </c>
      <c r="C344">
        <f t="shared" si="43"/>
        <v>0.38341038121019116</v>
      </c>
      <c r="D344">
        <f t="shared" si="44"/>
        <v>0.92357808526418372</v>
      </c>
      <c r="E344">
        <v>344</v>
      </c>
      <c r="F344">
        <f t="shared" si="45"/>
        <v>1.1773102729885703</v>
      </c>
      <c r="G344">
        <f t="shared" si="46"/>
        <v>0.27111208053104563</v>
      </c>
      <c r="H344">
        <f t="shared" si="47"/>
        <v>0.65306832704559215</v>
      </c>
    </row>
    <row r="345" spans="1:8" x14ac:dyDescent="0.35">
      <c r="A345">
        <v>345</v>
      </c>
      <c r="B345">
        <f t="shared" si="42"/>
        <v>1.1899018267103734</v>
      </c>
      <c r="C345">
        <f t="shared" si="43"/>
        <v>0.37175101150486073</v>
      </c>
      <c r="D345">
        <f t="shared" si="44"/>
        <v>0.9283324757031356</v>
      </c>
      <c r="E345">
        <v>345</v>
      </c>
      <c r="F345">
        <f t="shared" si="45"/>
        <v>1.1899018267103734</v>
      </c>
      <c r="G345">
        <f t="shared" si="46"/>
        <v>0.26286766114804544</v>
      </c>
      <c r="H345">
        <f t="shared" si="47"/>
        <v>0.6564301887653835</v>
      </c>
    </row>
    <row r="346" spans="1:8" x14ac:dyDescent="0.35">
      <c r="A346">
        <v>346</v>
      </c>
      <c r="B346">
        <f t="shared" si="42"/>
        <v>1.2024933804321756</v>
      </c>
      <c r="C346">
        <f t="shared" si="43"/>
        <v>0.3600327024869463</v>
      </c>
      <c r="D346">
        <f t="shared" si="44"/>
        <v>0.93293968354869872</v>
      </c>
      <c r="E346">
        <v>346</v>
      </c>
      <c r="F346">
        <f t="shared" si="45"/>
        <v>1.2024933804321756</v>
      </c>
      <c r="G346">
        <f t="shared" si="46"/>
        <v>0.2545815653774387</v>
      </c>
      <c r="H346">
        <f t="shared" si="47"/>
        <v>0.65968797667531709</v>
      </c>
    </row>
    <row r="347" spans="1:8" x14ac:dyDescent="0.35">
      <c r="A347">
        <v>347</v>
      </c>
      <c r="B347">
        <f t="shared" si="42"/>
        <v>1.2150849341539787</v>
      </c>
      <c r="C347">
        <f t="shared" si="43"/>
        <v>0.34825731203727722</v>
      </c>
      <c r="D347">
        <f t="shared" si="44"/>
        <v>0.93739897835050501</v>
      </c>
      <c r="E347">
        <v>347</v>
      </c>
      <c r="F347">
        <f t="shared" si="45"/>
        <v>1.2150849341539787</v>
      </c>
      <c r="G347">
        <f t="shared" si="46"/>
        <v>0.24625510693935837</v>
      </c>
      <c r="H347">
        <f t="shared" si="47"/>
        <v>0.66284117426898426</v>
      </c>
    </row>
    <row r="348" spans="1:8" x14ac:dyDescent="0.35">
      <c r="A348">
        <v>348</v>
      </c>
      <c r="B348">
        <f t="shared" si="42"/>
        <v>1.2276764878757818</v>
      </c>
      <c r="C348">
        <f t="shared" si="43"/>
        <v>0.33642670708666833</v>
      </c>
      <c r="D348">
        <f t="shared" si="44"/>
        <v>0.9417096531090785</v>
      </c>
      <c r="E348">
        <v>348</v>
      </c>
      <c r="F348">
        <f t="shared" si="45"/>
        <v>1.2276764878757818</v>
      </c>
      <c r="G348">
        <f t="shared" si="46"/>
        <v>0.23788960595324365</v>
      </c>
      <c r="H348">
        <f t="shared" si="47"/>
        <v>0.66588928162226124</v>
      </c>
    </row>
    <row r="349" spans="1:8" x14ac:dyDescent="0.35">
      <c r="A349">
        <v>349</v>
      </c>
      <c r="B349">
        <f t="shared" si="42"/>
        <v>1.240268041597584</v>
      </c>
      <c r="C349">
        <f t="shared" si="43"/>
        <v>0.32454276331992477</v>
      </c>
      <c r="D349">
        <f t="shared" si="44"/>
        <v>0.94587102438792747</v>
      </c>
      <c r="E349">
        <v>349</v>
      </c>
      <c r="F349">
        <f t="shared" si="45"/>
        <v>1.240268041597584</v>
      </c>
      <c r="G349">
        <f t="shared" si="46"/>
        <v>0.22948638872853969</v>
      </c>
      <c r="H349">
        <f t="shared" si="47"/>
        <v>0.6688318154725702</v>
      </c>
    </row>
    <row r="350" spans="1:8" x14ac:dyDescent="0.35">
      <c r="A350">
        <v>350</v>
      </c>
      <c r="B350">
        <f t="shared" si="42"/>
        <v>1.2528595953193871</v>
      </c>
      <c r="C350">
        <f t="shared" si="43"/>
        <v>0.31260736487845869</v>
      </c>
      <c r="D350">
        <f t="shared" si="44"/>
        <v>0.9498824324219004</v>
      </c>
      <c r="E350">
        <v>350</v>
      </c>
      <c r="F350">
        <f t="shared" si="45"/>
        <v>1.2528595953193871</v>
      </c>
      <c r="G350">
        <f t="shared" si="46"/>
        <v>0.22104678755441567</v>
      </c>
      <c r="H350">
        <f t="shared" si="47"/>
        <v>0.6716683092954987</v>
      </c>
    </row>
    <row r="351" spans="1:8" x14ac:dyDescent="0.35">
      <c r="A351">
        <v>351</v>
      </c>
      <c r="B351">
        <f t="shared" si="42"/>
        <v>1.2654511490411902</v>
      </c>
      <c r="C351">
        <f t="shared" si="43"/>
        <v>0.30062240406157281</v>
      </c>
      <c r="D351">
        <f t="shared" si="44"/>
        <v>0.95374324122178733</v>
      </c>
      <c r="E351">
        <v>351</v>
      </c>
      <c r="F351">
        <f t="shared" si="45"/>
        <v>1.2654511490411902</v>
      </c>
      <c r="G351">
        <f t="shared" si="46"/>
        <v>0.21257214048854059</v>
      </c>
      <c r="H351">
        <f t="shared" si="47"/>
        <v>0.67439831337876344</v>
      </c>
    </row>
    <row r="352" spans="1:8" x14ac:dyDescent="0.35">
      <c r="A352">
        <v>352</v>
      </c>
      <c r="B352">
        <f t="shared" si="42"/>
        <v>1.2780427027629924</v>
      </c>
      <c r="C352">
        <f t="shared" si="43"/>
        <v>0.28858978102644323</v>
      </c>
      <c r="D352">
        <f t="shared" si="44"/>
        <v>0.95745283867515352</v>
      </c>
      <c r="E352">
        <v>352</v>
      </c>
      <c r="F352">
        <f t="shared" si="45"/>
        <v>1.2780427027629924</v>
      </c>
      <c r="G352">
        <f t="shared" si="46"/>
        <v>0.204063791144939</v>
      </c>
      <c r="H352">
        <f t="shared" si="47"/>
        <v>0.67702139489351099</v>
      </c>
    </row>
    <row r="353" spans="1:8" x14ac:dyDescent="0.35">
      <c r="A353">
        <v>353</v>
      </c>
      <c r="B353">
        <f t="shared" si="42"/>
        <v>1.2906342564847955</v>
      </c>
      <c r="C353">
        <f t="shared" si="43"/>
        <v>0.27651140348685604</v>
      </c>
      <c r="D353">
        <f t="shared" si="44"/>
        <v>0.96101063664338759</v>
      </c>
      <c r="E353">
        <v>353</v>
      </c>
      <c r="F353">
        <f t="shared" si="45"/>
        <v>1.2906342564847955</v>
      </c>
      <c r="G353">
        <f t="shared" si="46"/>
        <v>0.19552308848096561</v>
      </c>
      <c r="H353">
        <f t="shared" si="47"/>
        <v>0.67953713796294113</v>
      </c>
    </row>
    <row r="354" spans="1:8" x14ac:dyDescent="0.35">
      <c r="A354">
        <v>354</v>
      </c>
      <c r="B354">
        <f t="shared" si="42"/>
        <v>1.3032258102065986</v>
      </c>
      <c r="C354">
        <f t="shared" si="43"/>
        <v>0.26438918641075382</v>
      </c>
      <c r="D354">
        <f t="shared" si="44"/>
        <v>0.96441607105494653</v>
      </c>
      <c r="E354">
        <v>354</v>
      </c>
      <c r="F354">
        <f t="shared" si="45"/>
        <v>1.3032258102065986</v>
      </c>
      <c r="G354">
        <f t="shared" si="46"/>
        <v>0.18695138658343835</v>
      </c>
      <c r="H354">
        <f t="shared" si="47"/>
        <v>0.68194514372824044</v>
      </c>
    </row>
    <row r="355" spans="1:8" x14ac:dyDescent="0.35">
      <c r="A355">
        <v>355</v>
      </c>
      <c r="B355">
        <f t="shared" si="42"/>
        <v>1.3158173639284008</v>
      </c>
      <c r="C355">
        <f t="shared" si="43"/>
        <v>0.25222505171662413</v>
      </c>
      <c r="D355">
        <f t="shared" si="44"/>
        <v>0.96766860199478744</v>
      </c>
      <c r="E355">
        <v>355</v>
      </c>
      <c r="F355">
        <f t="shared" si="45"/>
        <v>1.3158173639284008</v>
      </c>
      <c r="G355">
        <f t="shared" si="46"/>
        <v>0.17835004445395269</v>
      </c>
      <c r="H355">
        <f t="shared" si="47"/>
        <v>0.68424503041182094</v>
      </c>
    </row>
    <row r="356" spans="1:8" x14ac:dyDescent="0.35">
      <c r="A356">
        <v>356</v>
      </c>
      <c r="B356">
        <f t="shared" si="42"/>
        <v>1.3284089176502039</v>
      </c>
      <c r="C356">
        <f t="shared" si="43"/>
        <v>0.24002092796878616</v>
      </c>
      <c r="D356">
        <f t="shared" si="44"/>
        <v>0.97076771378996884</v>
      </c>
      <c r="E356">
        <v>356</v>
      </c>
      <c r="F356">
        <f t="shared" si="45"/>
        <v>1.3284089176502039</v>
      </c>
      <c r="G356">
        <f t="shared" si="46"/>
        <v>0.16972042579341667</v>
      </c>
      <c r="H356">
        <f t="shared" si="47"/>
        <v>0.68643643337784899</v>
      </c>
    </row>
    <row r="357" spans="1:8" x14ac:dyDescent="0.35">
      <c r="A357">
        <v>357</v>
      </c>
      <c r="B357">
        <f t="shared" si="42"/>
        <v>1.341000471372007</v>
      </c>
      <c r="C357">
        <f t="shared" si="43"/>
        <v>0.22777875007163151</v>
      </c>
      <c r="D357">
        <f t="shared" si="44"/>
        <v>0.97371291509140678</v>
      </c>
      <c r="E357">
        <v>357</v>
      </c>
      <c r="F357">
        <f t="shared" si="45"/>
        <v>1.341000471372007</v>
      </c>
      <c r="G357">
        <f t="shared" si="46"/>
        <v>0.16106389878584654</v>
      </c>
      <c r="H357">
        <f t="shared" si="47"/>
        <v>0.68851900519005516</v>
      </c>
    </row>
    <row r="358" spans="1:8" x14ac:dyDescent="0.35">
      <c r="A358">
        <v>358</v>
      </c>
      <c r="B358">
        <f t="shared" si="42"/>
        <v>1.3535920250938092</v>
      </c>
      <c r="C358">
        <f t="shared" si="43"/>
        <v>0.21550045896285175</v>
      </c>
      <c r="D358">
        <f t="shared" si="44"/>
        <v>0.976503738951777</v>
      </c>
      <c r="E358">
        <v>358</v>
      </c>
      <c r="F358">
        <f t="shared" si="45"/>
        <v>1.3535920250938092</v>
      </c>
      <c r="G358">
        <f t="shared" si="46"/>
        <v>0.15238183588144588</v>
      </c>
      <c r="H358">
        <f t="shared" si="47"/>
        <v>0.69049241566682018</v>
      </c>
    </row>
    <row r="359" spans="1:8" x14ac:dyDescent="0.35">
      <c r="A359">
        <v>359</v>
      </c>
      <c r="B359">
        <f t="shared" si="42"/>
        <v>1.3661835788156123</v>
      </c>
      <c r="C359">
        <f t="shared" si="43"/>
        <v>0.20318800130570971</v>
      </c>
      <c r="D359">
        <f t="shared" si="44"/>
        <v>0.97913974289954697</v>
      </c>
      <c r="E359">
        <v>359</v>
      </c>
      <c r="F359">
        <f t="shared" si="45"/>
        <v>1.3661835788156123</v>
      </c>
      <c r="G359">
        <f t="shared" si="46"/>
        <v>0.14367561357900852</v>
      </c>
      <c r="H359">
        <f t="shared" si="47"/>
        <v>0.69235635193352285</v>
      </c>
    </row>
    <row r="360" spans="1:8" x14ac:dyDescent="0.35">
      <c r="A360">
        <v>360</v>
      </c>
      <c r="B360">
        <f t="shared" si="42"/>
        <v>1.3787751325374153</v>
      </c>
      <c r="C360">
        <f t="shared" si="43"/>
        <v>0.19084332918041072</v>
      </c>
      <c r="D360">
        <f t="shared" si="44"/>
        <v>0.9816205090091269</v>
      </c>
      <c r="E360">
        <v>360</v>
      </c>
      <c r="F360">
        <f t="shared" si="45"/>
        <v>1.3787751325374153</v>
      </c>
      <c r="G360">
        <f t="shared" si="46"/>
        <v>0.13494661220768503</v>
      </c>
      <c r="H360">
        <f t="shared" si="47"/>
        <v>0.69411051847214456</v>
      </c>
    </row>
    <row r="361" spans="1:8" x14ac:dyDescent="0.35">
      <c r="A361">
        <v>361</v>
      </c>
      <c r="B361">
        <f t="shared" si="42"/>
        <v>1.3913666862592176</v>
      </c>
      <c r="C361">
        <f t="shared" si="43"/>
        <v>0.17846839977460716</v>
      </c>
      <c r="D361">
        <f t="shared" si="44"/>
        <v>0.98394564396713047</v>
      </c>
      <c r="E361">
        <v>361</v>
      </c>
      <c r="F361">
        <f t="shared" si="45"/>
        <v>1.3913666862592176</v>
      </c>
      <c r="G361">
        <f t="shared" si="46"/>
        <v>0.12619621570813652</v>
      </c>
      <c r="H361">
        <f t="shared" si="47"/>
        <v>0.6957546371681228</v>
      </c>
    </row>
    <row r="362" spans="1:8" x14ac:dyDescent="0.35">
      <c r="A362">
        <v>362</v>
      </c>
      <c r="B362">
        <f t="shared" si="42"/>
        <v>1.4039582399810207</v>
      </c>
      <c r="C362">
        <f t="shared" si="43"/>
        <v>0.16606517507309324</v>
      </c>
      <c r="D362">
        <f t="shared" si="44"/>
        <v>0.98611477913473278</v>
      </c>
      <c r="E362">
        <v>362</v>
      </c>
      <c r="F362">
        <f t="shared" si="45"/>
        <v>1.4039582399810207</v>
      </c>
      <c r="G362">
        <f t="shared" si="46"/>
        <v>0.11742581141311553</v>
      </c>
      <c r="H362">
        <f t="shared" si="47"/>
        <v>0.69728844735444462</v>
      </c>
    </row>
    <row r="363" spans="1:8" x14ac:dyDescent="0.35">
      <c r="A363">
        <v>363</v>
      </c>
      <c r="B363">
        <f t="shared" si="42"/>
        <v>1.4165497937028237</v>
      </c>
      <c r="C363">
        <f t="shared" si="43"/>
        <v>0.15363562154674718</v>
      </c>
      <c r="D363">
        <f t="shared" si="44"/>
        <v>0.988127570606116</v>
      </c>
      <c r="E363">
        <v>363</v>
      </c>
      <c r="F363">
        <f t="shared" si="45"/>
        <v>1.4165497937028237</v>
      </c>
      <c r="G363">
        <f t="shared" si="46"/>
        <v>0.10863678982751505</v>
      </c>
      <c r="H363">
        <f t="shared" si="47"/>
        <v>0.69871170585297415</v>
      </c>
    </row>
    <row r="364" spans="1:8" x14ac:dyDescent="0.35">
      <c r="A364">
        <v>364</v>
      </c>
      <c r="B364">
        <f t="shared" si="42"/>
        <v>1.429141347424626</v>
      </c>
      <c r="C364">
        <f t="shared" si="43"/>
        <v>0.14118170984075415</v>
      </c>
      <c r="D364">
        <f t="shared" si="44"/>
        <v>0.98998369926299346</v>
      </c>
      <c r="E364">
        <v>364</v>
      </c>
      <c r="F364">
        <f t="shared" si="45"/>
        <v>1.429141347424626</v>
      </c>
      <c r="G364">
        <f t="shared" si="46"/>
        <v>9.9830544407908853E-2</v>
      </c>
      <c r="H364">
        <f t="shared" si="47"/>
        <v>0.70002418701300684</v>
      </c>
    </row>
    <row r="365" spans="1:8" x14ac:dyDescent="0.35">
      <c r="A365">
        <v>365</v>
      </c>
      <c r="B365">
        <f t="shared" si="42"/>
        <v>1.441732901146429</v>
      </c>
      <c r="C365">
        <f t="shared" si="43"/>
        <v>0.12870541446216746</v>
      </c>
      <c r="D365">
        <f t="shared" si="44"/>
        <v>0.99168287082520579</v>
      </c>
      <c r="E365">
        <v>365</v>
      </c>
      <c r="F365">
        <f t="shared" si="45"/>
        <v>1.441732901146429</v>
      </c>
      <c r="G365">
        <f t="shared" si="46"/>
        <v>9.100847134162382E-2</v>
      </c>
      <c r="H365">
        <f t="shared" si="47"/>
        <v>0.70122568274704655</v>
      </c>
    </row>
    <row r="366" spans="1:8" x14ac:dyDescent="0.35">
      <c r="A366">
        <v>366</v>
      </c>
      <c r="B366">
        <f t="shared" si="42"/>
        <v>1.4543244548682321</v>
      </c>
      <c r="C366">
        <f t="shared" si="43"/>
        <v>0.11620871346686536</v>
      </c>
      <c r="D366">
        <f t="shared" si="44"/>
        <v>0.99322481589737577</v>
      </c>
      <c r="E366">
        <v>366</v>
      </c>
      <c r="F366">
        <f t="shared" si="45"/>
        <v>1.4543244548682321</v>
      </c>
      <c r="G366">
        <f t="shared" si="46"/>
        <v>8.2171969325385022E-2</v>
      </c>
      <c r="H366">
        <f t="shared" si="47"/>
        <v>0.70231600256379512</v>
      </c>
    </row>
    <row r="367" spans="1:8" x14ac:dyDescent="0.35">
      <c r="A367">
        <v>367</v>
      </c>
      <c r="B367">
        <f t="shared" si="42"/>
        <v>1.4669160085900343</v>
      </c>
      <c r="C367">
        <f t="shared" si="43"/>
        <v>0.10369358814593721</v>
      </c>
      <c r="D367">
        <f t="shared" si="44"/>
        <v>0.99460929001162102</v>
      </c>
      <c r="E367">
        <v>367</v>
      </c>
      <c r="F367">
        <f t="shared" si="45"/>
        <v>1.4669160085900343</v>
      </c>
      <c r="G367">
        <f t="shared" si="46"/>
        <v>7.3322439343557255E-2</v>
      </c>
      <c r="H367">
        <f t="shared" si="47"/>
        <v>0.70329497359835513</v>
      </c>
    </row>
    <row r="368" spans="1:8" x14ac:dyDescent="0.35">
      <c r="A368">
        <v>368</v>
      </c>
      <c r="B368">
        <f t="shared" si="42"/>
        <v>1.4795075623118374</v>
      </c>
      <c r="C368">
        <f t="shared" si="43"/>
        <v>9.1162022711556878E-2</v>
      </c>
      <c r="D368">
        <f t="shared" si="44"/>
        <v>0.99583607366631266</v>
      </c>
      <c r="E368">
        <v>368</v>
      </c>
      <c r="F368">
        <f t="shared" si="45"/>
        <v>1.4795075623118374</v>
      </c>
      <c r="G368">
        <f t="shared" si="46"/>
        <v>6.4461284446023975E-2</v>
      </c>
      <c r="H368">
        <f t="shared" si="47"/>
        <v>0.70416244063963651</v>
      </c>
    </row>
    <row r="369" spans="1:8" x14ac:dyDescent="0.35">
      <c r="A369">
        <v>369</v>
      </c>
      <c r="B369">
        <f t="shared" si="42"/>
        <v>1.4920991160336405</v>
      </c>
      <c r="C369">
        <f t="shared" si="43"/>
        <v>7.8616003982400817E-2</v>
      </c>
      <c r="D369">
        <f t="shared" si="44"/>
        <v>0.99690497236087605</v>
      </c>
      <c r="E369">
        <v>369</v>
      </c>
      <c r="F369">
        <f t="shared" si="45"/>
        <v>1.4920991160336405</v>
      </c>
      <c r="G369">
        <f t="shared" si="46"/>
        <v>5.5589909525744281E-2</v>
      </c>
      <c r="H369">
        <f t="shared" si="47"/>
        <v>0.70491826615496367</v>
      </c>
    </row>
    <row r="370" spans="1:8" x14ac:dyDescent="0.35">
      <c r="A370">
        <v>370</v>
      </c>
      <c r="B370">
        <f t="shared" si="42"/>
        <v>1.5046906697554427</v>
      </c>
      <c r="C370">
        <f t="shared" si="43"/>
        <v>6.6057521068644959E-2</v>
      </c>
      <c r="D370">
        <f t="shared" si="44"/>
        <v>0.99781581662662855</v>
      </c>
      <c r="E370">
        <v>370</v>
      </c>
      <c r="F370">
        <f t="shared" si="45"/>
        <v>1.5046906697554427</v>
      </c>
      <c r="G370">
        <f t="shared" si="46"/>
        <v>4.6709721096012118E-2</v>
      </c>
      <c r="H370">
        <f t="shared" si="47"/>
        <v>0.7055623303118822</v>
      </c>
    </row>
    <row r="371" spans="1:8" x14ac:dyDescent="0.35">
      <c r="A371">
        <v>371</v>
      </c>
      <c r="B371">
        <f t="shared" si="42"/>
        <v>1.5172822234772458</v>
      </c>
      <c r="C371">
        <f t="shared" si="43"/>
        <v>5.3488565056598353E-2</v>
      </c>
      <c r="D371">
        <f t="shared" si="44"/>
        <v>0.99856846205364713</v>
      </c>
      <c r="E371">
        <v>371</v>
      </c>
      <c r="F371">
        <f t="shared" si="45"/>
        <v>1.5172822234772458</v>
      </c>
      <c r="G371">
        <f t="shared" si="46"/>
        <v>3.7822127067458529E-2</v>
      </c>
      <c r="H371">
        <f t="shared" si="47"/>
        <v>0.70609453099715602</v>
      </c>
    </row>
    <row r="372" spans="1:8" x14ac:dyDescent="0.35">
      <c r="A372">
        <v>372</v>
      </c>
      <c r="B372">
        <f t="shared" si="42"/>
        <v>1.5298737771990489</v>
      </c>
      <c r="C372">
        <f t="shared" si="43"/>
        <v>4.091112869303147E-2</v>
      </c>
      <c r="D372">
        <f t="shared" si="44"/>
        <v>0.99916278931366442</v>
      </c>
      <c r="E372">
        <v>372</v>
      </c>
      <c r="F372">
        <f t="shared" si="45"/>
        <v>1.5298737771990489</v>
      </c>
      <c r="G372">
        <f t="shared" si="46"/>
        <v>2.8928536524838112E-2</v>
      </c>
      <c r="H372">
        <f t="shared" si="47"/>
        <v>0.70651478383295829</v>
      </c>
    </row>
    <row r="373" spans="1:8" x14ac:dyDescent="0.35">
      <c r="A373">
        <v>373</v>
      </c>
      <c r="B373">
        <f t="shared" si="42"/>
        <v>1.5424653309208511</v>
      </c>
      <c r="C373">
        <f t="shared" si="43"/>
        <v>2.8327206069233189E-2</v>
      </c>
      <c r="D373">
        <f t="shared" si="44"/>
        <v>0.99959870417898766</v>
      </c>
      <c r="E373">
        <v>373</v>
      </c>
      <c r="F373">
        <f t="shared" si="45"/>
        <v>1.5424653309208511</v>
      </c>
      <c r="G373">
        <f t="shared" si="46"/>
        <v>2.0030359503623529E-2</v>
      </c>
      <c r="H373">
        <f t="shared" si="47"/>
        <v>0.7068230221902484</v>
      </c>
    </row>
    <row r="374" spans="1:8" x14ac:dyDescent="0.35">
      <c r="A374">
        <v>374</v>
      </c>
      <c r="B374">
        <f t="shared" si="42"/>
        <v>1.5550568846426542</v>
      </c>
      <c r="C374">
        <f t="shared" si="43"/>
        <v>1.5738792304854712E-2</v>
      </c>
      <c r="D374">
        <f t="shared" si="44"/>
        <v>0.99987613753743754</v>
      </c>
      <c r="E374">
        <v>374</v>
      </c>
      <c r="F374">
        <f t="shared" si="45"/>
        <v>1.5550568846426542</v>
      </c>
      <c r="G374">
        <f t="shared" si="46"/>
        <v>1.1129006766449427E-2</v>
      </c>
      <c r="H374">
        <f t="shared" si="47"/>
        <v>0.70701919719933559</v>
      </c>
    </row>
    <row r="375" spans="1:8" x14ac:dyDescent="0.35">
      <c r="A375">
        <v>375</v>
      </c>
      <c r="B375">
        <f t="shared" si="42"/>
        <v>1.5676484383644573</v>
      </c>
      <c r="C375">
        <f t="shared" si="43"/>
        <v>3.1478832315983678E-3</v>
      </c>
      <c r="D375">
        <f t="shared" si="44"/>
        <v>0.99999504540330608</v>
      </c>
      <c r="E375">
        <v>375</v>
      </c>
      <c r="F375">
        <f t="shared" si="45"/>
        <v>1.5676484383644573</v>
      </c>
      <c r="G375">
        <f t="shared" si="46"/>
        <v>2.2258895794466309E-3</v>
      </c>
      <c r="H375">
        <f t="shared" si="47"/>
        <v>0.70710327775762771</v>
      </c>
    </row>
    <row r="376" spans="1:8" x14ac:dyDescent="0.35">
      <c r="A376">
        <v>376</v>
      </c>
      <c r="B376">
        <f t="shared" si="42"/>
        <v>1.5802399920862595</v>
      </c>
      <c r="C376">
        <f t="shared" si="43"/>
        <v>-9.4435249232144355E-3</v>
      </c>
      <c r="D376">
        <f t="shared" si="44"/>
        <v>0.99995540892433032</v>
      </c>
      <c r="E376">
        <v>376</v>
      </c>
      <c r="F376">
        <f t="shared" si="45"/>
        <v>1.5802399920862595</v>
      </c>
      <c r="G376">
        <f t="shared" si="46"/>
        <v>-6.6775805115091022E-3</v>
      </c>
      <c r="H376">
        <f t="shared" si="47"/>
        <v>0.70707525053456155</v>
      </c>
    </row>
    <row r="377" spans="1:8" x14ac:dyDescent="0.35">
      <c r="A377">
        <v>377</v>
      </c>
      <c r="B377">
        <f t="shared" si="42"/>
        <v>1.5928315458080626</v>
      </c>
      <c r="C377">
        <f t="shared" si="43"/>
        <v>-2.2033435853138009E-2</v>
      </c>
      <c r="D377">
        <f t="shared" si="44"/>
        <v>0.99975723438468078</v>
      </c>
      <c r="E377">
        <v>377</v>
      </c>
      <c r="F377">
        <f t="shared" si="45"/>
        <v>1.5928315458080626</v>
      </c>
      <c r="G377">
        <f t="shared" si="46"/>
        <v>-1.5579991904592699E-2</v>
      </c>
      <c r="H377">
        <f t="shared" si="47"/>
        <v>0.70693511997371683</v>
      </c>
    </row>
    <row r="378" spans="1:8" x14ac:dyDescent="0.35">
      <c r="A378">
        <v>378</v>
      </c>
      <c r="B378">
        <f t="shared" si="42"/>
        <v>1.6054230995298657</v>
      </c>
      <c r="C378">
        <f t="shared" si="43"/>
        <v>-3.461985348910171E-2</v>
      </c>
      <c r="D378">
        <f t="shared" si="44"/>
        <v>0.99940055320396592</v>
      </c>
      <c r="E378">
        <v>378</v>
      </c>
      <c r="F378">
        <f t="shared" si="45"/>
        <v>1.6054230995298657</v>
      </c>
      <c r="G378">
        <f t="shared" si="46"/>
        <v>-2.4479933165828593E-2</v>
      </c>
      <c r="H378">
        <f t="shared" si="47"/>
        <v>0.70668290829211178</v>
      </c>
    </row>
    <row r="379" spans="1:8" x14ac:dyDescent="0.35">
      <c r="A379">
        <v>379</v>
      </c>
      <c r="B379">
        <f t="shared" si="42"/>
        <v>1.6180146532516679</v>
      </c>
      <c r="C379">
        <f t="shared" si="43"/>
        <v>-4.7200782315879652E-2</v>
      </c>
      <c r="D379">
        <f t="shared" si="44"/>
        <v>0.99888542193224994</v>
      </c>
      <c r="E379">
        <v>379</v>
      </c>
      <c r="F379">
        <f t="shared" si="45"/>
        <v>1.6180146532516679</v>
      </c>
      <c r="G379">
        <f t="shared" si="46"/>
        <v>-3.3375993252868601E-2</v>
      </c>
      <c r="H379">
        <f t="shared" si="47"/>
        <v>0.70631865547668016</v>
      </c>
    </row>
    <row r="380" spans="1:8" x14ac:dyDescent="0.35">
      <c r="A380">
        <v>380</v>
      </c>
      <c r="B380">
        <f t="shared" si="42"/>
        <v>1.630606206973471</v>
      </c>
      <c r="C380">
        <f t="shared" si="43"/>
        <v>-5.977422768847257E-2</v>
      </c>
      <c r="D380">
        <f t="shared" si="44"/>
        <v>0.99821192224108735</v>
      </c>
      <c r="E380">
        <v>380</v>
      </c>
      <c r="F380">
        <f t="shared" si="45"/>
        <v>1.630606206973471</v>
      </c>
      <c r="G380">
        <f t="shared" si="46"/>
        <v>-4.2266761738707671E-2</v>
      </c>
      <c r="H380">
        <f t="shared" si="47"/>
        <v>0.70584241927793201</v>
      </c>
    </row>
    <row r="381" spans="1:8" x14ac:dyDescent="0.35">
      <c r="A381">
        <v>381</v>
      </c>
      <c r="B381">
        <f t="shared" si="42"/>
        <v>1.6431977606952741</v>
      </c>
      <c r="C381">
        <f t="shared" si="43"/>
        <v>-7.2338196148343761E-2</v>
      </c>
      <c r="D381">
        <f t="shared" si="44"/>
        <v>0.99738016091057469</v>
      </c>
      <c r="E381">
        <v>381</v>
      </c>
      <c r="F381">
        <f t="shared" si="45"/>
        <v>1.6431977606952741</v>
      </c>
      <c r="G381">
        <f t="shared" si="46"/>
        <v>-5.1150829035296504E-2</v>
      </c>
      <c r="H381">
        <f t="shared" si="47"/>
        <v>0.70525427520079775</v>
      </c>
    </row>
    <row r="382" spans="1:8" x14ac:dyDescent="0.35">
      <c r="A382">
        <v>382</v>
      </c>
      <c r="B382">
        <f t="shared" si="42"/>
        <v>1.6557893144170763</v>
      </c>
      <c r="C382">
        <f t="shared" si="43"/>
        <v>-8.4890695739474886E-2</v>
      </c>
      <c r="D382">
        <f t="shared" si="44"/>
        <v>0.9963902698124204</v>
      </c>
      <c r="E382">
        <v>382</v>
      </c>
      <c r="F382">
        <f t="shared" si="45"/>
        <v>1.6557893144170763</v>
      </c>
      <c r="G382">
        <f t="shared" si="46"/>
        <v>-6.0026786617026692E-2</v>
      </c>
      <c r="H382">
        <f t="shared" si="47"/>
        <v>0.70455431649265665</v>
      </c>
    </row>
    <row r="383" spans="1:8" x14ac:dyDescent="0.35">
      <c r="A383">
        <v>383</v>
      </c>
      <c r="B383">
        <f t="shared" si="42"/>
        <v>1.6683808681388794</v>
      </c>
      <c r="C383">
        <f t="shared" si="43"/>
        <v>-9.7429736324183544E-2</v>
      </c>
      <c r="D383">
        <f t="shared" si="44"/>
        <v>0.99524240588903767</v>
      </c>
      <c r="E383">
        <v>383</v>
      </c>
      <c r="F383">
        <f t="shared" si="45"/>
        <v>1.6683808681388794</v>
      </c>
      <c r="G383">
        <f t="shared" si="46"/>
        <v>-6.889322724404752E-2</v>
      </c>
      <c r="H383">
        <f t="shared" si="47"/>
        <v>0.70374265412855341</v>
      </c>
    </row>
    <row r="384" spans="1:8" x14ac:dyDescent="0.35">
      <c r="A384">
        <v>384</v>
      </c>
      <c r="B384">
        <f t="shared" si="42"/>
        <v>1.6809724218606825</v>
      </c>
      <c r="C384">
        <f t="shared" si="43"/>
        <v>-0.10995332989864461</v>
      </c>
      <c r="D384">
        <f t="shared" si="44"/>
        <v>0.99393675112866198</v>
      </c>
      <c r="E384">
        <v>384</v>
      </c>
      <c r="F384">
        <f t="shared" si="45"/>
        <v>1.6809724218606825</v>
      </c>
      <c r="G384">
        <f t="shared" si="46"/>
        <v>-7.7748745185373225E-2</v>
      </c>
      <c r="H384">
        <f t="shared" si="47"/>
        <v>0.70281941679360327</v>
      </c>
    </row>
    <row r="385" spans="1:8" x14ac:dyDescent="0.35">
      <c r="A385">
        <v>385</v>
      </c>
      <c r="B385">
        <f t="shared" ref="B385:B448" si="48">-3.14159265358979+(A385-1)*0.0125915537218028</f>
        <v>1.6935639755824847</v>
      </c>
      <c r="C385">
        <f t="shared" ref="C385:C448" si="49">1*COS(B385)+0</f>
        <v>-0.12245949090808123</v>
      </c>
      <c r="D385">
        <f t="shared" ref="D385:D448" si="50">1*SIN(B385)+0+0*COS(B385)</f>
        <v>0.99247351253649763</v>
      </c>
      <c r="E385">
        <v>385</v>
      </c>
      <c r="F385">
        <f t="shared" ref="F385:F448" si="51">-3.14159265358979+(E385-1)*0.0125915537218028</f>
        <v>1.6935639755824847</v>
      </c>
      <c r="G385">
        <f t="shared" ref="G385:G448" si="52">0.707106781186548*COS(F385)+0</f>
        <v>-8.6591936441756653E-2</v>
      </c>
      <c r="H385">
        <f t="shared" ref="H385:H448" si="53">0.707106781186548*SIN(F385)+0+0*COS(F385)</f>
        <v>0.70178475086258996</v>
      </c>
    </row>
    <row r="386" spans="1:8" x14ac:dyDescent="0.35">
      <c r="A386">
        <v>386</v>
      </c>
      <c r="B386">
        <f t="shared" si="48"/>
        <v>1.7061555293042878</v>
      </c>
      <c r="C386">
        <f t="shared" si="49"/>
        <v>-0.13494623656156748</v>
      </c>
      <c r="D386">
        <f t="shared" si="50"/>
        <v>0.99085292210189779</v>
      </c>
      <c r="E386">
        <v>386</v>
      </c>
      <c r="F386">
        <f t="shared" si="51"/>
        <v>1.7061555293042878</v>
      </c>
      <c r="G386">
        <f t="shared" si="52"/>
        <v>-9.542139896828844E-2</v>
      </c>
      <c r="H386">
        <f t="shared" si="53"/>
        <v>0.7006388203767584</v>
      </c>
    </row>
    <row r="387" spans="1:8" x14ac:dyDescent="0.35">
      <c r="A387">
        <v>387</v>
      </c>
      <c r="B387">
        <f t="shared" si="48"/>
        <v>1.7187470830260909</v>
      </c>
      <c r="C387">
        <f t="shared" si="49"/>
        <v>-0.14741158714638491</v>
      </c>
      <c r="D387">
        <f t="shared" si="50"/>
        <v>0.98907523676158415</v>
      </c>
      <c r="E387">
        <v>387</v>
      </c>
      <c r="F387">
        <f t="shared" si="51"/>
        <v>1.7187470830260909</v>
      </c>
      <c r="G387">
        <f t="shared" si="52"/>
        <v>-0.10423573289668055</v>
      </c>
      <c r="H387">
        <f t="shared" si="53"/>
        <v>0.69938180701780661</v>
      </c>
    </row>
    <row r="388" spans="1:8" x14ac:dyDescent="0.35">
      <c r="A388">
        <v>388</v>
      </c>
      <c r="B388">
        <f t="shared" si="48"/>
        <v>1.731338636747894</v>
      </c>
      <c r="C388">
        <f t="shared" si="49"/>
        <v>-0.15985356634189996</v>
      </c>
      <c r="D388">
        <f t="shared" si="50"/>
        <v>0.98714073835891092</v>
      </c>
      <c r="E388">
        <v>388</v>
      </c>
      <c r="F388">
        <f t="shared" si="51"/>
        <v>1.731338636747894</v>
      </c>
      <c r="G388">
        <f t="shared" si="52"/>
        <v>-0.11303354075721118</v>
      </c>
      <c r="H388">
        <f t="shared" si="53"/>
        <v>0.69801391007908187</v>
      </c>
    </row>
    <row r="389" spans="1:8" x14ac:dyDescent="0.35">
      <c r="A389">
        <v>389</v>
      </c>
      <c r="B389">
        <f t="shared" si="48"/>
        <v>1.7439301904696962</v>
      </c>
      <c r="C389">
        <f t="shared" si="49"/>
        <v>-0.17227020153289807</v>
      </c>
      <c r="D389">
        <f t="shared" si="50"/>
        <v>0.98504973359917958</v>
      </c>
      <c r="E389">
        <v>389</v>
      </c>
      <c r="F389">
        <f t="shared" si="51"/>
        <v>1.7439301904696962</v>
      </c>
      <c r="G389">
        <f t="shared" si="52"/>
        <v>-0.12181342770028548</v>
      </c>
      <c r="H389">
        <f t="shared" si="53"/>
        <v>0.69653534643398252</v>
      </c>
    </row>
    <row r="390" spans="1:8" x14ac:dyDescent="0.35">
      <c r="A390">
        <v>390</v>
      </c>
      <c r="B390">
        <f t="shared" si="48"/>
        <v>1.7565217441914993</v>
      </c>
      <c r="C390">
        <f t="shared" si="49"/>
        <v>-0.18465952412233588</v>
      </c>
      <c r="D390">
        <f t="shared" si="50"/>
        <v>0.98280255400101213</v>
      </c>
      <c r="E390">
        <v>390</v>
      </c>
      <c r="F390">
        <f t="shared" si="51"/>
        <v>1.7565217441914993</v>
      </c>
      <c r="G390">
        <f t="shared" si="52"/>
        <v>-0.13057400171758465</v>
      </c>
      <c r="H390">
        <f t="shared" si="53"/>
        <v>0.69494635050157427</v>
      </c>
    </row>
    <row r="391" spans="1:8" x14ac:dyDescent="0.35">
      <c r="A391">
        <v>391</v>
      </c>
      <c r="B391">
        <f t="shared" si="48"/>
        <v>1.7691132979133024</v>
      </c>
      <c r="C391">
        <f t="shared" si="49"/>
        <v>-0.1970195698434474</v>
      </c>
      <c r="D391">
        <f t="shared" si="50"/>
        <v>0.98039955584379113</v>
      </c>
      <c r="E391">
        <v>391</v>
      </c>
      <c r="F391">
        <f t="shared" si="51"/>
        <v>1.7691132979133024</v>
      </c>
      <c r="G391">
        <f t="shared" si="52"/>
        <v>-0.13931387386275837</v>
      </c>
      <c r="H391">
        <f t="shared" si="53"/>
        <v>0.6932471742094245</v>
      </c>
    </row>
    <row r="392" spans="1:8" x14ac:dyDescent="0.35">
      <c r="A392">
        <v>392</v>
      </c>
      <c r="B392">
        <f t="shared" si="48"/>
        <v>1.7817048516351046</v>
      </c>
      <c r="C392">
        <f t="shared" si="49"/>
        <v>-0.20934837907117143</v>
      </c>
      <c r="D392">
        <f t="shared" si="50"/>
        <v>0.97784112011117286</v>
      </c>
      <c r="E392">
        <v>392</v>
      </c>
      <c r="F392">
        <f t="shared" si="51"/>
        <v>1.7817048516351046</v>
      </c>
      <c r="G392">
        <f t="shared" si="52"/>
        <v>-0.14803165847163732</v>
      </c>
      <c r="H392">
        <f t="shared" si="53"/>
        <v>0.69143808695366016</v>
      </c>
    </row>
    <row r="393" spans="1:8" x14ac:dyDescent="0.35">
      <c r="A393">
        <v>393</v>
      </c>
      <c r="B393">
        <f t="shared" si="48"/>
        <v>1.7942964053569077</v>
      </c>
      <c r="C393">
        <f t="shared" si="49"/>
        <v>-0.22164399713284344</v>
      </c>
      <c r="D393">
        <f t="shared" si="50"/>
        <v>0.97512765243068356</v>
      </c>
      <c r="E393">
        <v>393</v>
      </c>
      <c r="F393">
        <f t="shared" si="51"/>
        <v>1.7942964053569077</v>
      </c>
      <c r="G393">
        <f t="shared" si="52"/>
        <v>-0.1567259733819254</v>
      </c>
      <c r="H393">
        <f t="shared" si="53"/>
        <v>0.68951937555625564</v>
      </c>
    </row>
    <row r="394" spans="1:8" x14ac:dyDescent="0.35">
      <c r="A394">
        <v>394</v>
      </c>
      <c r="B394">
        <f t="shared" si="48"/>
        <v>1.8068879590787108</v>
      </c>
      <c r="C394">
        <f t="shared" si="49"/>
        <v>-0.23390447461809394</v>
      </c>
      <c r="D394">
        <f t="shared" si="50"/>
        <v>0.97225958300941084</v>
      </c>
      <c r="E394">
        <v>394</v>
      </c>
      <c r="F394">
        <f t="shared" si="51"/>
        <v>1.8068879590787108</v>
      </c>
      <c r="G394">
        <f t="shared" si="52"/>
        <v>-0.16539544015233101</v>
      </c>
      <c r="H394">
        <f t="shared" si="53"/>
        <v>0.68749134421955993</v>
      </c>
    </row>
    <row r="395" spans="1:8" x14ac:dyDescent="0.35">
      <c r="A395">
        <v>395</v>
      </c>
      <c r="B395">
        <f t="shared" si="48"/>
        <v>1.819479512800513</v>
      </c>
      <c r="C395">
        <f t="shared" si="49"/>
        <v>-0.24612786768792078</v>
      </c>
      <c r="D395">
        <f t="shared" si="50"/>
        <v>0.96923736656579507</v>
      </c>
      <c r="E395">
        <v>395</v>
      </c>
      <c r="F395">
        <f t="shared" si="51"/>
        <v>1.819479512800513</v>
      </c>
      <c r="G395">
        <f t="shared" si="52"/>
        <v>-0.17403868428111424</v>
      </c>
      <c r="H395">
        <f t="shared" si="53"/>
        <v>0.68535431447806572</v>
      </c>
    </row>
    <row r="396" spans="1:8" x14ac:dyDescent="0.35">
      <c r="A396">
        <v>396</v>
      </c>
      <c r="B396">
        <f t="shared" si="48"/>
        <v>1.8320710665223161</v>
      </c>
      <c r="C396">
        <f t="shared" si="49"/>
        <v>-0.25831223838287781</v>
      </c>
      <c r="D396">
        <f t="shared" si="50"/>
        <v>0.96606148225753585</v>
      </c>
      <c r="E396">
        <v>396</v>
      </c>
      <c r="F396">
        <f t="shared" si="51"/>
        <v>1.8320710665223161</v>
      </c>
      <c r="G396">
        <f t="shared" si="52"/>
        <v>-0.18265433542400902</v>
      </c>
      <c r="H396">
        <f t="shared" si="53"/>
        <v>0.68310862514743165</v>
      </c>
    </row>
    <row r="397" spans="1:8" x14ac:dyDescent="0.35">
      <c r="A397">
        <v>397</v>
      </c>
      <c r="B397">
        <f t="shared" si="48"/>
        <v>1.8446626202441192</v>
      </c>
      <c r="C397">
        <f t="shared" si="49"/>
        <v>-0.27045565493032381</v>
      </c>
      <c r="D397">
        <f t="shared" si="50"/>
        <v>0.96273243360562522</v>
      </c>
      <c r="E397">
        <v>397</v>
      </c>
      <c r="F397">
        <f t="shared" si="51"/>
        <v>1.8446626202441192</v>
      </c>
      <c r="G397">
        <f t="shared" si="52"/>
        <v>-0.19124102761148101</v>
      </c>
      <c r="H397">
        <f t="shared" si="53"/>
        <v>0.68075463227076571</v>
      </c>
    </row>
    <row r="398" spans="1:8" x14ac:dyDescent="0.35">
      <c r="A398">
        <v>398</v>
      </c>
      <c r="B398">
        <f t="shared" si="48"/>
        <v>1.8572541739659214</v>
      </c>
      <c r="C398">
        <f t="shared" si="49"/>
        <v>-0.28255619205069837</v>
      </c>
      <c r="D398">
        <f t="shared" si="50"/>
        <v>0.95925074841451585</v>
      </c>
      <c r="E398">
        <v>398</v>
      </c>
      <c r="F398">
        <f t="shared" si="51"/>
        <v>1.8572541739659214</v>
      </c>
      <c r="G398">
        <f t="shared" si="52"/>
        <v>-0.19979739946529743</v>
      </c>
      <c r="H398">
        <f t="shared" si="53"/>
        <v>0.67829270906217554</v>
      </c>
    </row>
    <row r="399" spans="1:8" x14ac:dyDescent="0.35">
      <c r="A399">
        <v>399</v>
      </c>
      <c r="B399">
        <f t="shared" si="48"/>
        <v>1.8698457276877245</v>
      </c>
      <c r="C399">
        <f t="shared" si="49"/>
        <v>-0.29461193126276775</v>
      </c>
      <c r="D399">
        <f t="shared" si="50"/>
        <v>0.95561697868843987</v>
      </c>
      <c r="E399">
        <v>399</v>
      </c>
      <c r="F399">
        <f t="shared" si="51"/>
        <v>1.8698457276877245</v>
      </c>
      <c r="G399">
        <f t="shared" si="52"/>
        <v>-0.20832209441436825</v>
      </c>
      <c r="H399">
        <f t="shared" si="53"/>
        <v>0.6757232458475968</v>
      </c>
    </row>
    <row r="400" spans="1:8" x14ac:dyDescent="0.35">
      <c r="A400">
        <v>400</v>
      </c>
      <c r="B400">
        <f t="shared" si="48"/>
        <v>1.8824372814095276</v>
      </c>
      <c r="C400">
        <f t="shared" si="49"/>
        <v>-0.30662096118778609</v>
      </c>
      <c r="D400">
        <f t="shared" si="50"/>
        <v>0.95183170054389243</v>
      </c>
      <c r="E400">
        <v>400</v>
      </c>
      <c r="F400">
        <f t="shared" si="51"/>
        <v>1.8824372814095276</v>
      </c>
      <c r="G400">
        <f t="shared" si="52"/>
        <v>-0.21681376090982088</v>
      </c>
      <c r="H400">
        <f t="shared" si="53"/>
        <v>0.67304665000291009</v>
      </c>
    </row>
    <row r="401" spans="1:8" x14ac:dyDescent="0.35">
      <c r="A401">
        <v>401</v>
      </c>
      <c r="B401">
        <f t="shared" si="48"/>
        <v>1.8950288351313298</v>
      </c>
      <c r="C401">
        <f t="shared" si="49"/>
        <v>-0.31858137785253743</v>
      </c>
      <c r="D401">
        <f t="shared" si="50"/>
        <v>0.94789551411829076</v>
      </c>
      <c r="E401">
        <v>401</v>
      </c>
      <c r="F401">
        <f t="shared" si="51"/>
        <v>1.8950288351313298</v>
      </c>
      <c r="G401">
        <f t="shared" si="52"/>
        <v>-0.22527105263928315</v>
      </c>
      <c r="H401">
        <f t="shared" si="53"/>
        <v>0.67026334588935266</v>
      </c>
    </row>
    <row r="402" spans="1:8" x14ac:dyDescent="0.35">
      <c r="A402">
        <v>402</v>
      </c>
      <c r="B402">
        <f t="shared" si="48"/>
        <v>1.9076203888531329</v>
      </c>
      <c r="C402">
        <f t="shared" si="49"/>
        <v>-0.330491284991204</v>
      </c>
      <c r="D402">
        <f t="shared" si="50"/>
        <v>0.94380904347482431</v>
      </c>
      <c r="E402">
        <v>402</v>
      </c>
      <c r="F402">
        <f t="shared" si="51"/>
        <v>1.9076203888531329</v>
      </c>
      <c r="G402">
        <f t="shared" si="52"/>
        <v>-0.23369262874033636</v>
      </c>
      <c r="H402">
        <f t="shared" si="53"/>
        <v>0.66737377478623783</v>
      </c>
    </row>
    <row r="403" spans="1:8" x14ac:dyDescent="0.35">
      <c r="A403">
        <v>403</v>
      </c>
      <c r="B403">
        <f t="shared" si="48"/>
        <v>1.920211942574936</v>
      </c>
      <c r="C403">
        <f t="shared" si="49"/>
        <v>-0.34234879434600496</v>
      </c>
      <c r="D403">
        <f t="shared" si="50"/>
        <v>0.93957293650351426</v>
      </c>
      <c r="E403">
        <v>403</v>
      </c>
      <c r="F403">
        <f t="shared" si="51"/>
        <v>1.920211942574936</v>
      </c>
      <c r="G403">
        <f t="shared" si="52"/>
        <v>-0.24207715401309907</v>
      </c>
      <c r="H403">
        <f t="shared" si="53"/>
        <v>0.66437839482099281</v>
      </c>
    </row>
    <row r="404" spans="1:8" x14ac:dyDescent="0.35">
      <c r="A404">
        <v>404</v>
      </c>
      <c r="B404">
        <f t="shared" si="48"/>
        <v>1.9328034962967382</v>
      </c>
      <c r="C404">
        <f t="shared" si="49"/>
        <v>-0.35415202596657297</v>
      </c>
      <c r="D404">
        <f t="shared" si="50"/>
        <v>0.93518786481849292</v>
      </c>
      <c r="E404">
        <v>404</v>
      </c>
      <c r="F404">
        <f t="shared" si="51"/>
        <v>1.9328034962967382</v>
      </c>
      <c r="G404">
        <f t="shared" si="52"/>
        <v>-0.25042329913191819</v>
      </c>
      <c r="H404">
        <f t="shared" si="53"/>
        <v>0.66127768089652517</v>
      </c>
    </row>
    <row r="405" spans="1:8" x14ac:dyDescent="0.35">
      <c r="A405">
        <v>405</v>
      </c>
      <c r="B405">
        <f t="shared" si="48"/>
        <v>1.9453950500185413</v>
      </c>
      <c r="C405">
        <f t="shared" si="49"/>
        <v>-0.3658991085080136</v>
      </c>
      <c r="D405">
        <f t="shared" si="50"/>
        <v>0.93065452365152179</v>
      </c>
      <c r="E405">
        <v>405</v>
      </c>
      <c r="F405">
        <f t="shared" si="51"/>
        <v>1.9453950500185413</v>
      </c>
      <c r="G405">
        <f t="shared" si="52"/>
        <v>-0.25872974085612899</v>
      </c>
      <c r="H405">
        <f t="shared" si="53"/>
        <v>0.65807212461592768</v>
      </c>
    </row>
    <row r="406" spans="1:8" x14ac:dyDescent="0.35">
      <c r="A406">
        <v>406</v>
      </c>
      <c r="B406">
        <f t="shared" si="48"/>
        <v>1.9579866037403444</v>
      </c>
      <c r="C406">
        <f t="shared" si="49"/>
        <v>-0.37758817952759294</v>
      </c>
      <c r="D406">
        <f t="shared" si="50"/>
        <v>0.92597363174176739</v>
      </c>
      <c r="E406">
        <v>406</v>
      </c>
      <c r="F406">
        <f t="shared" si="51"/>
        <v>1.9579866037403444</v>
      </c>
      <c r="G406">
        <f t="shared" si="52"/>
        <v>-0.26699516223984465</v>
      </c>
      <c r="H406">
        <f t="shared" si="53"/>
        <v>0.65476223420453905</v>
      </c>
    </row>
    <row r="407" spans="1:8" x14ac:dyDescent="0.35">
      <c r="A407">
        <v>407</v>
      </c>
      <c r="B407">
        <f t="shared" si="48"/>
        <v>1.9705781574621466</v>
      </c>
      <c r="C407">
        <f t="shared" si="49"/>
        <v>-0.38921738578002152</v>
      </c>
      <c r="D407">
        <f t="shared" si="50"/>
        <v>0.92114593122184818</v>
      </c>
      <c r="E407">
        <v>407</v>
      </c>
      <c r="F407">
        <f t="shared" si="51"/>
        <v>1.9705781574621466</v>
      </c>
      <c r="G407">
        <f t="shared" si="52"/>
        <v>-0.27521825284075391</v>
      </c>
      <c r="H407">
        <f t="shared" si="53"/>
        <v>0.65134853442936635</v>
      </c>
    </row>
    <row r="408" spans="1:8" x14ac:dyDescent="0.35">
      <c r="A408">
        <v>408</v>
      </c>
      <c r="B408">
        <f t="shared" si="48"/>
        <v>1.9831697111839497</v>
      </c>
      <c r="C408">
        <f t="shared" si="49"/>
        <v>-0.40078488351127955</v>
      </c>
      <c r="D408">
        <f t="shared" si="50"/>
        <v>0.91617218750017182</v>
      </c>
      <c r="E408">
        <v>408</v>
      </c>
      <c r="F408">
        <f t="shared" si="51"/>
        <v>1.9831697111839497</v>
      </c>
      <c r="G408">
        <f t="shared" si="52"/>
        <v>-0.28339770892788652</v>
      </c>
      <c r="H408">
        <f t="shared" si="53"/>
        <v>0.64783156651588503</v>
      </c>
    </row>
    <row r="409" spans="1:8" x14ac:dyDescent="0.35">
      <c r="A409">
        <v>409</v>
      </c>
      <c r="B409">
        <f t="shared" si="48"/>
        <v>1.9957612649057528</v>
      </c>
      <c r="C409">
        <f t="shared" si="49"/>
        <v>-0.41228883875093031</v>
      </c>
      <c r="D409">
        <f t="shared" si="50"/>
        <v>0.91105318913958555</v>
      </c>
      <c r="E409">
        <v>409</v>
      </c>
      <c r="F409">
        <f t="shared" si="51"/>
        <v>1.9957612649057528</v>
      </c>
      <c r="G409">
        <f t="shared" si="52"/>
        <v>-0.29153223368831005</v>
      </c>
      <c r="H409">
        <f t="shared" si="53"/>
        <v>0.64421188806223162</v>
      </c>
    </row>
    <row r="410" spans="1:8" x14ac:dyDescent="0.35">
      <c r="A410">
        <v>410</v>
      </c>
      <c r="B410">
        <f t="shared" si="48"/>
        <v>2.008352818627555</v>
      </c>
      <c r="C410">
        <f t="shared" si="49"/>
        <v>-0.42372742760288978</v>
      </c>
      <c r="D410">
        <f t="shared" si="50"/>
        <v>0.90578974773235199</v>
      </c>
      <c r="E410">
        <v>410</v>
      </c>
      <c r="F410">
        <f t="shared" si="51"/>
        <v>2.008352818627555</v>
      </c>
      <c r="G410">
        <f t="shared" si="52"/>
        <v>-0.29962053743273548</v>
      </c>
      <c r="H410">
        <f t="shared" si="53"/>
        <v>0.64049007295079874</v>
      </c>
    </row>
    <row r="411" spans="1:8" x14ac:dyDescent="0.35">
      <c r="A411">
        <v>411</v>
      </c>
      <c r="B411">
        <f t="shared" si="48"/>
        <v>2.0209443723493581</v>
      </c>
      <c r="C411">
        <f t="shared" si="49"/>
        <v>-0.43509883653459874</v>
      </c>
      <c r="D411">
        <f t="shared" si="50"/>
        <v>0.90038269777147462</v>
      </c>
      <c r="E411">
        <v>411</v>
      </c>
      <c r="F411">
        <f t="shared" si="51"/>
        <v>2.0209443723493581</v>
      </c>
      <c r="G411">
        <f t="shared" si="52"/>
        <v>-0.30766133779999216</v>
      </c>
      <c r="H411">
        <f t="shared" si="53"/>
        <v>0.63666671125724794</v>
      </c>
    </row>
    <row r="412" spans="1:8" x14ac:dyDescent="0.35">
      <c r="A412">
        <v>412</v>
      </c>
      <c r="B412">
        <f t="shared" si="48"/>
        <v>2.0335359260711612</v>
      </c>
      <c r="C412">
        <f t="shared" si="49"/>
        <v>-0.44640126266454477</v>
      </c>
      <c r="D412">
        <f t="shared" si="50"/>
        <v>0.8948328965183947</v>
      </c>
      <c r="E412">
        <v>412</v>
      </c>
      <c r="F412">
        <f t="shared" si="51"/>
        <v>2.0335359260711612</v>
      </c>
      <c r="G412">
        <f t="shared" si="52"/>
        <v>-0.315653359960337</v>
      </c>
      <c r="H412">
        <f t="shared" si="53"/>
        <v>0.63274240915695745</v>
      </c>
    </row>
    <row r="413" spans="1:8" x14ac:dyDescent="0.35">
      <c r="A413">
        <v>413</v>
      </c>
      <c r="B413">
        <f t="shared" si="48"/>
        <v>2.0461274797929634</v>
      </c>
      <c r="C413">
        <f t="shared" si="49"/>
        <v>-0.45763291404810286</v>
      </c>
      <c r="D413">
        <f t="shared" si="50"/>
        <v>0.88914122386707595</v>
      </c>
      <c r="E413">
        <v>413</v>
      </c>
      <c r="F413">
        <f t="shared" si="51"/>
        <v>2.0461274797929634</v>
      </c>
      <c r="G413">
        <f t="shared" si="52"/>
        <v>-0.32359533681757419</v>
      </c>
      <c r="H413">
        <f t="shared" si="53"/>
        <v>0.62871778882891594</v>
      </c>
    </row>
    <row r="414" spans="1:8" x14ac:dyDescent="0.35">
      <c r="A414">
        <v>414</v>
      </c>
      <c r="B414">
        <f t="shared" si="48"/>
        <v>2.0587190335147665</v>
      </c>
      <c r="C414">
        <f t="shared" si="49"/>
        <v>-0.46879200996164166</v>
      </c>
      <c r="D414">
        <f t="shared" si="50"/>
        <v>0.88330858220450004</v>
      </c>
      <c r="E414">
        <v>414</v>
      </c>
      <c r="F414">
        <f t="shared" si="51"/>
        <v>2.0587190335147665</v>
      </c>
      <c r="G414">
        <f t="shared" si="52"/>
        <v>-0.33148600920994858</v>
      </c>
      <c r="H414">
        <f t="shared" si="53"/>
        <v>0.6245934883570774</v>
      </c>
    </row>
    <row r="415" spans="1:8" x14ac:dyDescent="0.35">
      <c r="A415">
        <v>415</v>
      </c>
      <c r="B415">
        <f t="shared" si="48"/>
        <v>2.0713105872365696</v>
      </c>
      <c r="C415">
        <f t="shared" si="49"/>
        <v>-0.47987678118484395</v>
      </c>
      <c r="D415">
        <f t="shared" si="50"/>
        <v>0.87733589626760022</v>
      </c>
      <c r="E415">
        <v>415</v>
      </c>
      <c r="F415">
        <f t="shared" si="51"/>
        <v>2.0713105872365696</v>
      </c>
      <c r="G415">
        <f t="shared" si="52"/>
        <v>-0.33932412610977641</v>
      </c>
      <c r="H415">
        <f t="shared" si="53"/>
        <v>0.620370161629198</v>
      </c>
    </row>
    <row r="416" spans="1:8" x14ac:dyDescent="0.35">
      <c r="A416">
        <v>416</v>
      </c>
      <c r="B416">
        <f t="shared" si="48"/>
        <v>2.0839021409583718</v>
      </c>
      <c r="C416">
        <f t="shared" si="49"/>
        <v>-0.49088547028121021</v>
      </c>
      <c r="D416">
        <f t="shared" si="50"/>
        <v>0.87122411299664748</v>
      </c>
      <c r="E416">
        <v>416</v>
      </c>
      <c r="F416">
        <f t="shared" si="51"/>
        <v>2.0839021409583718</v>
      </c>
      <c r="G416">
        <f t="shared" si="52"/>
        <v>-0.34710844482179143</v>
      </c>
      <c r="H416">
        <f t="shared" si="53"/>
        <v>0.61604847823316478</v>
      </c>
    </row>
    <row r="417" spans="1:8" x14ac:dyDescent="0.35">
      <c r="A417">
        <v>417</v>
      </c>
      <c r="B417">
        <f t="shared" si="48"/>
        <v>2.0964936946801749</v>
      </c>
      <c r="C417">
        <f t="shared" si="49"/>
        <v>-0.50181633187669406</v>
      </c>
      <c r="D417">
        <f t="shared" si="50"/>
        <v>0.86497420138511627</v>
      </c>
      <c r="E417">
        <v>417</v>
      </c>
      <c r="F417">
        <f t="shared" si="51"/>
        <v>2.0964936946801749</v>
      </c>
      <c r="G417">
        <f t="shared" si="52"/>
        <v>-0.35483773118016965</v>
      </c>
      <c r="H417">
        <f t="shared" si="53"/>
        <v>0.61162912335083452</v>
      </c>
    </row>
    <row r="418" spans="1:8" x14ac:dyDescent="0.35">
      <c r="A418">
        <v>418</v>
      </c>
      <c r="B418">
        <f t="shared" si="48"/>
        <v>2.109085248401978</v>
      </c>
      <c r="C418">
        <f t="shared" si="49"/>
        <v>-0.51266763293641782</v>
      </c>
      <c r="D418">
        <f t="shared" si="50"/>
        <v>0.85858715232605853</v>
      </c>
      <c r="E418">
        <v>418</v>
      </c>
      <c r="F418">
        <f t="shared" si="51"/>
        <v>2.109085248401978</v>
      </c>
      <c r="G418">
        <f t="shared" si="52"/>
        <v>-0.36251075974419711</v>
      </c>
      <c r="H418">
        <f t="shared" si="53"/>
        <v>0.60711279764940362</v>
      </c>
    </row>
    <row r="419" spans="1:8" x14ac:dyDescent="0.35">
      <c r="A419">
        <v>419</v>
      </c>
      <c r="B419">
        <f t="shared" si="48"/>
        <v>2.1216768021237802</v>
      </c>
      <c r="C419">
        <f t="shared" si="49"/>
        <v>-0.52343765303943968</v>
      </c>
      <c r="D419">
        <f t="shared" si="50"/>
        <v>0.85206397845500026</v>
      </c>
      <c r="E419">
        <v>419</v>
      </c>
      <c r="F419">
        <f t="shared" si="51"/>
        <v>2.1216768021237802</v>
      </c>
      <c r="G419">
        <f t="shared" si="52"/>
        <v>-0.3701263139925593</v>
      </c>
      <c r="H419">
        <f t="shared" si="53"/>
        <v>0.60250021717031943</v>
      </c>
    </row>
    <row r="420" spans="1:8" x14ac:dyDescent="0.35">
      <c r="A420">
        <v>420</v>
      </c>
      <c r="B420">
        <f t="shared" si="48"/>
        <v>2.1342683558455833</v>
      </c>
      <c r="C420">
        <f t="shared" si="49"/>
        <v>-0.53412468465151974</v>
      </c>
      <c r="D420">
        <f t="shared" si="50"/>
        <v>0.84540571398939246</v>
      </c>
      <c r="E420">
        <v>420</v>
      </c>
      <c r="F420">
        <f t="shared" si="51"/>
        <v>2.1342683558455833</v>
      </c>
      <c r="G420">
        <f t="shared" si="52"/>
        <v>-0.37768318651621613</v>
      </c>
      <c r="H420">
        <f t="shared" si="53"/>
        <v>0.59779211321575476</v>
      </c>
    </row>
    <row r="421" spans="1:8" x14ac:dyDescent="0.35">
      <c r="A421">
        <v>421</v>
      </c>
      <c r="B421">
        <f t="shared" si="48"/>
        <v>2.1468599095673864</v>
      </c>
      <c r="C421">
        <f t="shared" si="49"/>
        <v>-0.54472703339583717</v>
      </c>
      <c r="D421">
        <f t="shared" si="50"/>
        <v>0.83861341456464344</v>
      </c>
      <c r="E421">
        <v>421</v>
      </c>
      <c r="F421">
        <f t="shared" si="51"/>
        <v>2.1468599095673864</v>
      </c>
      <c r="G421">
        <f t="shared" si="52"/>
        <v>-0.38518017920982767</v>
      </c>
      <c r="H421">
        <f t="shared" si="53"/>
        <v>0.5929892322326652</v>
      </c>
    </row>
    <row r="422" spans="1:8" x14ac:dyDescent="0.35">
      <c r="A422">
        <v>422</v>
      </c>
      <c r="B422">
        <f t="shared" si="48"/>
        <v>2.1594514632891886</v>
      </c>
      <c r="C422">
        <f t="shared" si="49"/>
        <v>-0.55524301832162715</v>
      </c>
      <c r="D422">
        <f t="shared" si="50"/>
        <v>0.83168815706675137</v>
      </c>
      <c r="E422">
        <v>422</v>
      </c>
      <c r="F422">
        <f t="shared" si="51"/>
        <v>2.1594514632891886</v>
      </c>
      <c r="G422">
        <f t="shared" si="52"/>
        <v>-0.39261610346170928</v>
      </c>
      <c r="H422">
        <f t="shared" si="53"/>
        <v>0.58809233569444275</v>
      </c>
    </row>
    <row r="423" spans="1:8" x14ac:dyDescent="0.35">
      <c r="A423">
        <v>423</v>
      </c>
      <c r="B423">
        <f t="shared" si="48"/>
        <v>2.1720430170109917</v>
      </c>
      <c r="C423">
        <f t="shared" si="49"/>
        <v>-0.56567097217069007</v>
      </c>
      <c r="D423">
        <f t="shared" si="50"/>
        <v>0.82463103946156813</v>
      </c>
      <c r="E423">
        <v>423</v>
      </c>
      <c r="F423">
        <f t="shared" si="51"/>
        <v>2.1720430170109917</v>
      </c>
      <c r="G423">
        <f t="shared" si="52"/>
        <v>-0.39998978034228205</v>
      </c>
      <c r="H423">
        <f t="shared" si="53"/>
        <v>0.58310219998018664</v>
      </c>
    </row>
    <row r="424" spans="1:8" x14ac:dyDescent="0.35">
      <c r="A424">
        <v>424</v>
      </c>
      <c r="B424">
        <f t="shared" si="48"/>
        <v>2.1846345707327948</v>
      </c>
      <c r="C424">
        <f t="shared" si="49"/>
        <v>-0.57600924164172285</v>
      </c>
      <c r="D424">
        <f t="shared" si="50"/>
        <v>0.81744318062072507</v>
      </c>
      <c r="E424">
        <v>424</v>
      </c>
      <c r="F424">
        <f t="shared" si="51"/>
        <v>2.1846345707327948</v>
      </c>
      <c r="G424">
        <f t="shared" si="52"/>
        <v>-0.4073000407909832</v>
      </c>
      <c r="H424">
        <f t="shared" si="53"/>
        <v>0.57801961625161491</v>
      </c>
    </row>
    <row r="425" spans="1:8" x14ac:dyDescent="0.35">
      <c r="A425">
        <v>425</v>
      </c>
      <c r="B425">
        <f t="shared" si="48"/>
        <v>2.197226124454597</v>
      </c>
      <c r="C425">
        <f t="shared" si="49"/>
        <v>-0.58625618765244358</v>
      </c>
      <c r="D425">
        <f t="shared" si="50"/>
        <v>0.81012572014423967</v>
      </c>
      <c r="E425">
        <v>425</v>
      </c>
      <c r="F425">
        <f t="shared" si="51"/>
        <v>2.197226124454597</v>
      </c>
      <c r="G425">
        <f t="shared" si="52"/>
        <v>-0.41454572580161625</v>
      </c>
      <c r="H425">
        <f t="shared" si="53"/>
        <v>0.57284539032762749</v>
      </c>
    </row>
    <row r="426" spans="1:8" x14ac:dyDescent="0.35">
      <c r="A426">
        <v>426</v>
      </c>
      <c r="B426">
        <f t="shared" si="48"/>
        <v>2.2098176781764001</v>
      </c>
      <c r="C426">
        <f t="shared" si="49"/>
        <v>-0.59641018559946257</v>
      </c>
      <c r="D426">
        <f t="shared" si="50"/>
        <v>0.80267981817983602</v>
      </c>
      <c r="E426">
        <v>426</v>
      </c>
      <c r="F426">
        <f t="shared" si="51"/>
        <v>2.2098176781764001</v>
      </c>
      <c r="G426">
        <f t="shared" si="52"/>
        <v>-0.42172568660610765</v>
      </c>
      <c r="H426">
        <f t="shared" si="53"/>
        <v>0.56758034255654743</v>
      </c>
    </row>
    <row r="427" spans="1:8" x14ac:dyDescent="0.35">
      <c r="A427">
        <v>427</v>
      </c>
      <c r="B427">
        <f t="shared" si="48"/>
        <v>2.2224092318982032</v>
      </c>
      <c r="C427">
        <f t="shared" si="49"/>
        <v>-0.60646962561585072</v>
      </c>
      <c r="D427">
        <f t="shared" si="50"/>
        <v>0.79510665523901247</v>
      </c>
      <c r="E427">
        <v>427</v>
      </c>
      <c r="F427">
        <f t="shared" si="51"/>
        <v>2.2224092318982032</v>
      </c>
      <c r="G427">
        <f t="shared" si="52"/>
        <v>-0.42883878485663507</v>
      </c>
      <c r="H427">
        <f t="shared" si="53"/>
        <v>0.56222530768606049</v>
      </c>
    </row>
    <row r="428" spans="1:8" x14ac:dyDescent="0.35">
      <c r="A428">
        <v>428</v>
      </c>
      <c r="B428">
        <f t="shared" si="48"/>
        <v>2.2350007856200054</v>
      </c>
      <c r="C428">
        <f t="shared" si="49"/>
        <v>-0.61643291282637847</v>
      </c>
      <c r="D428">
        <f t="shared" si="50"/>
        <v>0.7874074320098754</v>
      </c>
      <c r="E428">
        <v>428</v>
      </c>
      <c r="F428">
        <f t="shared" si="51"/>
        <v>2.2350007856200054</v>
      </c>
      <c r="G428">
        <f t="shared" si="52"/>
        <v>-0.43588389280610845</v>
      </c>
      <c r="H428">
        <f t="shared" si="53"/>
        <v>0.55678113473086865</v>
      </c>
    </row>
    <row r="429" spans="1:8" x14ac:dyDescent="0.35">
      <c r="A429">
        <v>429</v>
      </c>
      <c r="B429">
        <f t="shared" si="48"/>
        <v>2.2475923393418085</v>
      </c>
      <c r="C429">
        <f t="shared" si="49"/>
        <v>-0.62629846760037755</v>
      </c>
      <c r="D429">
        <f t="shared" si="50"/>
        <v>0.77958336916677407</v>
      </c>
      <c r="E429">
        <v>429</v>
      </c>
      <c r="F429">
        <f t="shared" si="51"/>
        <v>2.2475923393418085</v>
      </c>
      <c r="G429">
        <f t="shared" si="52"/>
        <v>-0.44285989348697052</v>
      </c>
      <c r="H429">
        <f t="shared" si="53"/>
        <v>0.55124868683808204</v>
      </c>
    </row>
    <row r="430" spans="1:8" x14ac:dyDescent="0.35">
      <c r="A430">
        <v>430</v>
      </c>
      <c r="B430">
        <f t="shared" si="48"/>
        <v>2.2601838930636116</v>
      </c>
      <c r="C430">
        <f t="shared" si="49"/>
        <v>-0.63606472580217954</v>
      </c>
      <c r="D430">
        <f t="shared" si="50"/>
        <v>0.77163570717677277</v>
      </c>
      <c r="E430">
        <v>430</v>
      </c>
      <c r="F430">
        <f t="shared" si="51"/>
        <v>2.2601838930636116</v>
      </c>
      <c r="G430">
        <f t="shared" si="52"/>
        <v>-0.44976568088828345</v>
      </c>
      <c r="H430">
        <f t="shared" si="53"/>
        <v>0.54562884115037347</v>
      </c>
    </row>
    <row r="431" spans="1:8" x14ac:dyDescent="0.35">
      <c r="A431">
        <v>431</v>
      </c>
      <c r="B431">
        <f t="shared" si="48"/>
        <v>2.2727754467854138</v>
      </c>
      <c r="C431">
        <f t="shared" si="49"/>
        <v>-0.64573013903910359</v>
      </c>
      <c r="D431">
        <f t="shared" si="50"/>
        <v>0.76356570610297836</v>
      </c>
      <c r="E431">
        <v>431</v>
      </c>
      <c r="F431">
        <f t="shared" si="51"/>
        <v>2.2727754467854138</v>
      </c>
      <c r="G431">
        <f t="shared" si="52"/>
        <v>-0.45660016013108262</v>
      </c>
      <c r="H431">
        <f t="shared" si="53"/>
        <v>0.53992248866691073</v>
      </c>
    </row>
    <row r="432" spans="1:8" x14ac:dyDescent="0.35">
      <c r="A432">
        <v>432</v>
      </c>
      <c r="B432">
        <f t="shared" si="48"/>
        <v>2.2853670005072169</v>
      </c>
      <c r="C432">
        <f t="shared" si="49"/>
        <v>-0.6552931749069496</v>
      </c>
      <c r="D432">
        <f t="shared" si="50"/>
        <v>0.75537464540476196</v>
      </c>
      <c r="E432">
        <v>432</v>
      </c>
      <c r="F432">
        <f t="shared" si="51"/>
        <v>2.2853670005072169</v>
      </c>
      <c r="G432">
        <f t="shared" si="52"/>
        <v>-0.46336224764196676</v>
      </c>
      <c r="H432">
        <f t="shared" si="53"/>
        <v>0.53413053410209133</v>
      </c>
    </row>
    <row r="433" spans="1:8" x14ac:dyDescent="0.35">
      <c r="A433">
        <v>433</v>
      </c>
      <c r="B433">
        <f t="shared" si="48"/>
        <v>2.29795855422902</v>
      </c>
      <c r="C433">
        <f t="shared" si="49"/>
        <v>-0.66475231723294848</v>
      </c>
      <c r="D433">
        <f t="shared" si="50"/>
        <v>0.74706382373491054</v>
      </c>
      <c r="E433">
        <v>433</v>
      </c>
      <c r="F433">
        <f t="shared" si="51"/>
        <v>2.29795855422902</v>
      </c>
      <c r="G433">
        <f t="shared" si="52"/>
        <v>-0.47005087132488926</v>
      </c>
      <c r="H433">
        <f t="shared" si="53"/>
        <v>0.52825389574210724</v>
      </c>
    </row>
    <row r="434" spans="1:8" x14ac:dyDescent="0.35">
      <c r="A434">
        <v>434</v>
      </c>
      <c r="B434">
        <f t="shared" si="48"/>
        <v>2.3105501079508222</v>
      </c>
      <c r="C434">
        <f t="shared" si="49"/>
        <v>-0.67410606631614611</v>
      </c>
      <c r="D434">
        <f t="shared" si="50"/>
        <v>0.73863455873372974</v>
      </c>
      <c r="E434">
        <v>434</v>
      </c>
      <c r="F434">
        <f t="shared" si="51"/>
        <v>2.3105501079508222</v>
      </c>
      <c r="G434">
        <f t="shared" si="52"/>
        <v>-0.47666497073113573</v>
      </c>
      <c r="H434">
        <f t="shared" si="53"/>
        <v>0.52229350529935392</v>
      </c>
    </row>
    <row r="435" spans="1:8" x14ac:dyDescent="0.35">
      <c r="A435">
        <v>435</v>
      </c>
      <c r="B435">
        <f t="shared" si="48"/>
        <v>2.3231416616726253</v>
      </c>
      <c r="C435">
        <f t="shared" si="49"/>
        <v>-0.68335293916517603</v>
      </c>
      <c r="D435">
        <f t="shared" si="50"/>
        <v>0.73008818682013699</v>
      </c>
      <c r="E435">
        <v>435</v>
      </c>
      <c r="F435">
        <f t="shared" si="51"/>
        <v>2.3231416616726253</v>
      </c>
      <c r="G435">
        <f t="shared" si="52"/>
        <v>-0.48320349722745459</v>
      </c>
      <c r="H435">
        <f t="shared" si="53"/>
        <v>0.51625030776471015</v>
      </c>
    </row>
    <row r="436" spans="1:8" x14ac:dyDescent="0.35">
      <c r="A436">
        <v>436</v>
      </c>
      <c r="B436">
        <f t="shared" si="48"/>
        <v>2.3357332153944284</v>
      </c>
      <c r="C436">
        <f t="shared" si="49"/>
        <v>-0.69249146973337627</v>
      </c>
      <c r="D436">
        <f t="shared" si="50"/>
        <v>0.72142606297978207</v>
      </c>
      <c r="E436">
        <v>436</v>
      </c>
      <c r="F436">
        <f t="shared" si="51"/>
        <v>2.3357332153944284</v>
      </c>
      <c r="G436">
        <f t="shared" si="52"/>
        <v>-0.48966541416230952</v>
      </c>
      <c r="H436">
        <f t="shared" si="53"/>
        <v>0.51012526125771762</v>
      </c>
    </row>
    <row r="437" spans="1:8" x14ac:dyDescent="0.35">
      <c r="A437">
        <v>437</v>
      </c>
      <c r="B437">
        <f t="shared" si="48"/>
        <v>2.3483247691162306</v>
      </c>
      <c r="C437">
        <f t="shared" si="49"/>
        <v>-0.7015202091512257</v>
      </c>
      <c r="D437">
        <f t="shared" si="50"/>
        <v>0.71264956055021922</v>
      </c>
      <c r="E437">
        <v>437</v>
      </c>
      <c r="F437">
        <f t="shared" si="51"/>
        <v>2.3483247691162306</v>
      </c>
      <c r="G437">
        <f t="shared" si="52"/>
        <v>-0.49604969703023716</v>
      </c>
      <c r="H437">
        <f t="shared" si="53"/>
        <v>0.5039193368746735</v>
      </c>
    </row>
    <row r="438" spans="1:8" x14ac:dyDescent="0.35">
      <c r="A438">
        <v>438</v>
      </c>
      <c r="B438">
        <f t="shared" si="48"/>
        <v>2.3609163228380337</v>
      </c>
      <c r="C438">
        <f t="shared" si="49"/>
        <v>-0.7104377259560577</v>
      </c>
      <c r="D438">
        <f t="shared" si="50"/>
        <v>0.70376007100316906</v>
      </c>
      <c r="E438">
        <v>438</v>
      </c>
      <c r="F438">
        <f t="shared" si="51"/>
        <v>2.3609163228380337</v>
      </c>
      <c r="G438">
        <f t="shared" si="52"/>
        <v>-0.50235533363427887</v>
      </c>
      <c r="H438">
        <f t="shared" si="53"/>
        <v>0.49763351853466736</v>
      </c>
    </row>
    <row r="439" spans="1:8" x14ac:dyDescent="0.35">
      <c r="A439">
        <v>439</v>
      </c>
      <c r="B439">
        <f t="shared" si="48"/>
        <v>2.3735078765598367</v>
      </c>
      <c r="C439">
        <f t="shared" si="49"/>
        <v>-0.71924260631900705</v>
      </c>
      <c r="D439">
        <f t="shared" si="50"/>
        <v>0.69475900372391142</v>
      </c>
      <c r="E439">
        <v>439</v>
      </c>
      <c r="F439">
        <f t="shared" si="51"/>
        <v>2.3735078765598367</v>
      </c>
      <c r="G439">
        <f t="shared" si="52"/>
        <v>-0.50858132424645663</v>
      </c>
      <c r="H439">
        <f t="shared" si="53"/>
        <v>0.49126880282358792</v>
      </c>
    </row>
    <row r="440" spans="1:8" x14ac:dyDescent="0.35">
      <c r="A440">
        <v>440</v>
      </c>
      <c r="B440">
        <f t="shared" si="48"/>
        <v>2.386099430281639</v>
      </c>
      <c r="C440">
        <f t="shared" si="49"/>
        <v>-0.72793345426916811</v>
      </c>
      <c r="D440">
        <f t="shared" si="50"/>
        <v>0.68564778578783214</v>
      </c>
      <c r="E440">
        <v>440</v>
      </c>
      <c r="F440">
        <f t="shared" si="51"/>
        <v>2.386099430281639</v>
      </c>
      <c r="G440">
        <f t="shared" si="52"/>
        <v>-0.51472668176627667</v>
      </c>
      <c r="H440">
        <f t="shared" si="53"/>
        <v>0.48482619883611777</v>
      </c>
    </row>
    <row r="441" spans="1:8" x14ac:dyDescent="0.35">
      <c r="A441">
        <v>441</v>
      </c>
      <c r="B441">
        <f t="shared" si="48"/>
        <v>2.3986909840034421</v>
      </c>
      <c r="C441">
        <f t="shared" si="49"/>
        <v>-0.73650889191492097</v>
      </c>
      <c r="D441">
        <f t="shared" si="50"/>
        <v>0.67642786173416547</v>
      </c>
      <c r="E441">
        <v>441</v>
      </c>
      <c r="F441">
        <f t="shared" si="51"/>
        <v>2.3986909840034421</v>
      </c>
      <c r="G441">
        <f t="shared" si="52"/>
        <v>-0.52079043187723095</v>
      </c>
      <c r="H441">
        <f t="shared" si="53"/>
        <v>0.47830672801574509</v>
      </c>
    </row>
    <row r="442" spans="1:8" x14ac:dyDescent="0.35">
      <c r="A442">
        <v>442</v>
      </c>
      <c r="B442">
        <f t="shared" si="48"/>
        <v>2.4112825377252451</v>
      </c>
      <c r="C442">
        <f t="shared" si="49"/>
        <v>-0.74496755966238526</v>
      </c>
      <c r="D442">
        <f t="shared" si="50"/>
        <v>0.6671006933369733</v>
      </c>
      <c r="E442">
        <v>442</v>
      </c>
      <c r="F442">
        <f t="shared" si="51"/>
        <v>2.4112825377252451</v>
      </c>
      <c r="G442">
        <f t="shared" si="52"/>
        <v>-0.52677161320126686</v>
      </c>
      <c r="H442">
        <f t="shared" si="53"/>
        <v>0.47171142399282168</v>
      </c>
    </row>
    <row r="443" spans="1:8" x14ac:dyDescent="0.35">
      <c r="A443">
        <v>443</v>
      </c>
      <c r="B443">
        <f t="shared" si="48"/>
        <v>2.4238740914470474</v>
      </c>
      <c r="C443">
        <f t="shared" si="49"/>
        <v>-0.75330811643097972</v>
      </c>
      <c r="D443">
        <f t="shared" si="50"/>
        <v>0.65766775937338562</v>
      </c>
      <c r="E443">
        <v>443</v>
      </c>
      <c r="F443">
        <f t="shared" si="51"/>
        <v>2.4238740914470474</v>
      </c>
      <c r="G443">
        <f t="shared" si="52"/>
        <v>-0.5326692774512114</v>
      </c>
      <c r="H443">
        <f t="shared" si="53"/>
        <v>0.46504133242068391</v>
      </c>
    </row>
    <row r="444" spans="1:8" x14ac:dyDescent="0.35">
      <c r="A444">
        <v>444</v>
      </c>
      <c r="B444">
        <f t="shared" si="48"/>
        <v>2.4364656451688504</v>
      </c>
      <c r="C444">
        <f t="shared" si="49"/>
        <v>-0.76152923986604526</v>
      </c>
      <c r="D444">
        <f t="shared" si="50"/>
        <v>0.64813055538914632</v>
      </c>
      <c r="E444">
        <v>444</v>
      </c>
      <c r="F444">
        <f t="shared" si="51"/>
        <v>2.4364656451688504</v>
      </c>
      <c r="G444">
        <f t="shared" si="52"/>
        <v>-0.53848248958111788</v>
      </c>
      <c r="H444">
        <f t="shared" si="53"/>
        <v>0.45829751080986891</v>
      </c>
    </row>
    <row r="445" spans="1:8" x14ac:dyDescent="0.35">
      <c r="A445">
        <v>445</v>
      </c>
      <c r="B445">
        <f t="shared" si="48"/>
        <v>2.4490571988906535</v>
      </c>
      <c r="C445">
        <f t="shared" si="49"/>
        <v>-0.76962962654849454</v>
      </c>
      <c r="D445">
        <f t="shared" si="50"/>
        <v>0.63849059346150505</v>
      </c>
      <c r="E445">
        <v>445</v>
      </c>
      <c r="F445">
        <f t="shared" si="51"/>
        <v>2.4490571988906535</v>
      </c>
      <c r="G445">
        <f t="shared" si="52"/>
        <v>-0.54421032793451096</v>
      </c>
      <c r="H445">
        <f t="shared" si="53"/>
        <v>0.45148102836045362</v>
      </c>
    </row>
    <row r="446" spans="1:8" x14ac:dyDescent="0.35">
      <c r="A446">
        <v>446</v>
      </c>
      <c r="B446">
        <f t="shared" si="48"/>
        <v>2.4616487526124557</v>
      </c>
      <c r="C446">
        <f t="shared" si="49"/>
        <v>-0.77760799220146415</v>
      </c>
      <c r="D446">
        <f t="shared" si="50"/>
        <v>0.62874940195948303</v>
      </c>
      <c r="E446">
        <v>446</v>
      </c>
      <c r="F446">
        <f t="shared" si="51"/>
        <v>2.4616487526124557</v>
      </c>
      <c r="G446">
        <f t="shared" si="52"/>
        <v>-0.54985188439051169</v>
      </c>
      <c r="H446">
        <f t="shared" si="53"/>
        <v>0.4445929657925371</v>
      </c>
    </row>
    <row r="447" spans="1:8" x14ac:dyDescent="0.35">
      <c r="A447">
        <v>447</v>
      </c>
      <c r="B447">
        <f t="shared" si="48"/>
        <v>2.4742403063342588</v>
      </c>
      <c r="C447">
        <f t="shared" si="49"/>
        <v>-0.78546307189393294</v>
      </c>
      <c r="D447">
        <f t="shared" si="50"/>
        <v>0.61890852530155571</v>
      </c>
      <c r="E447">
        <v>447</v>
      </c>
      <c r="F447">
        <f t="shared" si="51"/>
        <v>2.4742403063342588</v>
      </c>
      <c r="G447">
        <f t="shared" si="52"/>
        <v>-0.55540626450781705</v>
      </c>
      <c r="H447">
        <f t="shared" si="53"/>
        <v>0.43763441517489626</v>
      </c>
    </row>
    <row r="448" spans="1:8" x14ac:dyDescent="0.35">
      <c r="A448">
        <v>448</v>
      </c>
      <c r="B448">
        <f t="shared" si="48"/>
        <v>2.4868318600560619</v>
      </c>
      <c r="C448">
        <f t="shared" si="49"/>
        <v>-0.79319362024126616</v>
      </c>
      <c r="D448">
        <f t="shared" si="50"/>
        <v>0.60896952371079627</v>
      </c>
      <c r="E448">
        <v>448</v>
      </c>
      <c r="F448">
        <f t="shared" si="51"/>
        <v>2.4868318600560619</v>
      </c>
      <c r="G448">
        <f t="shared" si="52"/>
        <v>-0.56087258766650683</v>
      </c>
      <c r="H448">
        <f t="shared" si="53"/>
        <v>0.4306064797518464</v>
      </c>
    </row>
    <row r="449" spans="1:8" x14ac:dyDescent="0.35">
      <c r="A449">
        <v>449</v>
      </c>
      <c r="B449">
        <f t="shared" ref="B449:B512" si="54">-3.14159265358979+(A449-1)*0.0125915537218028</f>
        <v>2.4994234137778641</v>
      </c>
      <c r="C449">
        <f t="shared" ref="C449:C512" si="55">1*COS(B449)+0</f>
        <v>-0.80079841160266774</v>
      </c>
      <c r="D449">
        <f t="shared" ref="D449:D500" si="56">1*SIN(B449)+0+0*COS(B449)</f>
        <v>0.59893397296750861</v>
      </c>
      <c r="E449">
        <v>449</v>
      </c>
      <c r="F449">
        <f t="shared" ref="F449:F512" si="57">-3.14159265358979+(E449-1)*0.0125915537218028</f>
        <v>2.4994234137778641</v>
      </c>
      <c r="G449">
        <f t="shared" ref="G449:G512" si="58">0.707106781186548*COS(F449)+0</f>
        <v>-0.56624998720766284</v>
      </c>
      <c r="H449">
        <f t="shared" ref="H449:H500" si="59">0.707106781186548*SIN(F449)+0+0*COS(F449)</f>
        <v>0.42351027376832595</v>
      </c>
    </row>
    <row r="450" spans="1:8" x14ac:dyDescent="0.35">
      <c r="A450">
        <v>450</v>
      </c>
      <c r="B450">
        <f t="shared" si="54"/>
        <v>2.5120149674996672</v>
      </c>
      <c r="C450">
        <f t="shared" si="55"/>
        <v>-0.80827624027550105</v>
      </c>
      <c r="D450">
        <f t="shared" si="56"/>
        <v>0.588803464159392</v>
      </c>
      <c r="E450">
        <v>450</v>
      </c>
      <c r="F450">
        <f t="shared" si="57"/>
        <v>2.5120149674996672</v>
      </c>
      <c r="G450">
        <f t="shared" si="58"/>
        <v>-0.57153761057077446</v>
      </c>
      <c r="H450">
        <f t="shared" si="59"/>
        <v>0.41634692229323667</v>
      </c>
    </row>
    <row r="451" spans="1:8" x14ac:dyDescent="0.35">
      <c r="A451">
        <v>451</v>
      </c>
      <c r="B451">
        <f t="shared" si="54"/>
        <v>2.5246065212214703</v>
      </c>
      <c r="C451">
        <f t="shared" si="55"/>
        <v>-0.81562592068644368</v>
      </c>
      <c r="D451">
        <f t="shared" si="56"/>
        <v>0.57857960342928716</v>
      </c>
      <c r="E451">
        <v>451</v>
      </c>
      <c r="F451">
        <f t="shared" si="57"/>
        <v>2.5246065212214703</v>
      </c>
      <c r="G451">
        <f t="shared" si="58"/>
        <v>-0.57673461942890591</v>
      </c>
      <c r="H451">
        <f t="shared" si="59"/>
        <v>0.40911756104107266</v>
      </c>
    </row>
    <row r="452" spans="1:8" x14ac:dyDescent="0.35">
      <c r="A452">
        <v>452</v>
      </c>
      <c r="B452">
        <f t="shared" si="54"/>
        <v>2.5371980749432725</v>
      </c>
      <c r="C452">
        <f t="shared" si="55"/>
        <v>-0.82284628757945599</v>
      </c>
      <c r="D452">
        <f t="shared" si="56"/>
        <v>0.56826401172052687</v>
      </c>
      <c r="E452">
        <v>452</v>
      </c>
      <c r="F452">
        <f t="shared" si="57"/>
        <v>2.5371980749432725</v>
      </c>
      <c r="G452">
        <f t="shared" si="58"/>
        <v>-0.58184018982160979</v>
      </c>
      <c r="H452">
        <f t="shared" si="59"/>
        <v>0.40182333619185656</v>
      </c>
    </row>
    <row r="453" spans="1:8" x14ac:dyDescent="0.35">
      <c r="A453">
        <v>453</v>
      </c>
      <c r="B453">
        <f t="shared" si="54"/>
        <v>2.5497896286650756</v>
      </c>
      <c r="C453">
        <f t="shared" si="55"/>
        <v>-0.82993619620052894</v>
      </c>
      <c r="D453">
        <f t="shared" si="56"/>
        <v>0.55785832451994222</v>
      </c>
      <c r="E453">
        <v>453</v>
      </c>
      <c r="F453">
        <f t="shared" si="57"/>
        <v>2.5497896286650756</v>
      </c>
      <c r="G453">
        <f t="shared" si="58"/>
        <v>-0.58685351228556337</v>
      </c>
      <c r="H453">
        <f t="shared" si="59"/>
        <v>0.39446540420941706</v>
      </c>
    </row>
    <row r="454" spans="1:8" x14ac:dyDescent="0.35">
      <c r="A454">
        <v>454</v>
      </c>
      <c r="B454">
        <f t="shared" si="54"/>
        <v>2.5623811823868787</v>
      </c>
      <c r="C454">
        <f t="shared" si="55"/>
        <v>-0.83689452247917506</v>
      </c>
      <c r="D454">
        <f t="shared" si="56"/>
        <v>0.54736419159856775</v>
      </c>
      <c r="E454">
        <v>454</v>
      </c>
      <c r="F454">
        <f t="shared" si="57"/>
        <v>2.5623811823868787</v>
      </c>
      <c r="G454">
        <f t="shared" si="58"/>
        <v>-0.59177379198290259</v>
      </c>
      <c r="H454">
        <f t="shared" si="59"/>
        <v>0.38704493165804021</v>
      </c>
    </row>
    <row r="455" spans="1:8" x14ac:dyDescent="0.35">
      <c r="A455">
        <v>455</v>
      </c>
      <c r="B455">
        <f t="shared" si="54"/>
        <v>2.5749727361086809</v>
      </c>
      <c r="C455">
        <f t="shared" si="55"/>
        <v>-0.843720163206647</v>
      </c>
      <c r="D455">
        <f t="shared" si="56"/>
        <v>0.5367832767500762</v>
      </c>
      <c r="E455">
        <v>455</v>
      </c>
      <c r="F455">
        <f t="shared" si="57"/>
        <v>2.5749727361086809</v>
      </c>
      <c r="G455">
        <f t="shared" si="58"/>
        <v>-0.59660024882724116</v>
      </c>
      <c r="H455">
        <f t="shared" si="59"/>
        <v>0.3795630950175144</v>
      </c>
    </row>
    <row r="456" spans="1:8" x14ac:dyDescent="0.35">
      <c r="A456">
        <v>456</v>
      </c>
      <c r="B456">
        <f t="shared" si="54"/>
        <v>2.587564289830484</v>
      </c>
      <c r="C456">
        <f t="shared" si="55"/>
        <v>-0.85041203621084671</v>
      </c>
      <c r="D456">
        <f t="shared" si="56"/>
        <v>0.52611725752699035</v>
      </c>
      <c r="E456">
        <v>456</v>
      </c>
      <c r="F456">
        <f t="shared" si="57"/>
        <v>2.587564289830484</v>
      </c>
      <c r="G456">
        <f t="shared" si="58"/>
        <v>-0.60133211760734995</v>
      </c>
      <c r="H456">
        <f t="shared" si="59"/>
        <v>0.37202108049660432</v>
      </c>
    </row>
    <row r="457" spans="1:8" x14ac:dyDescent="0.35">
      <c r="A457">
        <v>457</v>
      </c>
      <c r="B457">
        <f t="shared" si="54"/>
        <v>2.6001558435522871</v>
      </c>
      <c r="C457">
        <f t="shared" si="55"/>
        <v>-0.85696908052789589</v>
      </c>
      <c r="D457">
        <f t="shared" si="56"/>
        <v>0.51536782497471911</v>
      </c>
      <c r="E457">
        <v>457</v>
      </c>
      <c r="F457">
        <f t="shared" si="57"/>
        <v>2.6001558435522871</v>
      </c>
      <c r="G457">
        <f t="shared" si="58"/>
        <v>-0.60596864810847617</v>
      </c>
      <c r="H457">
        <f t="shared" si="59"/>
        <v>0.36442008384498586</v>
      </c>
    </row>
    <row r="458" spans="1:8" x14ac:dyDescent="0.35">
      <c r="A458">
        <v>458</v>
      </c>
      <c r="B458">
        <f t="shared" si="54"/>
        <v>2.6127473972740893</v>
      </c>
      <c r="C458">
        <f t="shared" si="55"/>
        <v>-0.86339025657034785</v>
      </c>
      <c r="D458">
        <f t="shared" si="56"/>
        <v>0.50453668336344881</v>
      </c>
      <c r="E458">
        <v>458</v>
      </c>
      <c r="F458">
        <f t="shared" si="57"/>
        <v>2.6127473972740893</v>
      </c>
      <c r="G458">
        <f t="shared" si="58"/>
        <v>-0.61050910523128654</v>
      </c>
      <c r="H458">
        <f t="shared" si="59"/>
        <v>0.35676131016366486</v>
      </c>
    </row>
    <row r="459" spans="1:8" x14ac:dyDescent="0.35">
      <c r="A459">
        <v>459</v>
      </c>
      <c r="B459">
        <f t="shared" si="54"/>
        <v>2.6253389509958924</v>
      </c>
      <c r="C459">
        <f t="shared" si="55"/>
        <v>-0.8696745462920108</v>
      </c>
      <c r="D459">
        <f t="shared" si="56"/>
        <v>0.4936255499179365</v>
      </c>
      <c r="E459">
        <v>459</v>
      </c>
      <c r="F459">
        <f t="shared" si="57"/>
        <v>2.6253389509958924</v>
      </c>
      <c r="G459">
        <f t="shared" si="58"/>
        <v>-0.61495276910841534</v>
      </c>
      <c r="H459">
        <f t="shared" si="59"/>
        <v>0.34904597371391177</v>
      </c>
    </row>
    <row r="460" spans="1:8" x14ac:dyDescent="0.35">
      <c r="A460">
        <v>460</v>
      </c>
      <c r="B460">
        <f t="shared" si="54"/>
        <v>2.6379305047176955</v>
      </c>
      <c r="C460">
        <f t="shared" si="55"/>
        <v>-0.87582095334935095</v>
      </c>
      <c r="D460">
        <f t="shared" si="56"/>
        <v>0.48263615454525777</v>
      </c>
      <c r="E460">
        <v>460</v>
      </c>
      <c r="F460">
        <f t="shared" si="57"/>
        <v>2.6379305047176955</v>
      </c>
      <c r="G460">
        <f t="shared" si="58"/>
        <v>-0.61929893521859336</v>
      </c>
      <c r="H460">
        <f t="shared" si="59"/>
        <v>0.34127529772475057</v>
      </c>
    </row>
    <row r="461" spans="1:8" x14ac:dyDescent="0.35">
      <c r="A461">
        <v>461</v>
      </c>
      <c r="B461">
        <f t="shared" si="54"/>
        <v>2.6505220584394977</v>
      </c>
      <c r="C461">
        <f t="shared" si="55"/>
        <v>-0.88182850325945983</v>
      </c>
      <c r="D461">
        <f t="shared" si="56"/>
        <v>0.47157023956053545</v>
      </c>
      <c r="E461">
        <v>461</v>
      </c>
      <c r="F461">
        <f t="shared" si="57"/>
        <v>2.6505220584394977</v>
      </c>
      <c r="G461">
        <f t="shared" si="58"/>
        <v>-0.62354691449834798</v>
      </c>
      <c r="H461">
        <f t="shared" si="59"/>
        <v>0.33345051419901955</v>
      </c>
    </row>
    <row r="462" spans="1:8" x14ac:dyDescent="0.35">
      <c r="A462">
        <v>462</v>
      </c>
      <c r="B462">
        <f t="shared" si="54"/>
        <v>2.6631136121613008</v>
      </c>
      <c r="C462">
        <f t="shared" si="55"/>
        <v>-0.88769624355455456</v>
      </c>
      <c r="D462">
        <f t="shared" si="56"/>
        <v>0.46042955941070179</v>
      </c>
      <c r="E462">
        <v>462</v>
      </c>
      <c r="F462">
        <f t="shared" si="57"/>
        <v>2.6631136121613008</v>
      </c>
      <c r="G462">
        <f t="shared" si="58"/>
        <v>-0.62769603345125102</v>
      </c>
      <c r="H462">
        <f t="shared" si="59"/>
        <v>0.32557286371804184</v>
      </c>
    </row>
    <row r="463" spans="1:8" x14ac:dyDescent="0.35">
      <c r="A463">
        <v>463</v>
      </c>
      <c r="B463">
        <f t="shared" si="54"/>
        <v>2.6757051658831039</v>
      </c>
      <c r="C463">
        <f t="shared" si="55"/>
        <v>-0.89342324393298445</v>
      </c>
      <c r="D463">
        <f t="shared" si="56"/>
        <v>0.44921588039634452</v>
      </c>
      <c r="E463">
        <v>463</v>
      </c>
      <c r="F463">
        <f t="shared" si="57"/>
        <v>2.6757051658831039</v>
      </c>
      <c r="G463">
        <f t="shared" si="58"/>
        <v>-0.63174563425469676</v>
      </c>
      <c r="H463">
        <f t="shared" si="59"/>
        <v>0.31764359524494051</v>
      </c>
    </row>
    <row r="464" spans="1:8" x14ac:dyDescent="0.35">
      <c r="A464">
        <v>464</v>
      </c>
      <c r="B464">
        <f t="shared" si="54"/>
        <v>2.6882967196049061</v>
      </c>
      <c r="C464">
        <f t="shared" si="55"/>
        <v>-0.8990085964067277</v>
      </c>
      <c r="D464">
        <f t="shared" si="56"/>
        <v>0.43793098039166556</v>
      </c>
      <c r="E464">
        <v>464</v>
      </c>
      <c r="F464">
        <f t="shared" si="57"/>
        <v>2.6882967196049061</v>
      </c>
      <c r="G464">
        <f t="shared" si="58"/>
        <v>-0.63569507486419763</v>
      </c>
      <c r="H464">
        <f t="shared" si="59"/>
        <v>0.30966396592661993</v>
      </c>
    </row>
    <row r="465" spans="1:8" x14ac:dyDescent="0.35">
      <c r="A465">
        <v>465</v>
      </c>
      <c r="B465">
        <f t="shared" si="54"/>
        <v>2.7008882733267092</v>
      </c>
      <c r="C465">
        <f t="shared" si="55"/>
        <v>-0.90445141544534879</v>
      </c>
      <c r="D465">
        <f t="shared" si="56"/>
        <v>0.42657664856260591</v>
      </c>
      <c r="E465">
        <v>465</v>
      </c>
      <c r="F465">
        <f t="shared" si="57"/>
        <v>2.7008882733267092</v>
      </c>
      <c r="G465">
        <f t="shared" si="58"/>
        <v>-0.63954372911517787</v>
      </c>
      <c r="H465">
        <f t="shared" si="59"/>
        <v>0.3016352408944496</v>
      </c>
    </row>
    <row r="466" spans="1:8" x14ac:dyDescent="0.35">
      <c r="A466">
        <v>466</v>
      </c>
      <c r="B466">
        <f t="shared" si="54"/>
        <v>2.7134798270485123</v>
      </c>
      <c r="C466">
        <f t="shared" si="55"/>
        <v>-0.90975083811639346</v>
      </c>
      <c r="D466">
        <f t="shared" si="56"/>
        <v>0.41515468508318643</v>
      </c>
      <c r="E466">
        <v>466</v>
      </c>
      <c r="F466">
        <f t="shared" si="57"/>
        <v>2.7134798270485123</v>
      </c>
      <c r="G466">
        <f t="shared" si="58"/>
        <v>-0.64329098682224728</v>
      </c>
      <c r="H466">
        <f t="shared" si="59"/>
        <v>0.29355869306368693</v>
      </c>
    </row>
    <row r="467" spans="1:8" x14ac:dyDescent="0.35">
      <c r="A467">
        <v>467</v>
      </c>
      <c r="B467">
        <f t="shared" si="54"/>
        <v>2.7260713807703145</v>
      </c>
      <c r="C467">
        <f t="shared" si="55"/>
        <v>-0.91490602422220291</v>
      </c>
      <c r="D467">
        <f t="shared" si="56"/>
        <v>0.40366690085009682</v>
      </c>
      <c r="E467">
        <v>467</v>
      </c>
      <c r="F467">
        <f t="shared" si="57"/>
        <v>2.7260713807703145</v>
      </c>
      <c r="G467">
        <f t="shared" si="58"/>
        <v>-0.64693625387594378</v>
      </c>
      <c r="H467">
        <f t="shared" si="59"/>
        <v>0.28543560293166137</v>
      </c>
    </row>
    <row r="468" spans="1:8" x14ac:dyDescent="0.35">
      <c r="A468">
        <v>468</v>
      </c>
      <c r="B468">
        <f t="shared" si="54"/>
        <v>2.7386629344921176</v>
      </c>
      <c r="C468">
        <f t="shared" si="55"/>
        <v>-0.91991615643312463</v>
      </c>
      <c r="D468">
        <f t="shared" si="56"/>
        <v>0.39211511719558451</v>
      </c>
      <c r="E468">
        <v>468</v>
      </c>
      <c r="F468">
        <f t="shared" si="57"/>
        <v>2.7386629344921176</v>
      </c>
      <c r="G468">
        <f t="shared" si="58"/>
        <v>-0.65047895233692776</v>
      </c>
      <c r="H468">
        <f t="shared" si="59"/>
        <v>0.2772672583747558</v>
      </c>
    </row>
    <row r="469" spans="1:8" x14ac:dyDescent="0.35">
      <c r="A469">
        <v>469</v>
      </c>
      <c r="B469">
        <f t="shared" si="54"/>
        <v>2.7512544882139207</v>
      </c>
      <c r="C469">
        <f t="shared" si="55"/>
        <v>-0.92478044041709373</v>
      </c>
      <c r="D469">
        <f t="shared" si="56"/>
        <v>0.38050116559869573</v>
      </c>
      <c r="E469">
        <v>469</v>
      </c>
      <c r="F469">
        <f t="shared" si="57"/>
        <v>2.7512544882139207</v>
      </c>
      <c r="G469">
        <f t="shared" si="58"/>
        <v>-0.65391852052760935</v>
      </c>
      <c r="H469">
        <f t="shared" si="59"/>
        <v>0.26905495444422339</v>
      </c>
    </row>
    <row r="470" spans="1:8" x14ac:dyDescent="0.35">
      <c r="A470">
        <v>470</v>
      </c>
      <c r="B470">
        <f t="shared" si="54"/>
        <v>2.7638460419357229</v>
      </c>
      <c r="C470">
        <f t="shared" si="55"/>
        <v>-0.92949810496557161</v>
      </c>
      <c r="D470">
        <f t="shared" si="56"/>
        <v>0.36882688739490138</v>
      </c>
      <c r="E470">
        <v>470</v>
      </c>
      <c r="F470">
        <f t="shared" si="57"/>
        <v>2.7638460419357229</v>
      </c>
      <c r="G470">
        <f t="shared" si="58"/>
        <v>-0.65725441312120148</v>
      </c>
      <c r="H470">
        <f t="shared" si="59"/>
        <v>0.26079999316086211</v>
      </c>
    </row>
    <row r="471" spans="1:8" x14ac:dyDescent="0.35">
      <c r="A471">
        <v>471</v>
      </c>
      <c r="B471">
        <f t="shared" si="54"/>
        <v>2.776437595657526</v>
      </c>
      <c r="C471">
        <f t="shared" si="55"/>
        <v>-0.93406840211581788</v>
      </c>
      <c r="D471">
        <f t="shared" si="56"/>
        <v>0.35709413348415964</v>
      </c>
      <c r="E471">
        <v>471</v>
      </c>
      <c r="F471">
        <f t="shared" si="57"/>
        <v>2.776437595657526</v>
      </c>
      <c r="G471">
        <f t="shared" si="58"/>
        <v>-0.66048610122817819</v>
      </c>
      <c r="H471">
        <f t="shared" si="59"/>
        <v>0.25250368330858364</v>
      </c>
    </row>
    <row r="472" spans="1:8" x14ac:dyDescent="0.35">
      <c r="A472">
        <v>472</v>
      </c>
      <c r="B472">
        <f t="shared" si="54"/>
        <v>2.7890291493793291</v>
      </c>
      <c r="C472">
        <f t="shared" si="55"/>
        <v>-0.93849060726947464</v>
      </c>
      <c r="D472">
        <f t="shared" si="56"/>
        <v>0.34530476403746974</v>
      </c>
      <c r="E472">
        <v>472</v>
      </c>
      <c r="F472">
        <f t="shared" si="57"/>
        <v>2.7890291493793291</v>
      </c>
      <c r="G472">
        <f t="shared" si="58"/>
        <v>-0.66361307248012702</v>
      </c>
      <c r="H472">
        <f t="shared" si="59"/>
        <v>0.24416734022691572</v>
      </c>
    </row>
    <row r="473" spans="1:8" x14ac:dyDescent="0.35">
      <c r="A473">
        <v>473</v>
      </c>
      <c r="B473">
        <f t="shared" si="54"/>
        <v>2.8016207031011313</v>
      </c>
      <c r="C473">
        <f t="shared" si="55"/>
        <v>-0.94276401930744913</v>
      </c>
      <c r="D473">
        <f t="shared" si="56"/>
        <v>0.33346064820194843</v>
      </c>
      <c r="E473">
        <v>473</v>
      </c>
      <c r="F473">
        <f t="shared" si="57"/>
        <v>2.8016207031011313</v>
      </c>
      <c r="G473">
        <f t="shared" si="58"/>
        <v>-0.66663483111098298</v>
      </c>
      <c r="H473">
        <f t="shared" si="59"/>
        <v>0.2357922856024596</v>
      </c>
    </row>
    <row r="474" spans="1:8" x14ac:dyDescent="0.35">
      <c r="A474">
        <v>474</v>
      </c>
      <c r="B474">
        <f t="shared" si="54"/>
        <v>2.8142122568229344</v>
      </c>
      <c r="C474">
        <f t="shared" si="55"/>
        <v>-0.94688796070107328</v>
      </c>
      <c r="D474">
        <f t="shared" si="56"/>
        <v>0.32156366380448331</v>
      </c>
      <c r="E474">
        <v>474</v>
      </c>
      <c r="F474">
        <f t="shared" si="57"/>
        <v>2.8142122568229344</v>
      </c>
      <c r="G474">
        <f t="shared" si="58"/>
        <v>-0.6695508980356305</v>
      </c>
      <c r="H474">
        <f t="shared" si="59"/>
        <v>0.22737984725934146</v>
      </c>
    </row>
    <row r="475" spans="1:8" x14ac:dyDescent="0.35">
      <c r="A475">
        <v>475</v>
      </c>
      <c r="B475">
        <f t="shared" si="54"/>
        <v>2.8268038105447375</v>
      </c>
      <c r="C475">
        <f t="shared" si="55"/>
        <v>-0.95086177761952073</v>
      </c>
      <c r="D475">
        <f t="shared" si="56"/>
        <v>0.30961569705401759</v>
      </c>
      <c r="E475">
        <v>475</v>
      </c>
      <c r="F475">
        <f t="shared" si="57"/>
        <v>2.8268038105447375</v>
      </c>
      <c r="G475">
        <f t="shared" si="58"/>
        <v>-0.67236081092585853</v>
      </c>
      <c r="H475">
        <f t="shared" si="59"/>
        <v>0.21893135894869575</v>
      </c>
    </row>
    <row r="476" spans="1:8" x14ac:dyDescent="0.35">
      <c r="A476">
        <v>476</v>
      </c>
      <c r="B476">
        <f t="shared" si="54"/>
        <v>2.8393953642665397</v>
      </c>
      <c r="C476">
        <f t="shared" si="55"/>
        <v>-0.95468484003346987</v>
      </c>
      <c r="D476">
        <f t="shared" si="56"/>
        <v>0.29761864224249818</v>
      </c>
      <c r="E476">
        <v>476</v>
      </c>
      <c r="F476">
        <f t="shared" si="57"/>
        <v>2.8393953642665397</v>
      </c>
      <c r="G476">
        <f t="shared" si="58"/>
        <v>-0.67506412428366136</v>
      </c>
      <c r="H476">
        <f t="shared" si="59"/>
        <v>0.21044816013720369</v>
      </c>
    </row>
    <row r="477" spans="1:8" x14ac:dyDescent="0.35">
      <c r="A477">
        <v>477</v>
      </c>
      <c r="B477">
        <f t="shared" si="54"/>
        <v>2.8519869179883428</v>
      </c>
      <c r="C477">
        <f t="shared" si="55"/>
        <v>-0.95835654181499241</v>
      </c>
      <c r="D477">
        <f t="shared" si="56"/>
        <v>0.28557440144454255</v>
      </c>
      <c r="E477">
        <v>477</v>
      </c>
      <c r="F477">
        <f t="shared" si="57"/>
        <v>2.8519869179883428</v>
      </c>
      <c r="G477">
        <f t="shared" si="58"/>
        <v>-0.67766040951187068</v>
      </c>
      <c r="H477">
        <f t="shared" si="59"/>
        <v>0.20193159579472558</v>
      </c>
    </row>
    <row r="478" spans="1:8" x14ac:dyDescent="0.35">
      <c r="A478">
        <v>478</v>
      </c>
      <c r="B478">
        <f t="shared" si="54"/>
        <v>2.8645784717101459</v>
      </c>
      <c r="C478">
        <f t="shared" si="55"/>
        <v>-0.96187630083365039</v>
      </c>
      <c r="D478">
        <f t="shared" si="56"/>
        <v>0.27348488421587913</v>
      </c>
      <c r="E478">
        <v>478</v>
      </c>
      <c r="F478">
        <f t="shared" si="57"/>
        <v>2.8645784717101459</v>
      </c>
      <c r="G478">
        <f t="shared" si="58"/>
        <v>-0.68014925498210621</v>
      </c>
      <c r="H478">
        <f t="shared" si="59"/>
        <v>0.19338301618106607</v>
      </c>
    </row>
    <row r="479" spans="1:8" x14ac:dyDescent="0.35">
      <c r="A479">
        <v>479</v>
      </c>
      <c r="B479">
        <f t="shared" si="54"/>
        <v>2.8771700254319481</v>
      </c>
      <c r="C479">
        <f t="shared" si="55"/>
        <v>-0.96524355904879122</v>
      </c>
      <c r="D479">
        <f t="shared" si="56"/>
        <v>0.26135200729059388</v>
      </c>
      <c r="E479">
        <v>479</v>
      </c>
      <c r="F479">
        <f t="shared" si="57"/>
        <v>2.8771700254319481</v>
      </c>
      <c r="G479">
        <f t="shared" si="58"/>
        <v>-0.68253026610003842</v>
      </c>
      <c r="H479">
        <f t="shared" si="59"/>
        <v>0.18480377663189507</v>
      </c>
    </row>
    <row r="480" spans="1:8" x14ac:dyDescent="0.35">
      <c r="A480">
        <v>480</v>
      </c>
      <c r="B480">
        <f t="shared" si="54"/>
        <v>2.8897615791537512</v>
      </c>
      <c r="C480">
        <f t="shared" si="55"/>
        <v>-0.96845778259802262</v>
      </c>
      <c r="D480">
        <f t="shared" si="56"/>
        <v>0.24917769427723904</v>
      </c>
      <c r="E480">
        <v>480</v>
      </c>
      <c r="F480">
        <f t="shared" si="57"/>
        <v>2.8897615791537512</v>
      </c>
      <c r="G480">
        <f t="shared" si="58"/>
        <v>-0.68480306536794944</v>
      </c>
      <c r="H480">
        <f t="shared" si="59"/>
        <v>0.17619523734386422</v>
      </c>
    </row>
    <row r="481" spans="1:8" x14ac:dyDescent="0.35">
      <c r="A481">
        <v>481</v>
      </c>
      <c r="B481">
        <f t="shared" si="54"/>
        <v>2.9023531328755543</v>
      </c>
      <c r="C481">
        <f t="shared" si="55"/>
        <v>-0.97151846188185254</v>
      </c>
      <c r="D481">
        <f t="shared" si="56"/>
        <v>0.23696387535385935</v>
      </c>
      <c r="E481">
        <v>481</v>
      </c>
      <c r="F481">
        <f t="shared" si="57"/>
        <v>2.9023531328755543</v>
      </c>
      <c r="G481">
        <f t="shared" si="58"/>
        <v>-0.68696729244458277</v>
      </c>
      <c r="H481">
        <f t="shared" si="59"/>
        <v>0.16755876315895787</v>
      </c>
    </row>
    <row r="482" spans="1:8" x14ac:dyDescent="0.35">
      <c r="A482">
        <v>482</v>
      </c>
      <c r="B482">
        <f t="shared" si="54"/>
        <v>2.9149446865973565</v>
      </c>
      <c r="C482">
        <f t="shared" si="55"/>
        <v>-0.97442511164448486</v>
      </c>
      <c r="D482">
        <f t="shared" si="56"/>
        <v>0.22471248696196916</v>
      </c>
      <c r="E482">
        <v>482</v>
      </c>
      <c r="F482">
        <f t="shared" si="57"/>
        <v>2.9149446865973565</v>
      </c>
      <c r="G482">
        <f t="shared" si="58"/>
        <v>-0.68902260420227435</v>
      </c>
      <c r="H482">
        <f t="shared" si="59"/>
        <v>0.15889572334810215</v>
      </c>
    </row>
    <row r="483" spans="1:8" x14ac:dyDescent="0.35">
      <c r="A483">
        <v>483</v>
      </c>
      <c r="B483">
        <f t="shared" si="54"/>
        <v>2.9275362403191596</v>
      </c>
      <c r="C483">
        <f t="shared" si="55"/>
        <v>-0.97717727105075436</v>
      </c>
      <c r="D483">
        <f t="shared" si="56"/>
        <v>0.21242547149953661</v>
      </c>
      <c r="E483">
        <v>483</v>
      </c>
      <c r="F483">
        <f t="shared" si="57"/>
        <v>2.9275362403191596</v>
      </c>
      <c r="G483">
        <f t="shared" si="58"/>
        <v>-0.69096867478135393</v>
      </c>
      <c r="H483">
        <f t="shared" si="59"/>
        <v>0.15020749139407213</v>
      </c>
    </row>
    <row r="484" spans="1:8" x14ac:dyDescent="0.35">
      <c r="A484">
        <v>484</v>
      </c>
      <c r="B484">
        <f t="shared" si="54"/>
        <v>2.9401277940409627</v>
      </c>
      <c r="C484">
        <f t="shared" si="55"/>
        <v>-0.97977450375918906</v>
      </c>
      <c r="D484">
        <f t="shared" si="56"/>
        <v>0.20010477701303092</v>
      </c>
      <c r="E484">
        <v>484</v>
      </c>
      <c r="F484">
        <f t="shared" si="57"/>
        <v>2.9401277940409627</v>
      </c>
      <c r="G484">
        <f t="shared" si="58"/>
        <v>-0.69280519564180754</v>
      </c>
      <c r="H484">
        <f t="shared" si="59"/>
        <v>0.14149544477373624</v>
      </c>
    </row>
    <row r="485" spans="1:8" x14ac:dyDescent="0.35">
      <c r="A485">
        <v>485</v>
      </c>
      <c r="B485">
        <f t="shared" si="54"/>
        <v>2.9527193477627649</v>
      </c>
      <c r="C485">
        <f t="shared" si="55"/>
        <v>-0.98221639799119032</v>
      </c>
      <c r="D485">
        <f t="shared" si="56"/>
        <v>0.18775235688856662</v>
      </c>
      <c r="E485">
        <v>485</v>
      </c>
      <c r="F485">
        <f t="shared" si="57"/>
        <v>2.9527193477627649</v>
      </c>
      <c r="G485">
        <f t="shared" si="58"/>
        <v>-0.69453187561219598</v>
      </c>
      <c r="H485">
        <f t="shared" si="59"/>
        <v>0.13276096473966234</v>
      </c>
    </row>
    <row r="486" spans="1:8" x14ac:dyDescent="0.35">
      <c r="A486">
        <v>486</v>
      </c>
      <c r="B486">
        <f t="shared" si="54"/>
        <v>2.965310901484568</v>
      </c>
      <c r="C486">
        <f t="shared" si="55"/>
        <v>-0.98450256659631907</v>
      </c>
      <c r="D486">
        <f t="shared" si="56"/>
        <v>0.17537016954220097</v>
      </c>
      <c r="E486">
        <v>486</v>
      </c>
      <c r="F486">
        <f t="shared" si="57"/>
        <v>2.965310901484568</v>
      </c>
      <c r="G486">
        <f t="shared" si="58"/>
        <v>-0.69614844093581829</v>
      </c>
      <c r="H486">
        <f t="shared" si="59"/>
        <v>0.12400543610112492</v>
      </c>
    </row>
    <row r="487" spans="1:8" x14ac:dyDescent="0.35">
      <c r="A487">
        <v>487</v>
      </c>
      <c r="B487">
        <f t="shared" si="54"/>
        <v>2.9779024552063711</v>
      </c>
      <c r="C487">
        <f t="shared" si="55"/>
        <v>-0.98663264711367571</v>
      </c>
      <c r="D487">
        <f t="shared" si="56"/>
        <v>0.16296017810944194</v>
      </c>
      <c r="E487">
        <v>487</v>
      </c>
      <c r="F487">
        <f t="shared" si="57"/>
        <v>2.9779024552063711</v>
      </c>
      <c r="G487">
        <f t="shared" si="58"/>
        <v>-0.69765463531411454</v>
      </c>
      <c r="H487">
        <f t="shared" si="59"/>
        <v>0.11523024700455406</v>
      </c>
    </row>
    <row r="488" spans="1:8" x14ac:dyDescent="0.35">
      <c r="A488">
        <v>488</v>
      </c>
      <c r="B488">
        <f t="shared" si="54"/>
        <v>2.9904940089281733</v>
      </c>
      <c r="C488">
        <f t="shared" si="55"/>
        <v>-0.98860630182936671</v>
      </c>
      <c r="D488">
        <f t="shared" si="56"/>
        <v>0.15052435013400009</v>
      </c>
      <c r="E488">
        <v>488</v>
      </c>
      <c r="F488">
        <f t="shared" si="57"/>
        <v>2.9904940089281733</v>
      </c>
      <c r="G488">
        <f t="shared" si="58"/>
        <v>-0.69905021994730043</v>
      </c>
      <c r="H488">
        <f t="shared" si="59"/>
        <v>0.10643678871344975</v>
      </c>
    </row>
    <row r="489" spans="1:8" x14ac:dyDescent="0.35">
      <c r="A489">
        <v>489</v>
      </c>
      <c r="B489">
        <f t="shared" si="54"/>
        <v>3.0030855626499764</v>
      </c>
      <c r="C489">
        <f t="shared" si="55"/>
        <v>-0.99042321783004816</v>
      </c>
      <c r="D489">
        <f t="shared" si="56"/>
        <v>0.13806465725584124</v>
      </c>
      <c r="E489">
        <v>489</v>
      </c>
      <c r="F489">
        <f t="shared" si="57"/>
        <v>3.0030855626499764</v>
      </c>
      <c r="G489">
        <f t="shared" si="58"/>
        <v>-0.70033497357222863</v>
      </c>
      <c r="H489">
        <f t="shared" si="59"/>
        <v>9.7626455387801889E-2</v>
      </c>
    </row>
    <row r="490" spans="1:8" x14ac:dyDescent="0.35">
      <c r="A490">
        <v>490</v>
      </c>
      <c r="B490">
        <f t="shared" si="54"/>
        <v>3.0156771163717795</v>
      </c>
      <c r="C490">
        <f t="shared" si="55"/>
        <v>-0.99208310705253577</v>
      </c>
      <c r="D490">
        <f t="shared" si="56"/>
        <v>0.12558307489859807</v>
      </c>
      <c r="E490">
        <v>490</v>
      </c>
      <c r="F490">
        <f t="shared" si="57"/>
        <v>3.0156771163717795</v>
      </c>
      <c r="G490">
        <f t="shared" si="58"/>
        <v>-0.70150869249746806</v>
      </c>
      <c r="H490">
        <f t="shared" si="59"/>
        <v>8.8800643863056861E-2</v>
      </c>
    </row>
    <row r="491" spans="1:8" x14ac:dyDescent="0.35">
      <c r="A491">
        <v>491</v>
      </c>
      <c r="B491">
        <f t="shared" si="54"/>
        <v>3.0282686700935817</v>
      </c>
      <c r="C491">
        <f t="shared" si="55"/>
        <v>-0.99358570632947618</v>
      </c>
      <c r="D491">
        <f t="shared" si="56"/>
        <v>0.11308158195637352</v>
      </c>
      <c r="E491">
        <v>491</v>
      </c>
      <c r="F491">
        <f t="shared" si="57"/>
        <v>3.0282686700935817</v>
      </c>
      <c r="G491">
        <f t="shared" si="58"/>
        <v>-0.7025711906355987</v>
      </c>
      <c r="H491">
        <f t="shared" si="59"/>
        <v>7.9960753428654108E-2</v>
      </c>
    </row>
    <row r="492" spans="1:8" x14ac:dyDescent="0.35">
      <c r="A492">
        <v>492</v>
      </c>
      <c r="B492">
        <f t="shared" si="54"/>
        <v>3.0408602238153848</v>
      </c>
      <c r="C492">
        <f t="shared" si="55"/>
        <v>-0.99493077743107128</v>
      </c>
      <c r="D492">
        <f t="shared" si="56"/>
        <v>0.10056216047999419</v>
      </c>
      <c r="E492">
        <v>492</v>
      </c>
      <c r="F492">
        <f t="shared" si="57"/>
        <v>3.0408602238153848</v>
      </c>
      <c r="G492">
        <f t="shared" si="58"/>
        <v>-0.70352229953271461</v>
      </c>
      <c r="H492">
        <f t="shared" si="59"/>
        <v>7.1108185606173782E-2</v>
      </c>
    </row>
    <row r="493" spans="1:8" x14ac:dyDescent="0.35">
      <c r="A493">
        <v>493</v>
      </c>
      <c r="B493">
        <f t="shared" si="54"/>
        <v>3.0534517775371879</v>
      </c>
      <c r="C493">
        <f t="shared" si="55"/>
        <v>-0.99611810710284798</v>
      </c>
      <c r="D493">
        <f t="shared" si="56"/>
        <v>8.8026795362771124E-2</v>
      </c>
      <c r="E493">
        <v>493</v>
      </c>
      <c r="F493">
        <f t="shared" si="57"/>
        <v>3.0534517775371879</v>
      </c>
      <c r="G493">
        <f t="shared" si="58"/>
        <v>-0.70436186839513193</v>
      </c>
      <c r="H493">
        <f t="shared" si="59"/>
        <v>6.2244343927136042E-2</v>
      </c>
    </row>
    <row r="494" spans="1:8" x14ac:dyDescent="0.35">
      <c r="A494">
        <v>494</v>
      </c>
      <c r="B494">
        <f t="shared" si="54"/>
        <v>3.0660433312589901</v>
      </c>
      <c r="C494">
        <f t="shared" si="55"/>
        <v>-0.99714750709946842</v>
      </c>
      <c r="D494">
        <f t="shared" si="56"/>
        <v>7.5477474025801961E-2</v>
      </c>
      <c r="E494">
        <v>494</v>
      </c>
      <c r="F494">
        <f t="shared" si="57"/>
        <v>3.0660433312589901</v>
      </c>
      <c r="G494">
        <f t="shared" si="58"/>
        <v>-0.7050897641132956</v>
      </c>
      <c r="H494">
        <f t="shared" si="59"/>
        <v>5.3370633710476109E-2</v>
      </c>
    </row>
    <row r="495" spans="1:8" x14ac:dyDescent="0.35">
      <c r="A495">
        <v>495</v>
      </c>
      <c r="B495">
        <f t="shared" si="54"/>
        <v>3.0786348849807932</v>
      </c>
      <c r="C495">
        <f t="shared" si="55"/>
        <v>-0.99801881421457617</v>
      </c>
      <c r="D495">
        <f t="shared" si="56"/>
        <v>6.2916186102872362E-2</v>
      </c>
      <c r="E495">
        <v>495</v>
      </c>
      <c r="F495">
        <f t="shared" si="57"/>
        <v>3.0786348849807932</v>
      </c>
      <c r="G495">
        <f t="shared" si="58"/>
        <v>-0.70570587128288442</v>
      </c>
      <c r="H495">
        <f t="shared" si="59"/>
        <v>4.4488461839735899E-2</v>
      </c>
    </row>
    <row r="496" spans="1:8" x14ac:dyDescent="0.35">
      <c r="A496">
        <v>496</v>
      </c>
      <c r="B496">
        <f t="shared" si="54"/>
        <v>3.0912264387025963</v>
      </c>
      <c r="C496">
        <f t="shared" si="55"/>
        <v>-0.99873189030667098</v>
      </c>
      <c r="D496">
        <f t="shared" si="56"/>
        <v>5.0344923125014603E-2</v>
      </c>
      <c r="E496">
        <v>496</v>
      </c>
      <c r="F496">
        <f t="shared" si="57"/>
        <v>3.0912264387025963</v>
      </c>
      <c r="G496">
        <f t="shared" si="58"/>
        <v>-0.70621009222310671</v>
      </c>
      <c r="H496">
        <f t="shared" si="59"/>
        <v>3.5599236540013283E-2</v>
      </c>
    </row>
    <row r="497" spans="1:8" x14ac:dyDescent="0.35">
      <c r="A497">
        <v>497</v>
      </c>
      <c r="B497">
        <f t="shared" si="54"/>
        <v>3.1038179924243985</v>
      </c>
      <c r="C497">
        <f t="shared" si="55"/>
        <v>-0.99928662232101095</v>
      </c>
      <c r="D497">
        <f t="shared" si="56"/>
        <v>3.7765678204757333E-2</v>
      </c>
      <c r="E497">
        <v>497</v>
      </c>
      <c r="F497">
        <f t="shared" si="57"/>
        <v>3.1038179924243985</v>
      </c>
      <c r="G497">
        <f t="shared" si="58"/>
        <v>-0.70660234699218771</v>
      </c>
      <c r="H497">
        <f t="shared" si="59"/>
        <v>2.6704367154692928E-2</v>
      </c>
    </row>
    <row r="498" spans="1:8" x14ac:dyDescent="0.35">
      <c r="A498">
        <v>498</v>
      </c>
      <c r="B498">
        <f t="shared" si="54"/>
        <v>3.1164095461462016</v>
      </c>
      <c r="C498">
        <f t="shared" si="55"/>
        <v>-0.99968292230753641</v>
      </c>
      <c r="D498">
        <f t="shared" si="56"/>
        <v>2.5180445720124629E-2</v>
      </c>
      <c r="E498">
        <v>498</v>
      </c>
      <c r="F498">
        <f t="shared" si="57"/>
        <v>3.1164095461462016</v>
      </c>
      <c r="G498">
        <f t="shared" si="58"/>
        <v>-0.70688257340004401</v>
      </c>
      <c r="H498">
        <f t="shared" si="59"/>
        <v>1.7805263921999916E-2</v>
      </c>
    </row>
    <row r="499" spans="1:8" x14ac:dyDescent="0.35">
      <c r="A499">
        <v>499</v>
      </c>
      <c r="B499">
        <f t="shared" si="54"/>
        <v>3.1290010998680047</v>
      </c>
      <c r="C499">
        <f t="shared" si="55"/>
        <v>-0.99992072743481442</v>
      </c>
      <c r="D499">
        <f t="shared" si="56"/>
        <v>1.2591220998442417E-2</v>
      </c>
      <c r="E499">
        <v>499</v>
      </c>
      <c r="F499">
        <f t="shared" si="57"/>
        <v>3.1290010998680047</v>
      </c>
      <c r="G499">
        <f t="shared" si="58"/>
        <v>-0.7070507270181432</v>
      </c>
      <c r="H499">
        <f t="shared" si="59"/>
        <v>8.9033377514170908E-3</v>
      </c>
    </row>
    <row r="500" spans="1:8" x14ac:dyDescent="0.35">
      <c r="A500">
        <v>500</v>
      </c>
      <c r="B500">
        <f t="shared" si="54"/>
        <v>3.1415926535898069</v>
      </c>
      <c r="C500">
        <f t="shared" si="55"/>
        <v>-1</v>
      </c>
      <c r="D500">
        <f t="shared" si="56"/>
        <v>-1.3644250659861079E-14</v>
      </c>
      <c r="E500">
        <v>500</v>
      </c>
      <c r="F500">
        <f t="shared" si="57"/>
        <v>3.1415926535898069</v>
      </c>
      <c r="G500">
        <f t="shared" si="58"/>
        <v>-0.70710678118654802</v>
      </c>
      <c r="H500">
        <f t="shared" si="59"/>
        <v>-9.6479421657968007E-15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PLS-R</vt:lpstr>
      <vt:lpstr>XLSTAT_20211004_124611_1_HID3</vt:lpstr>
      <vt:lpstr>XLSTAT_20211004_124611_1_HID2</vt:lpstr>
      <vt:lpstr>XLSTAT_20211004_124611_1_HID1</vt:lpstr>
      <vt:lpstr>XLSTAT_20211004_124611_1_HID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Анатолий Цыпленков</dc:creator>
  <cp:lastModifiedBy>Анатолий Цыпленков</cp:lastModifiedBy>
  <dcterms:created xsi:type="dcterms:W3CDTF">2021-10-04T09:45:50Z</dcterms:created>
  <dcterms:modified xsi:type="dcterms:W3CDTF">2021-10-04T10:55:00Z</dcterms:modified>
</cp:coreProperties>
</file>